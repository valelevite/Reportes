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Reportes/Gastos Tiendas/"/>
    </mc:Choice>
  </mc:AlternateContent>
  <xr:revisionPtr revIDLastSave="668" documentId="8_{04C3E996-5ABC-4018-82E5-E7D0CEC56DB3}" xr6:coauthVersionLast="47" xr6:coauthVersionMax="47" xr10:uidLastSave="{606CCC6B-A795-4D13-8467-47B02087340D}"/>
  <bookViews>
    <workbookView xWindow="-108" yWindow="-108" windowWidth="23256" windowHeight="12456" tabRatio="807" firstSheet="2" activeTab="9" xr2:uid="{C5B2B085-6B57-4356-B44C-09220D01E157}"/>
  </bookViews>
  <sheets>
    <sheet name="Sueldos febrero" sheetId="11" r:id="rId1"/>
    <sheet name="Sueldos marzo" sheetId="12" r:id="rId2"/>
    <sheet name="Base" sheetId="1" r:id="rId3"/>
    <sheet name="Tabla" sheetId="2" r:id="rId4"/>
    <sheet name="LUCERO" sheetId="3" r:id="rId5"/>
    <sheet name="LUCERO-SAN TELMO" sheetId="7" r:id="rId6"/>
    <sheet name="LUCERO-SAN TELMO (A)" sheetId="9" r:id="rId7"/>
    <sheet name="LUCERO-CENTRO" sheetId="6" r:id="rId8"/>
    <sheet name="LUCERO-CENTRO (A)" sheetId="10" r:id="rId9"/>
    <sheet name="AS-SAN TELMO" sheetId="8" r:id="rId10"/>
  </sheets>
  <definedNames>
    <definedName name="_xlnm._FilterDatabase" localSheetId="2" hidden="1">Base!$A$1:$K$193</definedName>
    <definedName name="_xlnm._FilterDatabase" localSheetId="0" hidden="1">'Sueldos febrero'!$A$1:$L$32</definedName>
    <definedName name="_xlnm._FilterDatabase" localSheetId="1" hidden="1">'Sueldos marzo'!$A$1:$J$25</definedName>
    <definedName name="_xlnm.Print_Area" localSheetId="9">'AS-SAN TELMO'!$A$1:$G$38</definedName>
    <definedName name="_xlnm.Print_Area" localSheetId="4">LUCERO!$A$1:$G$38</definedName>
    <definedName name="_xlnm.Print_Area" localSheetId="7">'LUCERO-CENTRO'!$A$1:$G$38</definedName>
    <definedName name="_xlnm.Print_Area" localSheetId="5">'LUCERO-SAN TELMO'!$A$1:$G$38</definedName>
  </definedNames>
  <calcPr calcId="191029"/>
  <pivotCaches>
    <pivotCache cacheId="16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" l="1"/>
  <c r="P4" i="3"/>
  <c r="Q7" i="3"/>
  <c r="Q6" i="3"/>
  <c r="Q5" i="3"/>
  <c r="P7" i="3"/>
  <c r="P6" i="3"/>
  <c r="P5" i="3"/>
  <c r="O7" i="8" l="1"/>
  <c r="O6" i="8"/>
  <c r="O5" i="8"/>
  <c r="K7" i="8"/>
  <c r="K6" i="8"/>
  <c r="K5" i="8"/>
  <c r="L7" i="8"/>
  <c r="L6" i="8"/>
  <c r="L5" i="8"/>
  <c r="M7" i="8"/>
  <c r="M6" i="8"/>
  <c r="M5" i="8"/>
  <c r="N6" i="8"/>
  <c r="N7" i="8"/>
  <c r="N5" i="8"/>
  <c r="U44" i="10"/>
  <c r="U43" i="10"/>
  <c r="U42" i="10"/>
  <c r="T44" i="10"/>
  <c r="T43" i="10"/>
  <c r="T42" i="10"/>
  <c r="N44" i="10"/>
  <c r="N43" i="10"/>
  <c r="N42" i="10"/>
  <c r="L44" i="10"/>
  <c r="L43" i="10"/>
  <c r="L42" i="10"/>
  <c r="M44" i="10"/>
  <c r="M43" i="10"/>
  <c r="M42" i="10"/>
  <c r="K44" i="10"/>
  <c r="K43" i="10"/>
  <c r="K42" i="10"/>
  <c r="J44" i="10"/>
  <c r="J43" i="10"/>
  <c r="J42" i="10"/>
  <c r="G44" i="10"/>
  <c r="G43" i="10"/>
  <c r="G42" i="10"/>
  <c r="C44" i="10"/>
  <c r="C43" i="10"/>
  <c r="C42" i="10"/>
  <c r="D44" i="10"/>
  <c r="D43" i="10"/>
  <c r="D42" i="10"/>
  <c r="E44" i="10"/>
  <c r="E43" i="10"/>
  <c r="E42" i="10"/>
  <c r="F43" i="10"/>
  <c r="F44" i="10"/>
  <c r="F42" i="10"/>
  <c r="O7" i="6"/>
  <c r="O6" i="6"/>
  <c r="O5" i="6"/>
  <c r="K7" i="6"/>
  <c r="K6" i="6"/>
  <c r="K5" i="6"/>
  <c r="L7" i="6"/>
  <c r="L6" i="6"/>
  <c r="L5" i="6"/>
  <c r="M7" i="6"/>
  <c r="M6" i="6"/>
  <c r="M5" i="6"/>
  <c r="N6" i="6"/>
  <c r="N7" i="6"/>
  <c r="N5" i="6"/>
  <c r="U44" i="9"/>
  <c r="U43" i="9"/>
  <c r="U42" i="9"/>
  <c r="T44" i="9"/>
  <c r="T43" i="9"/>
  <c r="T42" i="9"/>
  <c r="S44" i="9"/>
  <c r="S43" i="9"/>
  <c r="S42" i="9"/>
  <c r="R44" i="9"/>
  <c r="R43" i="9"/>
  <c r="R42" i="9"/>
  <c r="N44" i="9"/>
  <c r="N43" i="9"/>
  <c r="N42" i="9"/>
  <c r="M44" i="9"/>
  <c r="M43" i="9"/>
  <c r="M42" i="9"/>
  <c r="L44" i="9"/>
  <c r="L43" i="9"/>
  <c r="L42" i="9"/>
  <c r="K44" i="9"/>
  <c r="K43" i="9"/>
  <c r="K42" i="9"/>
  <c r="J44" i="9"/>
  <c r="J43" i="9"/>
  <c r="J42" i="9"/>
  <c r="C44" i="9"/>
  <c r="C43" i="9"/>
  <c r="C42" i="9"/>
  <c r="D44" i="9"/>
  <c r="D43" i="9"/>
  <c r="D42" i="9"/>
  <c r="E44" i="9"/>
  <c r="E43" i="9"/>
  <c r="E42" i="9"/>
  <c r="G44" i="9"/>
  <c r="G43" i="9"/>
  <c r="G42" i="9"/>
  <c r="F43" i="9"/>
  <c r="F44" i="9"/>
  <c r="F42" i="9"/>
  <c r="O7" i="7"/>
  <c r="O6" i="7"/>
  <c r="O5" i="7"/>
  <c r="K7" i="7"/>
  <c r="K6" i="7"/>
  <c r="K5" i="7"/>
  <c r="L7" i="7"/>
  <c r="L6" i="7"/>
  <c r="L5" i="7"/>
  <c r="M7" i="7"/>
  <c r="M6" i="7"/>
  <c r="M5" i="7"/>
  <c r="N6" i="7"/>
  <c r="N7" i="7"/>
  <c r="N5" i="7"/>
  <c r="K7" i="3"/>
  <c r="K6" i="3"/>
  <c r="K5" i="3"/>
  <c r="L7" i="3"/>
  <c r="L6" i="3"/>
  <c r="L5" i="3"/>
  <c r="M7" i="3"/>
  <c r="M6" i="3"/>
  <c r="M5" i="3"/>
  <c r="N7" i="3"/>
  <c r="N6" i="3"/>
  <c r="N5" i="3"/>
  <c r="O6" i="3"/>
  <c r="O7" i="3"/>
  <c r="O5" i="3"/>
  <c r="A2" i="1" l="1"/>
  <c r="G2" i="1"/>
  <c r="A3" i="1"/>
  <c r="G3" i="1"/>
  <c r="A4" i="1"/>
  <c r="G4" i="1"/>
  <c r="A5" i="1"/>
  <c r="G5" i="1"/>
  <c r="A6" i="1"/>
  <c r="G6" i="1"/>
  <c r="A7" i="1"/>
  <c r="G7" i="1"/>
  <c r="A8" i="1"/>
  <c r="G8" i="1"/>
  <c r="A9" i="1"/>
  <c r="G9" i="1"/>
  <c r="A10" i="1"/>
  <c r="G10" i="1"/>
  <c r="A11" i="1"/>
  <c r="G11" i="1"/>
  <c r="A12" i="1"/>
  <c r="G12" i="1"/>
  <c r="A13" i="1"/>
  <c r="G13" i="1"/>
  <c r="A14" i="1"/>
  <c r="G14" i="1"/>
  <c r="A15" i="1"/>
  <c r="G15" i="1"/>
  <c r="A16" i="1"/>
  <c r="G16" i="1"/>
  <c r="A17" i="1"/>
  <c r="G17" i="1"/>
  <c r="A18" i="1"/>
  <c r="G18" i="1"/>
  <c r="A19" i="1"/>
  <c r="G19" i="1"/>
  <c r="A20" i="1"/>
  <c r="G20" i="1"/>
  <c r="A21" i="1"/>
  <c r="G21" i="1"/>
  <c r="A22" i="1"/>
  <c r="G22" i="1"/>
  <c r="A23" i="1"/>
  <c r="G23" i="1"/>
  <c r="A24" i="1"/>
  <c r="G24" i="1"/>
  <c r="A25" i="1"/>
  <c r="G25" i="1"/>
  <c r="A26" i="1"/>
  <c r="G26" i="1"/>
  <c r="A27" i="1"/>
  <c r="G27" i="1"/>
  <c r="A28" i="1"/>
  <c r="G28" i="1"/>
  <c r="A29" i="1"/>
  <c r="G29" i="1"/>
  <c r="A30" i="1"/>
  <c r="G30" i="1"/>
  <c r="A31" i="1"/>
  <c r="G31" i="1"/>
  <c r="A32" i="1"/>
  <c r="G32" i="1"/>
  <c r="A33" i="1"/>
  <c r="G33" i="1"/>
  <c r="A34" i="1"/>
  <c r="G34" i="1"/>
  <c r="A35" i="1"/>
  <c r="G35" i="1"/>
  <c r="A36" i="1"/>
  <c r="G36" i="1"/>
  <c r="A37" i="1"/>
  <c r="G37" i="1"/>
  <c r="A38" i="1"/>
  <c r="G38" i="1"/>
  <c r="A39" i="1"/>
  <c r="G39" i="1"/>
  <c r="A40" i="1"/>
  <c r="G40" i="1"/>
  <c r="A41" i="1"/>
  <c r="G41" i="1"/>
  <c r="A42" i="1"/>
  <c r="G42" i="1"/>
  <c r="A43" i="1"/>
  <c r="G43" i="1"/>
  <c r="A44" i="1"/>
  <c r="G44" i="1"/>
  <c r="A45" i="1"/>
  <c r="G45" i="1"/>
  <c r="A46" i="1"/>
  <c r="G46" i="1"/>
  <c r="A47" i="1"/>
  <c r="G47" i="1"/>
  <c r="A48" i="1"/>
  <c r="G48" i="1"/>
  <c r="A49" i="1"/>
  <c r="G49" i="1"/>
  <c r="A50" i="1"/>
  <c r="G50" i="1"/>
  <c r="A51" i="1"/>
  <c r="G51" i="1"/>
  <c r="A52" i="1"/>
  <c r="G52" i="1"/>
  <c r="A53" i="1"/>
  <c r="G53" i="1"/>
  <c r="A54" i="1"/>
  <c r="G54" i="1"/>
  <c r="A55" i="1"/>
  <c r="G55" i="1"/>
  <c r="A56" i="1"/>
  <c r="G56" i="1"/>
  <c r="A57" i="1"/>
  <c r="G57" i="1"/>
  <c r="A58" i="1"/>
  <c r="G58" i="1"/>
  <c r="A59" i="1"/>
  <c r="G59" i="1"/>
  <c r="A60" i="1"/>
  <c r="G60" i="1"/>
  <c r="A61" i="1"/>
  <c r="G61" i="1"/>
  <c r="A62" i="1"/>
  <c r="G62" i="1"/>
  <c r="A63" i="1"/>
  <c r="G63" i="1"/>
  <c r="A64" i="1"/>
  <c r="G64" i="1"/>
  <c r="A65" i="1"/>
  <c r="G65" i="1"/>
  <c r="A66" i="1"/>
  <c r="G66" i="1"/>
  <c r="A67" i="1"/>
  <c r="G67" i="1"/>
  <c r="A68" i="1"/>
  <c r="G68" i="1"/>
  <c r="A69" i="1"/>
  <c r="G69" i="1"/>
  <c r="A70" i="1"/>
  <c r="G70" i="1"/>
  <c r="A71" i="1"/>
  <c r="G71" i="1"/>
  <c r="A72" i="1"/>
  <c r="G72" i="1"/>
  <c r="A73" i="1"/>
  <c r="G73" i="1"/>
  <c r="A74" i="1"/>
  <c r="G74" i="1"/>
  <c r="A75" i="1"/>
  <c r="G75" i="1"/>
  <c r="A76" i="1"/>
  <c r="G76" i="1"/>
  <c r="A77" i="1"/>
  <c r="G77" i="1"/>
  <c r="A78" i="1"/>
  <c r="G78" i="1"/>
  <c r="A79" i="1"/>
  <c r="G79" i="1"/>
  <c r="A80" i="1"/>
  <c r="G80" i="1"/>
  <c r="A81" i="1"/>
  <c r="G81" i="1"/>
  <c r="A82" i="1"/>
  <c r="G82" i="1"/>
  <c r="A83" i="1"/>
  <c r="G83" i="1"/>
  <c r="A84" i="1"/>
  <c r="G84" i="1"/>
  <c r="A85" i="1"/>
  <c r="G85" i="1"/>
  <c r="A86" i="1"/>
  <c r="G86" i="1"/>
  <c r="A87" i="1"/>
  <c r="G87" i="1"/>
  <c r="A88" i="1"/>
  <c r="G88" i="1"/>
  <c r="A89" i="1"/>
  <c r="G89" i="1"/>
  <c r="A90" i="1"/>
  <c r="G90" i="1"/>
  <c r="A91" i="1"/>
  <c r="G91" i="1"/>
  <c r="A92" i="1"/>
  <c r="G92" i="1"/>
  <c r="A93" i="1"/>
  <c r="G93" i="1"/>
  <c r="A94" i="1"/>
  <c r="G94" i="1"/>
  <c r="A95" i="1"/>
  <c r="G95" i="1"/>
  <c r="A96" i="1"/>
  <c r="G96" i="1"/>
  <c r="A97" i="1"/>
  <c r="G97" i="1"/>
  <c r="A98" i="1"/>
  <c r="G98" i="1"/>
  <c r="A99" i="1"/>
  <c r="G99" i="1"/>
  <c r="A100" i="1"/>
  <c r="G100" i="1"/>
  <c r="A101" i="1"/>
  <c r="G101" i="1"/>
  <c r="A102" i="1"/>
  <c r="G102" i="1"/>
  <c r="A103" i="1"/>
  <c r="G103" i="1"/>
  <c r="A104" i="1"/>
  <c r="G104" i="1"/>
  <c r="A105" i="1"/>
  <c r="G105" i="1"/>
  <c r="A106" i="1"/>
  <c r="G106" i="1"/>
  <c r="A107" i="1"/>
  <c r="G107" i="1"/>
  <c r="A108" i="1"/>
  <c r="G108" i="1"/>
  <c r="A109" i="1"/>
  <c r="G109" i="1"/>
  <c r="A110" i="1"/>
  <c r="G110" i="1"/>
  <c r="A111" i="1"/>
  <c r="G111" i="1"/>
  <c r="A112" i="1"/>
  <c r="G112" i="1"/>
  <c r="A113" i="1"/>
  <c r="G113" i="1"/>
  <c r="A114" i="1"/>
  <c r="G114" i="1"/>
  <c r="A115" i="1"/>
  <c r="G115" i="1"/>
  <c r="A116" i="1"/>
  <c r="G116" i="1"/>
  <c r="A117" i="1"/>
  <c r="G117" i="1"/>
  <c r="A118" i="1"/>
  <c r="G118" i="1"/>
  <c r="A119" i="1"/>
  <c r="G119" i="1"/>
  <c r="A120" i="1"/>
  <c r="G120" i="1"/>
  <c r="A121" i="1"/>
  <c r="G121" i="1"/>
  <c r="A122" i="1"/>
  <c r="G122" i="1"/>
  <c r="A123" i="1"/>
  <c r="G123" i="1"/>
  <c r="A124" i="1"/>
  <c r="G124" i="1"/>
  <c r="A125" i="1"/>
  <c r="G125" i="1"/>
  <c r="A126" i="1"/>
  <c r="G126" i="1"/>
  <c r="A127" i="1"/>
  <c r="G127" i="1"/>
  <c r="A128" i="1"/>
  <c r="G128" i="1"/>
  <c r="A129" i="1"/>
  <c r="G129" i="1"/>
  <c r="A130" i="1"/>
  <c r="G130" i="1"/>
  <c r="A131" i="1"/>
  <c r="G131" i="1"/>
  <c r="A132" i="1"/>
  <c r="G132" i="1"/>
  <c r="A133" i="1"/>
  <c r="G133" i="1"/>
  <c r="A134" i="1"/>
  <c r="G134" i="1"/>
  <c r="A135" i="1"/>
  <c r="G135" i="1"/>
  <c r="A136" i="1"/>
  <c r="G136" i="1"/>
  <c r="A137" i="1"/>
  <c r="G137" i="1"/>
  <c r="A138" i="1"/>
  <c r="G138" i="1"/>
  <c r="A139" i="1"/>
  <c r="G139" i="1"/>
  <c r="A140" i="1"/>
  <c r="G140" i="1"/>
  <c r="A141" i="1"/>
  <c r="G141" i="1"/>
  <c r="A142" i="1"/>
  <c r="G142" i="1"/>
  <c r="A143" i="1"/>
  <c r="G143" i="1"/>
  <c r="A144" i="1"/>
  <c r="G144" i="1"/>
  <c r="A145" i="1"/>
  <c r="G145" i="1"/>
  <c r="A146" i="1"/>
  <c r="G146" i="1"/>
  <c r="A147" i="1"/>
  <c r="G147" i="1"/>
  <c r="A148" i="1"/>
  <c r="G148" i="1"/>
  <c r="A149" i="1"/>
  <c r="G149" i="1"/>
  <c r="A150" i="1"/>
  <c r="G150" i="1"/>
  <c r="A151" i="1"/>
  <c r="G151" i="1"/>
  <c r="A152" i="1"/>
  <c r="G152" i="1"/>
  <c r="A153" i="1"/>
  <c r="G153" i="1"/>
  <c r="A154" i="1"/>
  <c r="G154" i="1"/>
  <c r="A155" i="1"/>
  <c r="G155" i="1"/>
  <c r="A156" i="1"/>
  <c r="G156" i="1"/>
  <c r="A157" i="1"/>
  <c r="G157" i="1"/>
  <c r="A158" i="1"/>
  <c r="G158" i="1"/>
  <c r="A159" i="1"/>
  <c r="G159" i="1"/>
  <c r="A160" i="1"/>
  <c r="G160" i="1"/>
  <c r="A161" i="1"/>
  <c r="G161" i="1"/>
  <c r="A162" i="1"/>
  <c r="G162" i="1"/>
  <c r="A163" i="1"/>
  <c r="G163" i="1"/>
  <c r="A164" i="1"/>
  <c r="G164" i="1"/>
  <c r="A165" i="1"/>
  <c r="G165" i="1"/>
  <c r="A166" i="1"/>
  <c r="G166" i="1"/>
  <c r="A167" i="1"/>
  <c r="G167" i="1"/>
  <c r="A168" i="1"/>
  <c r="G168" i="1"/>
  <c r="A169" i="1"/>
  <c r="G169" i="1"/>
  <c r="A170" i="1"/>
  <c r="G170" i="1"/>
  <c r="A171" i="1"/>
  <c r="G171" i="1"/>
  <c r="A172" i="1"/>
  <c r="G172" i="1"/>
  <c r="A173" i="1"/>
  <c r="G173" i="1"/>
  <c r="A174" i="1"/>
  <c r="G174" i="1"/>
  <c r="A175" i="1"/>
  <c r="G175" i="1"/>
  <c r="A176" i="1"/>
  <c r="G176" i="1"/>
  <c r="A177" i="1"/>
  <c r="G177" i="1"/>
  <c r="A178" i="1"/>
  <c r="G178" i="1"/>
  <c r="A179" i="1"/>
  <c r="G179" i="1"/>
  <c r="A180" i="1"/>
  <c r="G180" i="1"/>
  <c r="A181" i="1"/>
  <c r="G181" i="1"/>
  <c r="A182" i="1"/>
  <c r="G182" i="1"/>
  <c r="A183" i="1"/>
  <c r="G183" i="1"/>
  <c r="A184" i="1"/>
  <c r="G184" i="1"/>
  <c r="A185" i="1"/>
  <c r="G185" i="1"/>
  <c r="A186" i="1"/>
  <c r="G186" i="1"/>
  <c r="A187" i="1"/>
  <c r="G187" i="1"/>
  <c r="A188" i="1"/>
  <c r="G188" i="1"/>
  <c r="A189" i="1"/>
  <c r="G189" i="1"/>
  <c r="A190" i="1"/>
  <c r="G190" i="1"/>
  <c r="A191" i="1"/>
  <c r="G191" i="1"/>
  <c r="A192" i="1"/>
  <c r="G192" i="1"/>
  <c r="A193" i="1"/>
  <c r="G193" i="1"/>
</calcChain>
</file>

<file path=xl/sharedStrings.xml><?xml version="1.0" encoding="utf-8"?>
<sst xmlns="http://schemas.openxmlformats.org/spreadsheetml/2006/main" count="907" uniqueCount="95">
  <si>
    <t>|</t>
  </si>
  <si>
    <t>Otros gastos</t>
  </si>
  <si>
    <t>Solar de French</t>
  </si>
  <si>
    <t>El Lucero</t>
  </si>
  <si>
    <t>San Telmo 2</t>
  </si>
  <si>
    <t>San Telmo</t>
  </si>
  <si>
    <t>Recoleta</t>
  </si>
  <si>
    <t>Galería Güemes</t>
  </si>
  <si>
    <t>Florida</t>
  </si>
  <si>
    <t>AS</t>
  </si>
  <si>
    <t>Quilmes</t>
  </si>
  <si>
    <t>Personal</t>
  </si>
  <si>
    <t>Alquiler y expensas</t>
  </si>
  <si>
    <t>Venta</t>
  </si>
  <si>
    <t>-</t>
  </si>
  <si>
    <t>Gasto</t>
  </si>
  <si>
    <t>Ingreso</t>
  </si>
  <si>
    <t>Tipo</t>
  </si>
  <si>
    <t>Concepto</t>
  </si>
  <si>
    <t>Centro</t>
  </si>
  <si>
    <t>Zona</t>
  </si>
  <si>
    <t>Local</t>
  </si>
  <si>
    <t>Marca</t>
  </si>
  <si>
    <t>Importe</t>
  </si>
  <si>
    <t>Mes</t>
  </si>
  <si>
    <t>(Todas)</t>
  </si>
  <si>
    <t>Etiquetas de columna</t>
  </si>
  <si>
    <t>Total general</t>
  </si>
  <si>
    <t>Suma de Importe</t>
  </si>
  <si>
    <t>Etiquetas de fila</t>
  </si>
  <si>
    <t>Venta (M)</t>
  </si>
  <si>
    <t>EL LUCERO</t>
  </si>
  <si>
    <t>EL LUCERO - CENTRO</t>
  </si>
  <si>
    <t>EL LUCERO - SAN TELMO</t>
  </si>
  <si>
    <t>EL LUCERO - SAN TELMO 1</t>
  </si>
  <si>
    <t>EL LUCERO - SAN TELMO 2</t>
  </si>
  <si>
    <t>EL LUCERO - FRENCH</t>
  </si>
  <si>
    <t>EL LUCERO - FLORIDA</t>
  </si>
  <si>
    <t>EL LUCERO - RECOLETA</t>
  </si>
  <si>
    <t>EL LUCERO - GALERIA GÜEMES</t>
  </si>
  <si>
    <t>AS - SAN TELMO</t>
  </si>
  <si>
    <t>Legajo</t>
  </si>
  <si>
    <t>Apellido y Nombre</t>
  </si>
  <si>
    <t>Período</t>
  </si>
  <si>
    <t>Sueldo Neto</t>
  </si>
  <si>
    <t>Sueldo Bruto</t>
  </si>
  <si>
    <t>Tienda</t>
  </si>
  <si>
    <t>CARRIZO CAMILA AGOSTINA</t>
  </si>
  <si>
    <t>ALVAREZ AGUILERA LISMAR GABRIELA</t>
  </si>
  <si>
    <t>Esposito Candela</t>
  </si>
  <si>
    <t>Bertolo Milagros</t>
  </si>
  <si>
    <t>Barajas Barbara</t>
  </si>
  <si>
    <t>De Brito Rocio Nicole</t>
  </si>
  <si>
    <t>Robbio Lara</t>
  </si>
  <si>
    <t>Viña Sofia</t>
  </si>
  <si>
    <t>Molina Agustina</t>
  </si>
  <si>
    <t>Corbalan Kiara Alejandra</t>
  </si>
  <si>
    <t>MARTINEZ  BRISA NICOLE</t>
  </si>
  <si>
    <t>Coronel Mailen Alexia</t>
  </si>
  <si>
    <t>Ruiz de la Torre Maitena</t>
  </si>
  <si>
    <t>Gimenez Bidal Candela Luciana</t>
  </si>
  <si>
    <t>Imperiale Candela</t>
  </si>
  <si>
    <t>MACHUCA TORRES ARACELI DEL VALLE</t>
  </si>
  <si>
    <t>GIMENEZ  MANUELA SOLEDAD</t>
  </si>
  <si>
    <t>Acosta Fara Carolina</t>
  </si>
  <si>
    <t>Sotelo  Daiana Elizabeth</t>
  </si>
  <si>
    <t>Villarruel Candela Jazmin</t>
  </si>
  <si>
    <t>Balmaceda  Luciana Pilar</t>
  </si>
  <si>
    <t>Oliva Micaela Romina</t>
  </si>
  <si>
    <t>Mohamad Daila</t>
  </si>
  <si>
    <t>Sarapura Velazquez Rebecca</t>
  </si>
  <si>
    <t>Scholler Chavez Ruth Iriel</t>
  </si>
  <si>
    <t>Ramirez Lola</t>
  </si>
  <si>
    <t>Guerreño Naomi Geraldina</t>
  </si>
  <si>
    <t>Machta  Gina Mariela</t>
  </si>
  <si>
    <t>Dettoni Leguizamon Oriana</t>
  </si>
  <si>
    <t>Agüero Florencia</t>
  </si>
  <si>
    <t>Martinez Morena</t>
  </si>
  <si>
    <t>SAN TELMO 2</t>
  </si>
  <si>
    <t>SAN TELMO</t>
  </si>
  <si>
    <t>Cargas Sociales</t>
  </si>
  <si>
    <t>ART</t>
  </si>
  <si>
    <t>Hs trabajadas</t>
  </si>
  <si>
    <t>AS SAN TELMO</t>
  </si>
  <si>
    <t>NO</t>
  </si>
  <si>
    <t>FLORIDA</t>
  </si>
  <si>
    <t>AS QUILMES</t>
  </si>
  <si>
    <t>FRENCH</t>
  </si>
  <si>
    <t>GÜEMES</t>
  </si>
  <si>
    <t>RECOLETA</t>
  </si>
  <si>
    <t>French</t>
  </si>
  <si>
    <t>Estructura</t>
  </si>
  <si>
    <t>AS San Telmo</t>
  </si>
  <si>
    <t>Güemes</t>
  </si>
  <si>
    <t>LICENCIA - NO 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</si>
</sst>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(&quot;$&quot;\ * #,##0_);_(&quot;$&quot;\ * \(#,##0\);_(&quot;$&quot;\ * &quot;-&quot;??_);_(@_)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17"/>
      <color theme="1"/>
      <name val="Abadi"/>
      <family val="2"/>
    </font>
    <font>
      <sz val="18"/>
      <color theme="1"/>
      <name val="Abadi"/>
      <family val="2"/>
    </font>
    <font>
      <sz val="9"/>
      <color theme="8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E4A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0" applyFont="1"/>
    <xf numFmtId="0" fontId="7" fillId="0" borderId="0" xfId="0" applyFont="1"/>
    <xf numFmtId="164" fontId="7" fillId="0" borderId="0" xfId="1" applyNumberFormat="1" applyFont="1" applyAlignment="1"/>
    <xf numFmtId="1" fontId="7" fillId="2" borderId="0" xfId="0" applyNumberFormat="1" applyFont="1" applyFill="1"/>
    <xf numFmtId="1" fontId="7" fillId="2" borderId="1" xfId="0" applyNumberFormat="1" applyFont="1" applyFill="1" applyBorder="1"/>
    <xf numFmtId="164" fontId="7" fillId="2" borderId="1" xfId="1" applyNumberFormat="1" applyFont="1" applyFill="1" applyBorder="1" applyAlignment="1">
      <alignment horizontal="left"/>
    </xf>
    <xf numFmtId="17" fontId="7" fillId="2" borderId="1" xfId="0" applyNumberFormat="1" applyFont="1" applyFill="1" applyBorder="1" applyAlignment="1">
      <alignment horizontal="left"/>
    </xf>
    <xf numFmtId="165" fontId="7" fillId="2" borderId="1" xfId="0" applyNumberFormat="1" applyFont="1" applyFill="1" applyBorder="1"/>
    <xf numFmtId="164" fontId="7" fillId="2" borderId="1" xfId="1" applyNumberFormat="1" applyFont="1" applyFill="1" applyBorder="1" applyAlignment="1"/>
    <xf numFmtId="0" fontId="0" fillId="0" borderId="0" xfId="0" pivotButton="1"/>
    <xf numFmtId="1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9" fontId="7" fillId="2" borderId="1" xfId="2" applyFont="1" applyFill="1" applyBorder="1" applyAlignment="1">
      <alignment horizontal="center"/>
    </xf>
    <xf numFmtId="0" fontId="8" fillId="0" borderId="0" xfId="0" applyFont="1"/>
    <xf numFmtId="17" fontId="7" fillId="2" borderId="2" xfId="0" applyNumberFormat="1" applyFont="1" applyFill="1" applyBorder="1" applyAlignment="1">
      <alignment horizontal="left"/>
    </xf>
    <xf numFmtId="164" fontId="7" fillId="2" borderId="2" xfId="1" applyNumberFormat="1" applyFont="1" applyFill="1" applyBorder="1" applyAlignment="1">
      <alignment horizontal="left"/>
    </xf>
    <xf numFmtId="0" fontId="9" fillId="0" borderId="0" xfId="0" applyFont="1"/>
    <xf numFmtId="0" fontId="3" fillId="0" borderId="0" xfId="0" applyFont="1"/>
    <xf numFmtId="164" fontId="7" fillId="2" borderId="1" xfId="1" applyNumberFormat="1" applyFont="1" applyFill="1" applyBorder="1" applyAlignment="1">
      <alignment horizontal="right"/>
    </xf>
    <xf numFmtId="164" fontId="7" fillId="2" borderId="2" xfId="1" applyNumberFormat="1" applyFont="1" applyFill="1" applyBorder="1" applyAlignment="1">
      <alignment horizontal="right"/>
    </xf>
    <xf numFmtId="1" fontId="7" fillId="3" borderId="1" xfId="0" applyNumberFormat="1" applyFont="1" applyFill="1" applyBorder="1"/>
    <xf numFmtId="164" fontId="7" fillId="2" borderId="1" xfId="1" applyNumberFormat="1" applyFont="1" applyFill="1" applyBorder="1"/>
    <xf numFmtId="164" fontId="7" fillId="3" borderId="1" xfId="1" applyNumberFormat="1" applyFont="1" applyFill="1" applyBorder="1"/>
    <xf numFmtId="17" fontId="6" fillId="0" borderId="1" xfId="0" applyNumberFormat="1" applyFont="1" applyBorder="1"/>
    <xf numFmtId="14" fontId="6" fillId="0" borderId="1" xfId="0" applyNumberFormat="1" applyFont="1" applyBorder="1"/>
    <xf numFmtId="17" fontId="6" fillId="3" borderId="1" xfId="0" applyNumberFormat="1" applyFont="1" applyFill="1" applyBorder="1"/>
    <xf numFmtId="14" fontId="6" fillId="3" borderId="1" xfId="0" applyNumberFormat="1" applyFont="1" applyFill="1" applyBorder="1"/>
    <xf numFmtId="9" fontId="0" fillId="0" borderId="0" xfId="2" applyFont="1"/>
    <xf numFmtId="17" fontId="7" fillId="2" borderId="0" xfId="0" applyNumberFormat="1" applyFont="1" applyFill="1" applyAlignment="1">
      <alignment horizontal="left"/>
    </xf>
    <xf numFmtId="164" fontId="7" fillId="2" borderId="0" xfId="1" applyNumberFormat="1" applyFont="1" applyFill="1" applyBorder="1" applyAlignment="1">
      <alignment horizontal="right"/>
    </xf>
    <xf numFmtId="164" fontId="7" fillId="2" borderId="0" xfId="1" applyNumberFormat="1" applyFont="1" applyFill="1" applyBorder="1" applyAlignment="1">
      <alignment horizontal="left"/>
    </xf>
    <xf numFmtId="9" fontId="7" fillId="2" borderId="0" xfId="2" applyFont="1" applyFill="1" applyBorder="1" applyAlignment="1">
      <alignment horizontal="center"/>
    </xf>
    <xf numFmtId="1" fontId="7" fillId="4" borderId="1" xfId="0" applyNumberFormat="1" applyFont="1" applyFill="1" applyBorder="1"/>
    <xf numFmtId="0" fontId="2" fillId="0" borderId="0" xfId="0" applyFont="1"/>
    <xf numFmtId="17" fontId="7" fillId="2" borderId="3" xfId="0" applyNumberFormat="1" applyFont="1" applyFill="1" applyBorder="1" applyAlignment="1">
      <alignment horizontal="left"/>
    </xf>
    <xf numFmtId="164" fontId="7" fillId="2" borderId="3" xfId="1" applyNumberFormat="1" applyFont="1" applyFill="1" applyBorder="1" applyAlignment="1">
      <alignment horizontal="left"/>
    </xf>
    <xf numFmtId="0" fontId="1" fillId="0" borderId="0" xfId="0" applyFont="1"/>
    <xf numFmtId="1" fontId="7" fillId="5" borderId="1" xfId="0" applyNumberFormat="1" applyFont="1" applyFill="1" applyBorder="1"/>
    <xf numFmtId="17" fontId="6" fillId="5" borderId="1" xfId="0" applyNumberFormat="1" applyFont="1" applyFill="1" applyBorder="1"/>
    <xf numFmtId="14" fontId="6" fillId="5" borderId="1" xfId="0" applyNumberFormat="1" applyFont="1" applyFill="1" applyBorder="1"/>
    <xf numFmtId="164" fontId="7" fillId="5" borderId="1" xfId="1" applyNumberFormat="1" applyFont="1" applyFill="1" applyBorder="1"/>
    <xf numFmtId="1" fontId="7" fillId="0" borderId="1" xfId="0" applyNumberFormat="1" applyFont="1" applyBorder="1"/>
    <xf numFmtId="164" fontId="7" fillId="0" borderId="1" xfId="1" applyNumberFormat="1" applyFont="1" applyFill="1" applyBorder="1"/>
    <xf numFmtId="1" fontId="10" fillId="6" borderId="1" xfId="0" applyNumberFormat="1" applyFont="1" applyFill="1" applyBorder="1"/>
    <xf numFmtId="1" fontId="7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E4AFFF"/>
      <color rgb="FFCC66FF"/>
      <color rgb="FF666699"/>
      <color rgb="FF9900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FC-4580-81C3-4E637425B66E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FC-4580-81C3-4E637425B66E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FC-4580-81C3-4E637425B66E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FC-4580-81C3-4E637425B66E}"/>
                </c:ext>
              </c:extLst>
            </c:dLbl>
            <c:dLbl>
              <c:idx val="4"/>
              <c:layout>
                <c:manualLayout>
                  <c:x val="-4.4075113869819195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4F-4548-8985-20BB8296E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LUCERO!$K$4:$O$4</c:f>
              <c:numCache>
                <c:formatCode>_-"$"\ * #,##0_-;\-"$"\ * #,##0_-;_-"$"\ * "-"??_-;_-@_-</c:formatCode>
                <c:ptCount val="5"/>
                <c:pt idx="0">
                  <c:v>112911.37043478261</c:v>
                </c:pt>
                <c:pt idx="1">
                  <c:v>154160.45800000001</c:v>
                </c:pt>
                <c:pt idx="2">
                  <c:v>144976.42300000001</c:v>
                </c:pt>
                <c:pt idx="3">
                  <c:v>121223.20699999999</c:v>
                </c:pt>
                <c:pt idx="4">
                  <c:v>90410.479000000007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580-81C3-4E637425B6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LUCERO!$J$5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F5-49B4-8DB5-253378BD9E70}"/>
                </c:ext>
              </c:extLst>
            </c:dLbl>
            <c:dLbl>
              <c:idx val="1"/>
              <c:layout>
                <c:manualLayout>
                  <c:x val="0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F5-49B4-8DB5-253378BD9E70}"/>
                </c:ext>
              </c:extLst>
            </c:dLbl>
            <c:dLbl>
              <c:idx val="2"/>
              <c:layout>
                <c:manualLayout>
                  <c:x val="-2.6497085320614732E-3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F5-49B4-8DB5-253378BD9E70}"/>
                </c:ext>
              </c:extLst>
            </c:dLbl>
            <c:dLbl>
              <c:idx val="3"/>
              <c:layout>
                <c:manualLayout>
                  <c:x val="0"/>
                  <c:y val="4.1356492969396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99-4501-A242-8E5E2EE09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LUCERO!$K$5:$O$5</c:f>
              <c:numCache>
                <c:formatCode>0%</c:formatCode>
                <c:ptCount val="5"/>
                <c:pt idx="0">
                  <c:v>8.3374292453898199E-2</c:v>
                </c:pt>
                <c:pt idx="1">
                  <c:v>9.5021066945714439E-2</c:v>
                </c:pt>
                <c:pt idx="2">
                  <c:v>8.1861965928073696E-2</c:v>
                </c:pt>
                <c:pt idx="3">
                  <c:v>0.11961605429231055</c:v>
                </c:pt>
                <c:pt idx="4">
                  <c:v>0.1388586064232665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5-49B4-8DB5-253378BD9E70}"/>
            </c:ext>
          </c:extLst>
        </c:ser>
        <c:ser>
          <c:idx val="1"/>
          <c:order val="1"/>
          <c:tx>
            <c:strRef>
              <c:f>LUCERO!$J$6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5B-4458-8495-C7E5B24367BD}"/>
                </c:ext>
              </c:extLst>
            </c:dLbl>
            <c:dLbl>
              <c:idx val="1"/>
              <c:layout>
                <c:manualLayout>
                  <c:x val="1.324854266030688E-3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5B-4458-8495-C7E5B24367BD}"/>
                </c:ext>
              </c:extLst>
            </c:dLbl>
            <c:dLbl>
              <c:idx val="2"/>
              <c:layout>
                <c:manualLayout>
                  <c:x val="1.3248542660307366E-3"/>
                  <c:y val="7.407407407407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5B-4458-8495-C7E5B24367BD}"/>
                </c:ext>
              </c:extLst>
            </c:dLbl>
            <c:dLbl>
              <c:idx val="3"/>
              <c:layout>
                <c:manualLayout>
                  <c:x val="-4.6094129063561466E-2"/>
                  <c:y val="-7.0306038047973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99-4501-A242-8E5E2EE09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LUCERO!$K$6:$O$6</c:f>
              <c:numCache>
                <c:formatCode>0%</c:formatCode>
                <c:ptCount val="5"/>
                <c:pt idx="0">
                  <c:v>0.11945001159870094</c:v>
                </c:pt>
                <c:pt idx="1">
                  <c:v>9.6397386157220669E-2</c:v>
                </c:pt>
                <c:pt idx="2">
                  <c:v>8.0042413617488692E-2</c:v>
                </c:pt>
                <c:pt idx="3">
                  <c:v>0.13091561599092164</c:v>
                </c:pt>
                <c:pt idx="4">
                  <c:v>0.1772262123036645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501-A242-8E5E2EE09A6F}"/>
            </c:ext>
          </c:extLst>
        </c:ser>
        <c:ser>
          <c:idx val="2"/>
          <c:order val="2"/>
          <c:tx>
            <c:strRef>
              <c:f>LUCERO!$J$7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09412906356139E-2"/>
                  <c:y val="-4.54921422663359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99-4501-A242-8E5E2EE09A6F}"/>
                </c:ext>
              </c:extLst>
            </c:dLbl>
            <c:dLbl>
              <c:idx val="1"/>
              <c:layout>
                <c:manualLayout>
                  <c:x val="-1.6982047549733138E-2"/>
                  <c:y val="-5.3763440860215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99-4501-A242-8E5E2EE09A6F}"/>
                </c:ext>
              </c:extLst>
            </c:dLbl>
            <c:dLbl>
              <c:idx val="2"/>
              <c:layout>
                <c:manualLayout>
                  <c:x val="2.4260067928189308E-3"/>
                  <c:y val="-4.9627791563275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99-4501-A242-8E5E2EE09A6F}"/>
                </c:ext>
              </c:extLst>
            </c:dLbl>
            <c:dLbl>
              <c:idx val="3"/>
              <c:layout>
                <c:manualLayout>
                  <c:x val="-4.8520135856381288E-3"/>
                  <c:y val="-6.6170388751034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99-4501-A242-8E5E2EE09A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LUCERO!$K$7:$O$7</c:f>
              <c:numCache>
                <c:formatCode>0%</c:formatCode>
                <c:ptCount val="5"/>
                <c:pt idx="0">
                  <c:v>8.2984988901595846E-3</c:v>
                </c:pt>
                <c:pt idx="1">
                  <c:v>1.4250608349905134E-2</c:v>
                </c:pt>
                <c:pt idx="2">
                  <c:v>1.6835864752988147E-2</c:v>
                </c:pt>
                <c:pt idx="3">
                  <c:v>2.1035569341658043E-2</c:v>
                </c:pt>
                <c:pt idx="4">
                  <c:v>2.5398939872887962E-2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501-A242-8E5E2EE0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08-4194-9B8A-69D142C43B6E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08-4194-9B8A-69D142C43B6E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08-4194-9B8A-69D142C43B6E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08-4194-9B8A-69D142C43B6E}"/>
                </c:ext>
              </c:extLst>
            </c:dLbl>
            <c:dLbl>
              <c:idx val="4"/>
              <c:layout>
                <c:manualLayout>
                  <c:x val="-5.6175269757947122E-2"/>
                  <c:y val="-8.3682008368200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2F-4C94-A6E9-9D97334662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TELMO'!$K$4:$O$4</c:f>
              <c:numCache>
                <c:formatCode>_-"$"\ * #,##0_-;\-"$"\ * #,##0_-;_-"$"\ * "-"??_-;_-@_-</c:formatCode>
                <c:ptCount val="5"/>
                <c:pt idx="0">
                  <c:v>57598.330434782612</c:v>
                </c:pt>
                <c:pt idx="1">
                  <c:v>76280.38</c:v>
                </c:pt>
                <c:pt idx="2">
                  <c:v>70223.12</c:v>
                </c:pt>
                <c:pt idx="3">
                  <c:v>58020.599000000002</c:v>
                </c:pt>
                <c:pt idx="4">
                  <c:v>47945.03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8-4194-9B8A-69D142C43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TELMO'!$J$5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A-4125-920E-603E62F4EA8C}"/>
                </c:ext>
              </c:extLst>
            </c:dLbl>
            <c:dLbl>
              <c:idx val="1"/>
              <c:layout>
                <c:manualLayout>
                  <c:x val="0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A-4125-920E-603E62F4EA8C}"/>
                </c:ext>
              </c:extLst>
            </c:dLbl>
            <c:dLbl>
              <c:idx val="2"/>
              <c:layout>
                <c:manualLayout>
                  <c:x val="4.304425437779859E-3"/>
                  <c:y val="3.808249154959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DA-4125-920E-603E62F4EA8C}"/>
                </c:ext>
              </c:extLst>
            </c:dLbl>
            <c:dLbl>
              <c:idx val="3"/>
              <c:layout>
                <c:manualLayout>
                  <c:x val="8.1833060556463812E-3"/>
                  <c:y val="4.54921422663358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00-420B-AAAE-A4A56AC6BE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TELMO'!$K$5:$O$5</c:f>
              <c:numCache>
                <c:formatCode>0%</c:formatCode>
                <c:ptCount val="5"/>
                <c:pt idx="0">
                  <c:v>5.383243536044522E-2</c:v>
                </c:pt>
                <c:pt idx="1">
                  <c:v>7.8879926135659001E-2</c:v>
                </c:pt>
                <c:pt idx="2">
                  <c:v>7.0162704248971003E-2</c:v>
                </c:pt>
                <c:pt idx="3">
                  <c:v>9.8917661639446347E-2</c:v>
                </c:pt>
                <c:pt idx="4">
                  <c:v>0.1121948258244911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DA-4125-920E-603E62F4EA8C}"/>
            </c:ext>
          </c:extLst>
        </c:ser>
        <c:ser>
          <c:idx val="1"/>
          <c:order val="1"/>
          <c:tx>
            <c:strRef>
              <c:f>'LUCERO-SAN TELMO'!$J$6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F9-4C78-9215-58C8FD913556}"/>
                </c:ext>
              </c:extLst>
            </c:dLbl>
            <c:dLbl>
              <c:idx val="1"/>
              <c:layout>
                <c:manualLayout>
                  <c:x val="1.3249300026648269E-3"/>
                  <c:y val="-7.0179689077326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F9-4C78-9215-58C8FD913556}"/>
                </c:ext>
              </c:extLst>
            </c:dLbl>
            <c:dLbl>
              <c:idx val="2"/>
              <c:layout>
                <c:manualLayout>
                  <c:x val="-2.6491481680228079E-2"/>
                  <c:y val="-9.9623232579798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F9-4C78-9215-58C8FD913556}"/>
                </c:ext>
              </c:extLst>
            </c:dLbl>
            <c:dLbl>
              <c:idx val="3"/>
              <c:layout>
                <c:manualLayout>
                  <c:x val="-4.0916530278232506E-2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0-420B-AAAE-A4A56AC6BE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TELMO'!$K$6:$O$6</c:f>
              <c:numCache>
                <c:formatCode>0%</c:formatCode>
                <c:ptCount val="5"/>
                <c:pt idx="0">
                  <c:v>0.1101812922418947</c:v>
                </c:pt>
                <c:pt idx="1">
                  <c:v>0.10365175842071053</c:v>
                </c:pt>
                <c:pt idx="2">
                  <c:v>8.494942248364927E-2</c:v>
                </c:pt>
                <c:pt idx="3">
                  <c:v>0.1240411484212702</c:v>
                </c:pt>
                <c:pt idx="4">
                  <c:v>0.17088701420585203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0-420B-AAAE-A4A56AC6BE6A}"/>
            </c:ext>
          </c:extLst>
        </c:ser>
        <c:ser>
          <c:idx val="2"/>
          <c:order val="2"/>
          <c:tx>
            <c:strRef>
              <c:f>'LUCERO-SAN TELMO'!$J$7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248542660307366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F9-4C78-9215-58C8FD913556}"/>
                </c:ext>
              </c:extLst>
            </c:dLbl>
            <c:dLbl>
              <c:idx val="1"/>
              <c:layout>
                <c:manualLayout>
                  <c:x val="-2.6497085320615218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F9-4C78-9215-58C8FD913556}"/>
                </c:ext>
              </c:extLst>
            </c:dLbl>
            <c:dLbl>
              <c:idx val="2"/>
              <c:layout>
                <c:manualLayout>
                  <c:x val="0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F9-4C78-9215-58C8FD913556}"/>
                </c:ext>
              </c:extLst>
            </c:dLbl>
            <c:dLbl>
              <c:idx val="3"/>
              <c:layout>
                <c:manualLayout>
                  <c:x val="-9.273979862215254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F9-4C78-9215-58C8FD913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TELMO'!$K$7:$O$7</c:f>
              <c:numCache>
                <c:formatCode>0%</c:formatCode>
                <c:ptCount val="5"/>
                <c:pt idx="0">
                  <c:v>6.2472271132235956E-3</c:v>
                </c:pt>
                <c:pt idx="1">
                  <c:v>1.7007419076832075E-2</c:v>
                </c:pt>
                <c:pt idx="2">
                  <c:v>8.8252927241056801E-3</c:v>
                </c:pt>
                <c:pt idx="3">
                  <c:v>9.2252514777840661E-3</c:v>
                </c:pt>
                <c:pt idx="4">
                  <c:v>1.443237787107444E-2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0-420B-AAAE-A4A56AC6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1D-4ADB-9DB0-485FA331A456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1D-4ADB-9DB0-485FA331A456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1D-4ADB-9DB0-485FA331A456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1D-4ADB-9DB0-485FA331A456}"/>
                </c:ext>
              </c:extLst>
            </c:dLbl>
            <c:dLbl>
              <c:idx val="4"/>
              <c:layout>
                <c:manualLayout>
                  <c:x val="-1.6853699545078121E-2"/>
                  <c:y val="-7.7519379844961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4C-4C7E-B361-B6CD97EAE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(A)'!$C$41:$G$41</c:f>
              <c:numCache>
                <c:formatCode>_-"$"\ * #,##0_-;\-"$"\ * #,##0_-;_-"$"\ * "-"??_-;_-@_-</c:formatCode>
                <c:ptCount val="5"/>
                <c:pt idx="0">
                  <c:v>37017.71043478261</c:v>
                </c:pt>
                <c:pt idx="1">
                  <c:v>43480.13</c:v>
                </c:pt>
                <c:pt idx="2">
                  <c:v>41362.06</c:v>
                </c:pt>
                <c:pt idx="3">
                  <c:v>40058.419000000002</c:v>
                </c:pt>
                <c:pt idx="4">
                  <c:v>32509.360000000001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D-4ADB-9DB0-485FA331A4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09-4D92-BC7D-694546027198}"/>
                </c:ext>
              </c:extLst>
            </c:dLbl>
            <c:dLbl>
              <c:idx val="1"/>
              <c:layout>
                <c:manualLayout>
                  <c:x val="0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09-4D92-BC7D-694546027198}"/>
                </c:ext>
              </c:extLst>
            </c:dLbl>
            <c:dLbl>
              <c:idx val="2"/>
              <c:layout>
                <c:manualLayout>
                  <c:x val="4.304425437779859E-3"/>
                  <c:y val="3.808249154959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09-4D92-BC7D-694546027198}"/>
                </c:ext>
              </c:extLst>
            </c:dLbl>
            <c:dLbl>
              <c:idx val="3"/>
              <c:layout>
                <c:manualLayout>
                  <c:x val="8.0224628961090075E-3"/>
                  <c:y val="-6.6833751044277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ED-4467-ACEC-F261F0E429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(A)'!$C$42:$G$42</c:f>
              <c:numCache>
                <c:formatCode>0%</c:formatCode>
                <c:ptCount val="5"/>
                <c:pt idx="0">
                  <c:v>6.6764215586865863E-2</c:v>
                </c:pt>
                <c:pt idx="1">
                  <c:v>8.739094731317501E-2</c:v>
                </c:pt>
                <c:pt idx="2">
                  <c:v>7.3176674469308353E-2</c:v>
                </c:pt>
                <c:pt idx="3">
                  <c:v>8.8198069424557157E-2</c:v>
                </c:pt>
                <c:pt idx="4">
                  <c:v>9.2601187165788565E-2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92-BC7D-694546027198}"/>
            </c:ext>
          </c:extLst>
        </c:ser>
        <c:ser>
          <c:idx val="1"/>
          <c:order val="1"/>
          <c:tx>
            <c:strRef>
              <c:f>'LUCERO-SAN TELMO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45-48BC-AF01-DE6942A16649}"/>
                </c:ext>
              </c:extLst>
            </c:dLbl>
            <c:dLbl>
              <c:idx val="1"/>
              <c:layout>
                <c:manualLayout>
                  <c:x val="1.7551170151019022E-2"/>
                  <c:y val="-3.2958845404870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45-48BC-AF01-DE6942A16649}"/>
                </c:ext>
              </c:extLst>
            </c:dLbl>
            <c:dLbl>
              <c:idx val="2"/>
              <c:layout>
                <c:manualLayout>
                  <c:x val="-3.5763618907859049E-2"/>
                  <c:y val="-0.190607517112470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45-48BC-AF01-DE6942A16649}"/>
                </c:ext>
              </c:extLst>
            </c:dLbl>
            <c:dLbl>
              <c:idx val="3"/>
              <c:layout>
                <c:manualLayout>
                  <c:x val="1.3370771493515078E-2"/>
                  <c:y val="3.759398496240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ED-4467-ACEC-F261F0E429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(A)'!$C$43:$G$43</c:f>
              <c:numCache>
                <c:formatCode>0%</c:formatCode>
                <c:ptCount val="5"/>
                <c:pt idx="0">
                  <c:v>0.10236679727980735</c:v>
                </c:pt>
                <c:pt idx="1">
                  <c:v>7.2830269136729811E-2</c:v>
                </c:pt>
                <c:pt idx="2">
                  <c:v>5.3030275885678817E-2</c:v>
                </c:pt>
                <c:pt idx="3">
                  <c:v>6.0742374216516147E-2</c:v>
                </c:pt>
                <c:pt idx="4">
                  <c:v>7.7671002214439164E-2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D-4467-ACEC-F261F0E429DE}"/>
            </c:ext>
          </c:extLst>
        </c:ser>
        <c:ser>
          <c:idx val="2"/>
          <c:order val="2"/>
          <c:tx>
            <c:strRef>
              <c:f>'LUCERO-SAN TELMO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248542660307366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8BC-AF01-DE6942A16649}"/>
                </c:ext>
              </c:extLst>
            </c:dLbl>
            <c:dLbl>
              <c:idx val="1"/>
              <c:layout>
                <c:manualLayout>
                  <c:x val="-2.6497085320615218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45-48BC-AF01-DE6942A16649}"/>
                </c:ext>
              </c:extLst>
            </c:dLbl>
            <c:dLbl>
              <c:idx val="2"/>
              <c:layout>
                <c:manualLayout>
                  <c:x val="0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45-48BC-AF01-DE6942A16649}"/>
                </c:ext>
              </c:extLst>
            </c:dLbl>
            <c:dLbl>
              <c:idx val="3"/>
              <c:layout>
                <c:manualLayout>
                  <c:x val="-9.273979862215254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45-48BC-AF01-DE6942A16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(A)'!$C$44:$G$44</c:f>
              <c:numCache>
                <c:formatCode>0%</c:formatCode>
                <c:ptCount val="5"/>
                <c:pt idx="0">
                  <c:v>5.6877199678569412E-3</c:v>
                </c:pt>
                <c:pt idx="1">
                  <c:v>2.4271892701332773E-2</c:v>
                </c:pt>
                <c:pt idx="2">
                  <c:v>3.9061985790843109E-3</c:v>
                </c:pt>
                <c:pt idx="3">
                  <c:v>4.156543388960674E-3</c:v>
                </c:pt>
                <c:pt idx="4">
                  <c:v>7.305895901980229E-3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D-4467-ACEC-F261F0E4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132868996382406E-2"/>
                  <c:y val="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7C-45C5-A67B-9D3688066B35}"/>
                </c:ext>
              </c:extLst>
            </c:dLbl>
            <c:dLbl>
              <c:idx val="1"/>
              <c:layout>
                <c:manualLayout>
                  <c:x val="-5.8860731768751437E-2"/>
                  <c:y val="0.13947001394700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7C-45C5-A67B-9D3688066B35}"/>
                </c:ext>
              </c:extLst>
            </c:dLbl>
            <c:dLbl>
              <c:idx val="2"/>
              <c:layout>
                <c:manualLayout>
                  <c:x val="-7.0450903303290152E-2"/>
                  <c:y val="0.160390516039051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7C-45C5-A67B-9D3688066B35}"/>
                </c:ext>
              </c:extLst>
            </c:dLbl>
            <c:dLbl>
              <c:idx val="3"/>
              <c:layout>
                <c:manualLayout>
                  <c:x val="-3.3362354392766275E-2"/>
                  <c:y val="-9.762900976290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7C-45C5-A67B-9D3688066B35}"/>
                </c:ext>
              </c:extLst>
            </c:dLbl>
            <c:dLbl>
              <c:idx val="4"/>
              <c:layout>
                <c:manualLayout>
                  <c:x val="-4.6291256495905229E-2"/>
                  <c:y val="-6.3424947145877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39-4B49-9942-40922AF71D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(A)'!$J$41:$N$41</c:f>
              <c:numCache>
                <c:formatCode>_-"$"\ * #,##0_-;\-"$"\ * #,##0_-;_-"$"\ * "-"??_-;_-@_-</c:formatCode>
                <c:ptCount val="5"/>
                <c:pt idx="0">
                  <c:v>15939.080000000002</c:v>
                </c:pt>
                <c:pt idx="1">
                  <c:v>20913.61</c:v>
                </c:pt>
                <c:pt idx="2">
                  <c:v>21646.78</c:v>
                </c:pt>
                <c:pt idx="3">
                  <c:v>15489.47</c:v>
                </c:pt>
                <c:pt idx="4">
                  <c:v>10874.15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7C-45C5-A67B-9D3688066B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(A)'!$I$42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54102920723227E-3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B7-4DE5-BDCD-933B482B7989}"/>
                </c:ext>
              </c:extLst>
            </c:dLbl>
            <c:dLbl>
              <c:idx val="1"/>
              <c:layout>
                <c:manualLayout>
                  <c:x val="-4.6360686138155697E-3"/>
                  <c:y val="-5.3763440860215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B7-4DE5-BDCD-933B482B7989}"/>
                </c:ext>
              </c:extLst>
            </c:dLbl>
            <c:dLbl>
              <c:idx val="2"/>
              <c:layout>
                <c:manualLayout>
                  <c:x val="-4.6360686138153997E-3"/>
                  <c:y val="-5.3763440860215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B7-4DE5-BDCD-933B482B7989}"/>
                </c:ext>
              </c:extLst>
            </c:dLbl>
            <c:dLbl>
              <c:idx val="3"/>
              <c:layout>
                <c:manualLayout>
                  <c:x val="-8.0160320641282558E-3"/>
                  <c:y val="-7.5187969924812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(A)'!$J$42:$N$42</c:f>
              <c:numCache>
                <c:formatCode>0%</c:formatCode>
                <c:ptCount val="5"/>
                <c:pt idx="0">
                  <c:v>1.8219370252235384E-2</c:v>
                </c:pt>
                <c:pt idx="1">
                  <c:v>3.2978524511071979E-2</c:v>
                </c:pt>
                <c:pt idx="2">
                  <c:v>3.5636062268845525E-2</c:v>
                </c:pt>
                <c:pt idx="3">
                  <c:v>5.6060020129804315E-2</c:v>
                </c:pt>
                <c:pt idx="4">
                  <c:v>8.7656874330407433E-2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7-4DE5-BDCD-933B482B7989}"/>
            </c:ext>
          </c:extLst>
        </c:ser>
        <c:ser>
          <c:idx val="1"/>
          <c:order val="1"/>
          <c:tx>
            <c:strRef>
              <c:f>'LUCERO-SAN TELMO (A)'!$I$43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7.8577336641852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3A-4DE2-85A4-71689722BA9D}"/>
                </c:ext>
              </c:extLst>
            </c:dLbl>
            <c:dLbl>
              <c:idx val="1"/>
              <c:layout>
                <c:manualLayout>
                  <c:x val="-1.2298192184894724E-2"/>
                  <c:y val="-5.9225820456653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3A-4DE2-85A4-71689722BA9D}"/>
                </c:ext>
              </c:extLst>
            </c:dLbl>
            <c:dLbl>
              <c:idx val="2"/>
              <c:layout>
                <c:manualLayout>
                  <c:x val="5.0244320662322017E-3"/>
                  <c:y val="-0.12142626908478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C5-4098-8A7E-9B5858F339FD}"/>
                </c:ext>
              </c:extLst>
            </c:dLbl>
            <c:dLbl>
              <c:idx val="3"/>
              <c:layout>
                <c:manualLayout>
                  <c:x val="2.4048096192384769E-2"/>
                  <c:y val="1.25313283208020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86973947895792E-2"/>
                      <c:h val="6.95488721804511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(A)'!$J$43:$N$43</c:f>
              <c:numCache>
                <c:formatCode>0%</c:formatCode>
                <c:ptCount val="5"/>
                <c:pt idx="0">
                  <c:v>0.16041540781776614</c:v>
                </c:pt>
                <c:pt idx="1">
                  <c:v>0.12961485989267277</c:v>
                </c:pt>
                <c:pt idx="2">
                  <c:v>0.10295664925684098</c:v>
                </c:pt>
                <c:pt idx="3">
                  <c:v>0.19072624515493433</c:v>
                </c:pt>
                <c:pt idx="4">
                  <c:v>0.34426280845215496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5-4098-8A7E-9B5858F339FD}"/>
            </c:ext>
          </c:extLst>
        </c:ser>
        <c:ser>
          <c:idx val="2"/>
          <c:order val="2"/>
          <c:tx>
            <c:strRef>
              <c:f>'LUCERO-SAN TELMO (A)'!$I$44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177097821047769E-2"/>
                  <c:y val="1.24069478908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3A-4DE2-85A4-71689722BA9D}"/>
                </c:ext>
              </c:extLst>
            </c:dLbl>
            <c:dLbl>
              <c:idx val="1"/>
              <c:layout>
                <c:manualLayout>
                  <c:x val="2.5498377375985166E-2"/>
                  <c:y val="4.1356492969396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3A-4DE2-85A4-71689722BA9D}"/>
                </c:ext>
              </c:extLst>
            </c:dLbl>
            <c:dLbl>
              <c:idx val="2"/>
              <c:layout>
                <c:manualLayout>
                  <c:x val="3.2452480296708476E-2"/>
                  <c:y val="6.6170388751033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3A-4DE2-85A4-71689722BA9D}"/>
                </c:ext>
              </c:extLst>
            </c:dLbl>
            <c:dLbl>
              <c:idx val="3"/>
              <c:layout>
                <c:manualLayout>
                  <c:x val="0"/>
                  <c:y val="-2.92397660818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'LUCERO-SAN TELMO (A)'!$J$44:$N$44</c:f>
              <c:numCache>
                <c:formatCode>0%</c:formatCode>
                <c:ptCount val="5"/>
                <c:pt idx="0">
                  <c:v>9.3658781287456003E-3</c:v>
                </c:pt>
                <c:pt idx="1">
                  <c:v>1.1212206309671071E-2</c:v>
                </c:pt>
                <c:pt idx="2">
                  <c:v>1.5956483597098507E-2</c:v>
                </c:pt>
                <c:pt idx="3">
                  <c:v>1.8418255111375667E-2</c:v>
                </c:pt>
                <c:pt idx="4">
                  <c:v>3.0922337837899976E-2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5-4098-8A7E-9B5858F3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597767713905506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2840176097598371"/>
                  <c:y val="-6.9735006973500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80-46F8-9664-A2C4B3EA34A5}"/>
                </c:ext>
              </c:extLst>
            </c:dLbl>
            <c:dLbl>
              <c:idx val="1"/>
              <c:layout>
                <c:manualLayout>
                  <c:x val="-4.2819934364949949E-2"/>
                  <c:y val="-9.0655509065550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80-46F8-9664-A2C4B3EA34A5}"/>
                </c:ext>
              </c:extLst>
            </c:dLbl>
            <c:dLbl>
              <c:idx val="2"/>
              <c:layout>
                <c:manualLayout>
                  <c:x val="-4.9774037285673256E-2"/>
                  <c:y val="-8.3682008368200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80-46F8-9664-A2C4B3EA34A5}"/>
                </c:ext>
              </c:extLst>
            </c:dLbl>
            <c:dLbl>
              <c:idx val="3"/>
              <c:layout>
                <c:manualLayout>
                  <c:x val="-7.3348070177651506E-2"/>
                  <c:y val="-0.105708245243129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7B-4AE6-9F37-E4CE34572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(A)'!$R$40:$U$40</c:f>
              <c:numCache>
                <c:formatCode>mmm\-yy</c:formatCode>
                <c:ptCount val="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</c:numCache>
            </c:numRef>
          </c:cat>
          <c:val>
            <c:numRef>
              <c:f>'LUCERO-SAN TELMO (A)'!$R$41:$U$41</c:f>
              <c:numCache>
                <c:formatCode>_-"$"\ * #,##0_-;\-"$"\ * #,##0_-;_-"$"\ * "-"??_-;_-@_-</c:formatCode>
                <c:ptCount val="4"/>
                <c:pt idx="0">
                  <c:v>11886.64</c:v>
                </c:pt>
                <c:pt idx="1">
                  <c:v>7214.28</c:v>
                </c:pt>
                <c:pt idx="2">
                  <c:v>2472.71</c:v>
                </c:pt>
                <c:pt idx="3">
                  <c:v>4561.5200000000004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80-46F8-9664-A2C4B3EA3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(A)'!$P$42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3449235048678724E-2"/>
                  <c:y val="1.6542597187758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E4-42D8-B850-9AEEDAA0B4DF}"/>
                </c:ext>
              </c:extLst>
            </c:dLbl>
            <c:dLbl>
              <c:idx val="1"/>
              <c:layout>
                <c:manualLayout>
                  <c:x val="2.7816411682892908E-2"/>
                  <c:y val="1.24069478908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E4-42D8-B850-9AEEDAA0B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(A)'!$R$40:$U$40</c:f>
              <c:numCache>
                <c:formatCode>mmm\-yy</c:formatCode>
                <c:ptCount val="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</c:numCache>
            </c:numRef>
          </c:cat>
          <c:val>
            <c:numRef>
              <c:f>'LUCERO-SAN TELMO (A)'!$R$42:$U$42</c:f>
              <c:numCache>
                <c:formatCode>0%</c:formatCode>
                <c:ptCount val="4"/>
                <c:pt idx="0">
                  <c:v>0.12850738223753727</c:v>
                </c:pt>
                <c:pt idx="1">
                  <c:v>0.1564813120644056</c:v>
                </c:pt>
                <c:pt idx="2">
                  <c:v>0.54104474847434592</c:v>
                </c:pt>
                <c:pt idx="3">
                  <c:v>0.31033185429418259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4-42D8-B850-9AEEDAA0B4DF}"/>
            </c:ext>
          </c:extLst>
        </c:ser>
        <c:ser>
          <c:idx val="1"/>
          <c:order val="1"/>
          <c:tx>
            <c:strRef>
              <c:f>'LUCERO-SAN TELMO (A)'!$P$43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54102920723227E-3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50-45A3-B96E-2859077EDBC4}"/>
                </c:ext>
              </c:extLst>
            </c:dLbl>
            <c:dLbl>
              <c:idx val="1"/>
              <c:layout>
                <c:manualLayout>
                  <c:x val="-5.5632823365785816E-2"/>
                  <c:y val="-9.5119933829611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50-45A3-B96E-2859077EDB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(A)'!$R$40:$U$40</c:f>
              <c:numCache>
                <c:formatCode>mmm\-yy</c:formatCode>
                <c:ptCount val="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</c:numCache>
            </c:numRef>
          </c:cat>
          <c:val>
            <c:numRef>
              <c:f>'LUCERO-SAN TELMO (A)'!$R$43:$U$43</c:f>
              <c:numCache>
                <c:formatCode>0%</c:formatCode>
                <c:ptCount val="4"/>
                <c:pt idx="0">
                  <c:v>0.17071361797783058</c:v>
                </c:pt>
                <c:pt idx="1">
                  <c:v>0.21392184667076966</c:v>
                </c:pt>
                <c:pt idx="2">
                  <c:v>0.73176789922392849</c:v>
                </c:pt>
                <c:pt idx="3">
                  <c:v>0.42191704336054647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0-4870-9711-F699D1C23E62}"/>
            </c:ext>
          </c:extLst>
        </c:ser>
        <c:ser>
          <c:idx val="2"/>
          <c:order val="2"/>
          <c:tx>
            <c:strRef>
              <c:f>'LUCERO-SAN TELMO (A)'!$P$44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177097821047755E-2"/>
                  <c:y val="-1.5163872247765748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50-45A3-B96E-2859077EDBC4}"/>
                </c:ext>
              </c:extLst>
            </c:dLbl>
            <c:dLbl>
              <c:idx val="1"/>
              <c:layout>
                <c:manualLayout>
                  <c:x val="-8.5767269355586456E-2"/>
                  <c:y val="-4.1356492969396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50-45A3-B96E-2859077EDBC4}"/>
                </c:ext>
              </c:extLst>
            </c:dLbl>
            <c:dLbl>
              <c:idx val="2"/>
              <c:layout>
                <c:manualLayout>
                  <c:x val="0"/>
                  <c:y val="-6.2656641604010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10-4870-9711-F699D1C23E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(A)'!$R$40:$U$40</c:f>
              <c:numCache>
                <c:formatCode>mmm\-yy</c:formatCode>
                <c:ptCount val="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</c:numCache>
            </c:numRef>
          </c:cat>
          <c:val>
            <c:numRef>
              <c:f>'LUCERO-SAN TELMO (A)'!$R$44:$U$44</c:f>
              <c:numCache>
                <c:formatCode>0%</c:formatCode>
                <c:ptCount val="4"/>
                <c:pt idx="0">
                  <c:v>6.3092934588748382E-4</c:v>
                </c:pt>
                <c:pt idx="1">
                  <c:v>1.563076010357236E-2</c:v>
                </c:pt>
                <c:pt idx="2">
                  <c:v>3.3752866288404217E-2</c:v>
                </c:pt>
                <c:pt idx="3">
                  <c:v>2.5911680755537625E-2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10-4870-9711-F699D1C2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E1-4257-A73D-39CB50FFF9F4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E1-4257-A73D-39CB50FFF9F4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E1-4257-A73D-39CB50FFF9F4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E1-4257-A73D-39CB50FFF9F4}"/>
                </c:ext>
              </c:extLst>
            </c:dLbl>
            <c:dLbl>
              <c:idx val="4"/>
              <c:layout>
                <c:manualLayout>
                  <c:x val="-4.792023746622507E-2"/>
                  <c:y val="-0.13249651324965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7A-4382-BB0F-4206FCAB0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'LUCERO-CENTRO'!$K$4:$O$4</c:f>
              <c:numCache>
                <c:formatCode>_-"$"\ * #,##0_-;\-"$"\ * #,##0_-;_-"$"\ * "-"??_-;_-@_-</c:formatCode>
                <c:ptCount val="5"/>
                <c:pt idx="0">
                  <c:v>55313.04</c:v>
                </c:pt>
                <c:pt idx="1">
                  <c:v>77880.077999999994</c:v>
                </c:pt>
                <c:pt idx="2">
                  <c:v>74753.303</c:v>
                </c:pt>
                <c:pt idx="3">
                  <c:v>63202.608</c:v>
                </c:pt>
                <c:pt idx="4">
                  <c:v>42465.449000000001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1-4257-A73D-39CB50FFF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'LUCERO-CENTRO'!$J$5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37-4E22-A116-7FED5D2D0DDD}"/>
                </c:ext>
              </c:extLst>
            </c:dLbl>
            <c:dLbl>
              <c:idx val="1"/>
              <c:layout>
                <c:manualLayout>
                  <c:x val="0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7-4E22-A116-7FED5D2D0DDD}"/>
                </c:ext>
              </c:extLst>
            </c:dLbl>
            <c:dLbl>
              <c:idx val="2"/>
              <c:layout>
                <c:manualLayout>
                  <c:x val="-2.6497085320614732E-3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37-4E22-A116-7FED5D2D0DDD}"/>
                </c:ext>
              </c:extLst>
            </c:dLbl>
            <c:dLbl>
              <c:idx val="3"/>
              <c:layout>
                <c:manualLayout>
                  <c:x val="-4.241508477561428E-2"/>
                  <c:y val="-9.0984284532671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37-4E22-A116-7FED5D2D0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'LUCERO-CENTRO'!$K$5:$O$5</c:f>
              <c:numCache>
                <c:formatCode>0%</c:formatCode>
                <c:ptCount val="5"/>
                <c:pt idx="0">
                  <c:v>0.11413668856385401</c:v>
                </c:pt>
                <c:pt idx="1">
                  <c:v>0.11083066018500909</c:v>
                </c:pt>
                <c:pt idx="2">
                  <c:v>9.2852231559587411E-2</c:v>
                </c:pt>
                <c:pt idx="3">
                  <c:v>0.13861737683356359</c:v>
                </c:pt>
                <c:pt idx="4">
                  <c:v>0.16896298046913386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7-4E22-A116-7FED5D2D0DDD}"/>
            </c:ext>
          </c:extLst>
        </c:ser>
        <c:ser>
          <c:idx val="1"/>
          <c:order val="1"/>
          <c:tx>
            <c:strRef>
              <c:f>'LUCERO-CENTRO'!$J$6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A4-4BF2-B7F9-B714C6C5000E}"/>
                </c:ext>
              </c:extLst>
            </c:dLbl>
            <c:dLbl>
              <c:idx val="1"/>
              <c:layout>
                <c:manualLayout>
                  <c:x val="1.324854266030688E-3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4-4BF2-B7F9-B714C6C5000E}"/>
                </c:ext>
              </c:extLst>
            </c:dLbl>
            <c:dLbl>
              <c:idx val="2"/>
              <c:layout>
                <c:manualLayout>
                  <c:x val="1.2915101537203539E-2"/>
                  <c:y val="4.9260142110027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A4-4BF2-B7F9-B714C6C5000E}"/>
                </c:ext>
              </c:extLst>
            </c:dLbl>
            <c:dLbl>
              <c:idx val="3"/>
              <c:layout>
                <c:manualLayout>
                  <c:x val="0"/>
                  <c:y val="7.8577336641852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A4-4BF2-B7F9-B714C6C5000E}"/>
                </c:ext>
              </c:extLst>
            </c:dLbl>
            <c:dLbl>
              <c:idx val="4"/>
              <c:layout>
                <c:manualLayout>
                  <c:x val="-1.6366612111292964E-2"/>
                  <c:y val="-2.0678246484698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4B-4812-8442-D13958F9A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'LUCERO-CENTRO'!$K$6:$O$6</c:f>
              <c:numCache>
                <c:formatCode>0%</c:formatCode>
                <c:ptCount val="5"/>
                <c:pt idx="0">
                  <c:v>0.12910167348928933</c:v>
                </c:pt>
                <c:pt idx="1">
                  <c:v>8.9292022537522373E-2</c:v>
                </c:pt>
                <c:pt idx="2">
                  <c:v>7.5432778208475951E-2</c:v>
                </c:pt>
                <c:pt idx="3">
                  <c:v>0.13722644300928216</c:v>
                </c:pt>
                <c:pt idx="4">
                  <c:v>0.1843833965589296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B-4812-8442-D13958F9A58E}"/>
            </c:ext>
          </c:extLst>
        </c:ser>
        <c:ser>
          <c:idx val="2"/>
          <c:order val="2"/>
          <c:tx>
            <c:strRef>
              <c:f>'LUCERO-CENTRO'!$J$7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248542660307366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A4-4BF2-B7F9-B714C6C5000E}"/>
                </c:ext>
              </c:extLst>
            </c:dLbl>
            <c:dLbl>
              <c:idx val="1"/>
              <c:layout>
                <c:manualLayout>
                  <c:x val="-2.6497085320615218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A4-4BF2-B7F9-B714C6C5000E}"/>
                </c:ext>
              </c:extLst>
            </c:dLbl>
            <c:dLbl>
              <c:idx val="2"/>
              <c:layout>
                <c:manualLayout>
                  <c:x val="0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A4-4BF2-B7F9-B714C6C5000E}"/>
                </c:ext>
              </c:extLst>
            </c:dLbl>
            <c:dLbl>
              <c:idx val="3"/>
              <c:layout>
                <c:manualLayout>
                  <c:x val="-9.273979862215254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A4-4BF2-B7F9-B714C6C50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'LUCERO-CENTRO'!$K$7:$O$7</c:f>
              <c:numCache>
                <c:formatCode>0%</c:formatCode>
                <c:ptCount val="5"/>
                <c:pt idx="0">
                  <c:v>1.0434520154214186E-2</c:v>
                </c:pt>
                <c:pt idx="1">
                  <c:v>1.1550423973638035E-2</c:v>
                </c:pt>
                <c:pt idx="2">
                  <c:v>2.4360981881964471E-2</c:v>
                </c:pt>
                <c:pt idx="3">
                  <c:v>3.1877554166752108E-2</c:v>
                </c:pt>
                <c:pt idx="4">
                  <c:v>3.7780585576759118E-2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B-4812-8442-D13958F9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4C-4EF8-A96D-CD172649CB54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4C-4EF8-A96D-CD172649CB54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4C-4EF8-A96D-CD172649CB54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4C-4EF8-A96D-CD172649CB54}"/>
                </c:ext>
              </c:extLst>
            </c:dLbl>
            <c:dLbl>
              <c:idx val="4"/>
              <c:layout>
                <c:manualLayout>
                  <c:x val="-4.800533511742415E-2"/>
                  <c:y val="-0.11854951185495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B1-4E84-8D18-AD2EB52CD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(A)'!$C$41:$G$41</c:f>
              <c:numCache>
                <c:formatCode>_-"$"\ * #,##0_-;\-"$"\ * #,##0_-;_-"$"\ * "-"??_-;_-@_-</c:formatCode>
                <c:ptCount val="5"/>
                <c:pt idx="0">
                  <c:v>35956.36</c:v>
                </c:pt>
                <c:pt idx="1">
                  <c:v>53095.66</c:v>
                </c:pt>
                <c:pt idx="2">
                  <c:v>45648.692999999999</c:v>
                </c:pt>
                <c:pt idx="3">
                  <c:v>40118.678</c:v>
                </c:pt>
                <c:pt idx="4">
                  <c:v>23978.278999999999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C-4EF8-A96D-CD172649C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6B-4201-8D56-EA7C10B50F30}"/>
                </c:ext>
              </c:extLst>
            </c:dLbl>
            <c:dLbl>
              <c:idx val="1"/>
              <c:layout>
                <c:manualLayout>
                  <c:x val="-9.2721372276309694E-3"/>
                  <c:y val="6.9995701529864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6B-4201-8D56-EA7C10B50F30}"/>
                </c:ext>
              </c:extLst>
            </c:dLbl>
            <c:dLbl>
              <c:idx val="2"/>
              <c:layout>
                <c:manualLayout>
                  <c:x val="4.304425437779859E-3"/>
                  <c:y val="3.808249154959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6B-4201-8D56-EA7C10B50F30}"/>
                </c:ext>
              </c:extLst>
            </c:dLbl>
            <c:dLbl>
              <c:idx val="3"/>
              <c:layout>
                <c:manualLayout>
                  <c:x val="2.7277686852154839E-2"/>
                  <c:y val="-5.3763440860215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99-43FE-B440-E6EFEE58B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(A)'!$C$42:$G$42</c:f>
              <c:numCache>
                <c:formatCode>0%</c:formatCode>
                <c:ptCount val="5"/>
                <c:pt idx="0">
                  <c:v>7.8395477184008605E-2</c:v>
                </c:pt>
                <c:pt idx="1">
                  <c:v>8.5732599990281683E-2</c:v>
                </c:pt>
                <c:pt idx="2">
                  <c:v>7.0603664380927619E-2</c:v>
                </c:pt>
                <c:pt idx="3">
                  <c:v>9.4031315787623915E-2</c:v>
                </c:pt>
                <c:pt idx="4">
                  <c:v>0.10017771500615205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B-4201-8D56-EA7C10B50F30}"/>
            </c:ext>
          </c:extLst>
        </c:ser>
        <c:ser>
          <c:idx val="1"/>
          <c:order val="1"/>
          <c:tx>
            <c:strRef>
              <c:f>'LUCERO-CENTRO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D1-4BB1-9C4F-737397A37103}"/>
                </c:ext>
              </c:extLst>
            </c:dLbl>
            <c:dLbl>
              <c:idx val="1"/>
              <c:layout>
                <c:manualLayout>
                  <c:x val="1.7551170151019022E-2"/>
                  <c:y val="-3.2958845404870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D1-4BB1-9C4F-737397A37103}"/>
                </c:ext>
              </c:extLst>
            </c:dLbl>
            <c:dLbl>
              <c:idx val="2"/>
              <c:layout>
                <c:manualLayout>
                  <c:x val="-3.5763618907859049E-2"/>
                  <c:y val="-0.190607517112470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D1-4BB1-9C4F-737397A37103}"/>
                </c:ext>
              </c:extLst>
            </c:dLbl>
            <c:dLbl>
              <c:idx val="3"/>
              <c:layout>
                <c:manualLayout>
                  <c:x val="-5.1827605019094482E-2"/>
                  <c:y val="-9.0984284532671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99-43FE-B440-E6EFEE58B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(A)'!$C$43:$G$43</c:f>
              <c:numCache>
                <c:formatCode>0%</c:formatCode>
                <c:ptCount val="5"/>
                <c:pt idx="0">
                  <c:v>0.12940685040476846</c:v>
                </c:pt>
                <c:pt idx="1">
                  <c:v>9.6901504755755916E-2</c:v>
                </c:pt>
                <c:pt idx="2">
                  <c:v>9.2518084011737209E-2</c:v>
                </c:pt>
                <c:pt idx="3">
                  <c:v>0.11147110331601655</c:v>
                </c:pt>
                <c:pt idx="4">
                  <c:v>0.19029681781415592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9-43FE-B440-E6EFEE58B22A}"/>
            </c:ext>
          </c:extLst>
        </c:ser>
        <c:ser>
          <c:idx val="2"/>
          <c:order val="2"/>
          <c:tx>
            <c:strRef>
              <c:f>'LUCERO-CENTRO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248542660307366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D1-4BB1-9C4F-737397A37103}"/>
                </c:ext>
              </c:extLst>
            </c:dLbl>
            <c:dLbl>
              <c:idx val="1"/>
              <c:layout>
                <c:manualLayout>
                  <c:x val="-2.6497085320615218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D1-4BB1-9C4F-737397A37103}"/>
                </c:ext>
              </c:extLst>
            </c:dLbl>
            <c:dLbl>
              <c:idx val="2"/>
              <c:layout>
                <c:manualLayout>
                  <c:x val="0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D1-4BB1-9C4F-737397A37103}"/>
                </c:ext>
              </c:extLst>
            </c:dLbl>
            <c:dLbl>
              <c:idx val="3"/>
              <c:layout>
                <c:manualLayout>
                  <c:x val="-9.273979862215254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D1-4BB1-9C4F-737397A37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(A)'!$C$40:$G$40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(A)'!$C$44:$G$44</c:f>
              <c:numCache>
                <c:formatCode>0%</c:formatCode>
                <c:ptCount val="5"/>
                <c:pt idx="0">
                  <c:v>1.29493898711656E-2</c:v>
                </c:pt>
                <c:pt idx="1">
                  <c:v>1.4242267258755237E-2</c:v>
                </c:pt>
                <c:pt idx="2">
                  <c:v>3.5116034757008266E-2</c:v>
                </c:pt>
                <c:pt idx="3">
                  <c:v>4.3066833608026669E-2</c:v>
                </c:pt>
                <c:pt idx="4">
                  <c:v>5.6454028247815445E-2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9-43FE-B440-E6EFEE58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579287681123734"/>
          <c:h val="7.065949907066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132868996382406E-2"/>
                  <c:y val="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4-40C8-8A3C-BA3CC0F47DFC}"/>
                </c:ext>
              </c:extLst>
            </c:dLbl>
            <c:dLbl>
              <c:idx val="1"/>
              <c:layout>
                <c:manualLayout>
                  <c:x val="-0.13251049224411598"/>
                  <c:y val="-0.11854951185495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24-40C8-8A3C-BA3CC0F47DFC}"/>
                </c:ext>
              </c:extLst>
            </c:dLbl>
            <c:dLbl>
              <c:idx val="2"/>
              <c:layout>
                <c:manualLayout>
                  <c:x val="-7.0450962451297519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24-40C8-8A3C-BA3CC0F47DFC}"/>
                </c:ext>
              </c:extLst>
            </c:dLbl>
            <c:dLbl>
              <c:idx val="3"/>
              <c:layout>
                <c:manualLayout>
                  <c:x val="-3.3362354392766275E-2"/>
                  <c:y val="-9.762900976290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24-40C8-8A3C-BA3CC0F47DFC}"/>
                </c:ext>
              </c:extLst>
            </c:dLbl>
            <c:dLbl>
              <c:idx val="4"/>
              <c:layout>
                <c:manualLayout>
                  <c:x val="-2.0642550614070231E-2"/>
                  <c:y val="-8.3682008368200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E5-4CE0-AD80-D8C721B7C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(A)'!$J$41:$N$41</c:f>
              <c:numCache>
                <c:formatCode>_-"$"\ * #,##0_-;\-"$"\ * #,##0_-;_-"$"\ * "-"??_-;_-@_-</c:formatCode>
                <c:ptCount val="5"/>
                <c:pt idx="0">
                  <c:v>19356.68</c:v>
                </c:pt>
                <c:pt idx="1">
                  <c:v>24784.418000000001</c:v>
                </c:pt>
                <c:pt idx="2">
                  <c:v>29104.61</c:v>
                </c:pt>
                <c:pt idx="3">
                  <c:v>20476.37</c:v>
                </c:pt>
                <c:pt idx="4">
                  <c:v>15336.68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4-40C8-8A3C-BA3CC0F47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(A)'!$I$42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54102920723227E-3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6C-4595-BD0B-5DB272FD0298}"/>
                </c:ext>
              </c:extLst>
            </c:dLbl>
            <c:dLbl>
              <c:idx val="1"/>
              <c:layout>
                <c:manualLayout>
                  <c:x val="-4.6360686138155697E-3"/>
                  <c:y val="-5.3763440860215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6C-4595-BD0B-5DB272FD0298}"/>
                </c:ext>
              </c:extLst>
            </c:dLbl>
            <c:dLbl>
              <c:idx val="2"/>
              <c:layout>
                <c:manualLayout>
                  <c:x val="-3.4770514603616132E-2"/>
                  <c:y val="-9.09842845326716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6C-4595-BD0B-5DB272FD0298}"/>
                </c:ext>
              </c:extLst>
            </c:dLbl>
            <c:dLbl>
              <c:idx val="3"/>
              <c:layout>
                <c:manualLayout>
                  <c:x val="1.9063180827886609E-2"/>
                  <c:y val="2.4813895781637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B8-4CD6-A7A6-A79AA033F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(A)'!$J$42:$N$42</c:f>
              <c:numCache>
                <c:formatCode>0%</c:formatCode>
                <c:ptCount val="5"/>
                <c:pt idx="0">
                  <c:v>0.18052843876119251</c:v>
                </c:pt>
                <c:pt idx="1">
                  <c:v>0.16459823587546013</c:v>
                </c:pt>
                <c:pt idx="2">
                  <c:v>0.12774766609138552</c:v>
                </c:pt>
                <c:pt idx="3">
                  <c:v>0.18879610302021305</c:v>
                </c:pt>
                <c:pt idx="4">
                  <c:v>0.23516255799821081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C-4595-BD0B-5DB272FD0298}"/>
            </c:ext>
          </c:extLst>
        </c:ser>
        <c:ser>
          <c:idx val="1"/>
          <c:order val="1"/>
          <c:tx>
            <c:strRef>
              <c:f>'LUCERO-CENTRO (A)'!$I$43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7.8577336641852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AB-419E-B81A-E43C1FE6E77A}"/>
                </c:ext>
              </c:extLst>
            </c:dLbl>
            <c:dLbl>
              <c:idx val="1"/>
              <c:layout>
                <c:manualLayout>
                  <c:x val="-6.954102920723312E-3"/>
                  <c:y val="7.4441687344913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AB-419E-B81A-E43C1FE6E77A}"/>
                </c:ext>
              </c:extLst>
            </c:dLbl>
            <c:dLbl>
              <c:idx val="2"/>
              <c:layout>
                <c:manualLayout>
                  <c:x val="3.7088548910523961E-2"/>
                  <c:y val="2.8949545078577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AB-419E-B81A-E43C1FE6E77A}"/>
                </c:ext>
              </c:extLst>
            </c:dLbl>
            <c:dLbl>
              <c:idx val="3"/>
              <c:layout>
                <c:manualLayout>
                  <c:x val="2.7233115468409588E-2"/>
                  <c:y val="4.1356492969396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B8-4CD6-A7A6-A79AA033F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(A)'!$J$43:$N$43</c:f>
              <c:numCache>
                <c:formatCode>0%</c:formatCode>
                <c:ptCount val="5"/>
                <c:pt idx="0">
                  <c:v>0.12853478644891583</c:v>
                </c:pt>
                <c:pt idx="1">
                  <c:v>7.2990228376554972E-2</c:v>
                </c:pt>
                <c:pt idx="2">
                  <c:v>4.8635584244214228E-2</c:v>
                </c:pt>
                <c:pt idx="3">
                  <c:v>0.11740405390066699</c:v>
                </c:pt>
                <c:pt idx="4">
                  <c:v>0.16100251829535467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CD6-A7A6-A79AA033F9FC}"/>
            </c:ext>
          </c:extLst>
        </c:ser>
        <c:ser>
          <c:idx val="2"/>
          <c:order val="2"/>
          <c:tx>
            <c:strRef>
              <c:f>'LUCERO-CENTRO (A)'!$I$44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177097821047769E-2"/>
                  <c:y val="1.24069478908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AB-419E-B81A-E43C1FE6E77A}"/>
                </c:ext>
              </c:extLst>
            </c:dLbl>
            <c:dLbl>
              <c:idx val="1"/>
              <c:layout>
                <c:manualLayout>
                  <c:x val="-6.8438749077933889E-2"/>
                  <c:y val="-3.7220843672456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AB-419E-B81A-E43C1FE6E77A}"/>
                </c:ext>
              </c:extLst>
            </c:dLbl>
            <c:dLbl>
              <c:idx val="2"/>
              <c:layout>
                <c:manualLayout>
                  <c:x val="-6.0268891979601301E-2"/>
                  <c:y val="-4.54921422663358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AB-419E-B81A-E43C1FE6E77A}"/>
                </c:ext>
              </c:extLst>
            </c:dLbl>
            <c:dLbl>
              <c:idx val="3"/>
              <c:layout>
                <c:manualLayout>
                  <c:x val="2.7233115468409588E-3"/>
                  <c:y val="-4.962779156327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B8-4CD6-A7A6-A79AA033F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(A)'!$J$40:$N$40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'LUCERO-CENTRO (A)'!$J$44:$N$44</c:f>
              <c:numCache>
                <c:formatCode>0%</c:formatCode>
                <c:ptCount val="5"/>
                <c:pt idx="0">
                  <c:v>5.7629772607116206E-3</c:v>
                </c:pt>
                <c:pt idx="1">
                  <c:v>5.7836879607178985E-3</c:v>
                </c:pt>
                <c:pt idx="2">
                  <c:v>7.4923790423578945E-3</c:v>
                </c:pt>
                <c:pt idx="3">
                  <c:v>9.0631952831483325E-3</c:v>
                </c:pt>
                <c:pt idx="4">
                  <c:v>1.3763404465634021E-2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CD6-A7A6-A79AA03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279587600569543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646295438560377E-2"/>
                  <c:y val="9.7629009762901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03-4BCC-8321-A1BECEE8CBA8}"/>
                </c:ext>
              </c:extLst>
            </c:dLbl>
            <c:dLbl>
              <c:idx val="1"/>
              <c:layout>
                <c:manualLayout>
                  <c:x val="-2.5796622235946198E-2"/>
                  <c:y val="7.67085076708507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03-4BCC-8321-A1BECEE8CB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(A)'!$T$40:$U$40</c:f>
              <c:numCache>
                <c:formatCode>mmm\-yy</c:formatCode>
                <c:ptCount val="2"/>
                <c:pt idx="0">
                  <c:v>45658</c:v>
                </c:pt>
                <c:pt idx="1">
                  <c:v>45689</c:v>
                </c:pt>
              </c:numCache>
            </c:numRef>
          </c:cat>
          <c:val>
            <c:numRef>
              <c:f>'LUCERO-CENTRO (A)'!$T$41:$U$41</c:f>
              <c:numCache>
                <c:formatCode>_-"$"\ * #,##0_-;\-"$"\ * #,##0_-;_-"$"\ * "-"??_-;_-@_-</c:formatCode>
                <c:ptCount val="2"/>
                <c:pt idx="0">
                  <c:v>2607.56</c:v>
                </c:pt>
                <c:pt idx="1">
                  <c:v>3150.49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A5B-A480-6BEC46B6CF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85792349726776E-2"/>
                  <c:y val="6.2034739454094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68-4793-AEAD-67B140EF66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(A)'!$T$40:$U$40</c:f>
              <c:numCache>
                <c:formatCode>mmm\-yy</c:formatCode>
                <c:ptCount val="2"/>
                <c:pt idx="0">
                  <c:v>45658</c:v>
                </c:pt>
                <c:pt idx="1">
                  <c:v>45689</c:v>
                </c:pt>
              </c:numCache>
            </c:numRef>
          </c:cat>
          <c:val>
            <c:numRef>
              <c:f>'LUCERO-CENTRO (A)'!$T$42:$U$42</c:f>
              <c:numCache>
                <c:formatCode>0%</c:formatCode>
                <c:ptCount val="2"/>
                <c:pt idx="0">
                  <c:v>0.43055913957876335</c:v>
                </c:pt>
                <c:pt idx="1">
                  <c:v>0.37022391120111475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B-4D8F-AEB0-B299E1916E5C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092896174863388E-2"/>
                  <c:y val="-3.7220843672456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68-4793-AEAD-67B140EF66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(A)'!$T$40:$U$40</c:f>
              <c:numCache>
                <c:formatCode>mmm\-yy</c:formatCode>
                <c:ptCount val="2"/>
                <c:pt idx="0">
                  <c:v>45658</c:v>
                </c:pt>
                <c:pt idx="1">
                  <c:v>45689</c:v>
                </c:pt>
              </c:numCache>
            </c:numRef>
          </c:cat>
          <c:val>
            <c:numRef>
              <c:f>'LUCERO-CENTRO (A)'!$T$43:$U$43</c:f>
              <c:numCache>
                <c:formatCode>0%</c:formatCode>
                <c:ptCount val="2"/>
                <c:pt idx="0">
                  <c:v>0.6891450004371904</c:v>
                </c:pt>
                <c:pt idx="1">
                  <c:v>0.25319535385606684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8-4793-AEAD-67B140EF660D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393442622950821E-2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68-4793-AEAD-67B140EF66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(A)'!$T$40:$U$40</c:f>
              <c:numCache>
                <c:formatCode>mmm\-yy</c:formatCode>
                <c:ptCount val="2"/>
                <c:pt idx="0">
                  <c:v>45658</c:v>
                </c:pt>
                <c:pt idx="1">
                  <c:v>45689</c:v>
                </c:pt>
              </c:numCache>
            </c:numRef>
          </c:cat>
          <c:val>
            <c:numRef>
              <c:f>'LUCERO-CENTRO (A)'!$T$44:$U$44</c:f>
              <c:numCache>
                <c:formatCode>0%</c:formatCode>
                <c:ptCount val="2"/>
                <c:pt idx="0">
                  <c:v>3.8878794735308107E-2</c:v>
                </c:pt>
                <c:pt idx="1">
                  <c:v>1.2573967858967973E-2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8-4793-AEAD-67B140EF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60300116174002838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DB-4BDC-BD7C-D872D17AEBE0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DB-4BDC-BD7C-D872D17AEBE0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DB-4BDC-BD7C-D872D17AEBE0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DB-4BDC-BD7C-D872D17AEBE0}"/>
                </c:ext>
              </c:extLst>
            </c:dLbl>
            <c:dLbl>
              <c:idx val="4"/>
              <c:layout>
                <c:manualLayout>
                  <c:x val="-5.3375774836656058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88-4A93-A914-760D50BDA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'AS-SAN TELMO'!$K$4:$O$4</c:f>
              <c:numCache>
                <c:formatCode>_-"$"\ * #,##0_-;\-"$"\ * #,##0_-;_-"$"\ * "-"??_-;_-@_-</c:formatCode>
                <c:ptCount val="5"/>
                <c:pt idx="0">
                  <c:v>21228.068695652175</c:v>
                </c:pt>
                <c:pt idx="1">
                  <c:v>17536.740000000002</c:v>
                </c:pt>
                <c:pt idx="2">
                  <c:v>19509.198</c:v>
                </c:pt>
                <c:pt idx="3">
                  <c:v>14424.775</c:v>
                </c:pt>
                <c:pt idx="4">
                  <c:v>14999.9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DB-4BDC-BD7C-D872D17AE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'AS-SAN TELMO'!$J$5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EB-43DA-B8C2-F6C40B1E5B61}"/>
                </c:ext>
              </c:extLst>
            </c:dLbl>
            <c:dLbl>
              <c:idx val="1"/>
              <c:layout>
                <c:manualLayout>
                  <c:x val="0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EB-43DA-B8C2-F6C40B1E5B61}"/>
                </c:ext>
              </c:extLst>
            </c:dLbl>
            <c:dLbl>
              <c:idx val="2"/>
              <c:layout>
                <c:manualLayout>
                  <c:x val="4.304425437779859E-3"/>
                  <c:y val="3.8082491549598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EB-43DA-B8C2-F6C40B1E5B61}"/>
                </c:ext>
              </c:extLst>
            </c:dLbl>
            <c:dLbl>
              <c:idx val="3"/>
              <c:layout>
                <c:manualLayout>
                  <c:x val="-3.000545553737043E-2"/>
                  <c:y val="9.5119933829611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C7-4C23-80FF-31E1B6B80E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'AS-SAN TELMO'!$K$5:$O$5</c:f>
              <c:numCache>
                <c:formatCode>0%</c:formatCode>
                <c:ptCount val="5"/>
                <c:pt idx="0">
                  <c:v>7.6818141743341534E-2</c:v>
                </c:pt>
                <c:pt idx="1">
                  <c:v>0.13153313785800552</c:v>
                </c:pt>
                <c:pt idx="2">
                  <c:v>0.10739349715964747</c:v>
                </c:pt>
                <c:pt idx="3">
                  <c:v>0.19558012308684192</c:v>
                </c:pt>
                <c:pt idx="4">
                  <c:v>0.14306380509203395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B-43DA-B8C2-F6C40B1E5B61}"/>
            </c:ext>
          </c:extLst>
        </c:ser>
        <c:ser>
          <c:idx val="1"/>
          <c:order val="1"/>
          <c:tx>
            <c:strRef>
              <c:f>'AS-SAN TELMO'!$J$6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EB-43DA-B8C2-F6C40B1E5B61}"/>
                </c:ext>
              </c:extLst>
            </c:dLbl>
            <c:dLbl>
              <c:idx val="1"/>
              <c:layout>
                <c:manualLayout>
                  <c:x val="1.3249300026648269E-3"/>
                  <c:y val="-7.0179689077326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EB-43DA-B8C2-F6C40B1E5B61}"/>
                </c:ext>
              </c:extLst>
            </c:dLbl>
            <c:dLbl>
              <c:idx val="2"/>
              <c:layout>
                <c:manualLayout>
                  <c:x val="-2.6491481680228079E-2"/>
                  <c:y val="-9.9623232579798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EB-43DA-B8C2-F6C40B1E5B61}"/>
                </c:ext>
              </c:extLst>
            </c:dLbl>
            <c:dLbl>
              <c:idx val="3"/>
              <c:layout>
                <c:manualLayout>
                  <c:x val="2.7277686852153937E-3"/>
                  <c:y val="-4.9627791563275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C7-4C23-80FF-31E1B6B80E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'AS-SAN TELMO'!$K$6:$O$6</c:f>
              <c:numCache>
                <c:formatCode>0%</c:formatCode>
                <c:ptCount val="5"/>
                <c:pt idx="0">
                  <c:v>0.16965400400638547</c:v>
                </c:pt>
                <c:pt idx="1">
                  <c:v>0.20815313792643328</c:v>
                </c:pt>
                <c:pt idx="2">
                  <c:v>0.15883916509535656</c:v>
                </c:pt>
                <c:pt idx="3">
                  <c:v>0.24263826286995815</c:v>
                </c:pt>
                <c:pt idx="4">
                  <c:v>0.21425731102007345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EB-43DA-B8C2-F6C40B1E5B61}"/>
            </c:ext>
          </c:extLst>
        </c:ser>
        <c:ser>
          <c:idx val="2"/>
          <c:order val="2"/>
          <c:tx>
            <c:strRef>
              <c:f>'AS-SAN TELMO'!$J$7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246779299887029E-2"/>
                  <c:y val="-3.9506848244465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EB-43DA-B8C2-F6C40B1E5B61}"/>
                </c:ext>
              </c:extLst>
            </c:dLbl>
            <c:dLbl>
              <c:idx val="1"/>
              <c:layout>
                <c:manualLayout>
                  <c:x val="-2.6497085320615218E-3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EB-43DA-B8C2-F6C40B1E5B61}"/>
                </c:ext>
              </c:extLst>
            </c:dLbl>
            <c:dLbl>
              <c:idx val="2"/>
              <c:layout>
                <c:manualLayout>
                  <c:x val="0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EB-43DA-B8C2-F6C40B1E5B61}"/>
                </c:ext>
              </c:extLst>
            </c:dLbl>
            <c:dLbl>
              <c:idx val="3"/>
              <c:layout>
                <c:manualLayout>
                  <c:x val="-9.273979862215254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EB-43DA-B8C2-F6C40B1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TELMO'!$K$3:$O$3</c:f>
              <c:numCache>
                <c:formatCode>mmm\-yy</c:formatCode>
                <c:ptCount val="5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</c:numCache>
            </c:numRef>
          </c:cat>
          <c:val>
            <c:numRef>
              <c:f>'AS-SAN TELMO'!$K$7:$O$7</c:f>
              <c:numCache>
                <c:formatCode>0%</c:formatCode>
                <c:ptCount val="5"/>
                <c:pt idx="0">
                  <c:v>7.7564939829474532E-3</c:v>
                </c:pt>
                <c:pt idx="1">
                  <c:v>0</c:v>
                </c:pt>
                <c:pt idx="2">
                  <c:v>1.1182477106439742E-2</c:v>
                </c:pt>
                <c:pt idx="3">
                  <c:v>1.3439505064492631E-2</c:v>
                </c:pt>
                <c:pt idx="4">
                  <c:v>1.8073517156781047E-2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EB-43DA-B8C2-F6C40B1E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6330659139305699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7</xdr:col>
      <xdr:colOff>0</xdr:colOff>
      <xdr:row>12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27A4A-574D-49B6-921D-93AC71676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7620</xdr:rowOff>
    </xdr:from>
    <xdr:to>
      <xdr:col>7</xdr:col>
      <xdr:colOff>0</xdr:colOff>
      <xdr:row>37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D4AA41-8605-7F77-7017-FAD6EFF7F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815340</xdr:colOff>
      <xdr:row>12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18156-4002-42C3-B514-126A99A3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15240</xdr:rowOff>
    </xdr:from>
    <xdr:to>
      <xdr:col>6</xdr:col>
      <xdr:colOff>822960</xdr:colOff>
      <xdr:row>37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6FAD40-B161-407E-A234-B3DBB9BD8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3810</xdr:rowOff>
    </xdr:from>
    <xdr:to>
      <xdr:col>6</xdr:col>
      <xdr:colOff>821055</xdr:colOff>
      <xdr:row>12</xdr:row>
      <xdr:rowOff>177165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BB0BF7-99B7-4C35-81F8-DBB0A5251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7620</xdr:rowOff>
    </xdr:from>
    <xdr:to>
      <xdr:col>6</xdr:col>
      <xdr:colOff>821055</xdr:colOff>
      <xdr:row>37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31AA5-5C57-44F0-AF29-0E11DFDB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</xdr:row>
      <xdr:rowOff>3810</xdr:rowOff>
    </xdr:from>
    <xdr:to>
      <xdr:col>13</xdr:col>
      <xdr:colOff>830580</xdr:colOff>
      <xdr:row>12</xdr:row>
      <xdr:rowOff>177165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98D26-6B4C-4CEA-8230-11E27B4F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7620</xdr:rowOff>
    </xdr:from>
    <xdr:to>
      <xdr:col>13</xdr:col>
      <xdr:colOff>840105</xdr:colOff>
      <xdr:row>37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E29717-DE14-4BDB-B191-32085D962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723900</xdr:colOff>
      <xdr:row>3</xdr:row>
      <xdr:rowOff>3810</xdr:rowOff>
    </xdr:from>
    <xdr:to>
      <xdr:col>20</xdr:col>
      <xdr:colOff>811530</xdr:colOff>
      <xdr:row>12</xdr:row>
      <xdr:rowOff>177165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F5E982D-FAE6-48CD-A67F-7B268732D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21</xdr:row>
      <xdr:rowOff>7620</xdr:rowOff>
    </xdr:from>
    <xdr:to>
      <xdr:col>20</xdr:col>
      <xdr:colOff>821055</xdr:colOff>
      <xdr:row>37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5DD53BB-46D4-4235-BEF3-A958D9EF4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7</xdr:col>
      <xdr:colOff>0</xdr:colOff>
      <xdr:row>12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8192C-6A88-4975-91D9-36EE58AEC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15240</xdr:rowOff>
    </xdr:from>
    <xdr:to>
      <xdr:col>7</xdr:col>
      <xdr:colOff>0</xdr:colOff>
      <xdr:row>37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77535-8A9F-436E-816A-64BA6249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830580</xdr:colOff>
      <xdr:row>12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4C6F4D-C5DD-473C-BDD8-E84B3AB99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22860</xdr:rowOff>
    </xdr:from>
    <xdr:to>
      <xdr:col>7</xdr:col>
      <xdr:colOff>0</xdr:colOff>
      <xdr:row>37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C1A21-5EBE-4A7D-8F1B-A2C9419F8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</xdr:colOff>
      <xdr:row>3</xdr:row>
      <xdr:rowOff>0</xdr:rowOff>
    </xdr:from>
    <xdr:to>
      <xdr:col>13</xdr:col>
      <xdr:colOff>830580</xdr:colOff>
      <xdr:row>12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5F0C8-439E-4BD4-9AB6-9B2B5D773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22860</xdr:rowOff>
    </xdr:from>
    <xdr:to>
      <xdr:col>14</xdr:col>
      <xdr:colOff>0</xdr:colOff>
      <xdr:row>37</xdr:row>
      <xdr:rowOff>167640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B21B9-1964-49D1-A86D-59AFEA0D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20</xdr:col>
      <xdr:colOff>838200</xdr:colOff>
      <xdr:row>12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A930E7-2B5C-44E6-AF21-1C00973AD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7620</xdr:colOff>
      <xdr:row>21</xdr:row>
      <xdr:rowOff>22860</xdr:rowOff>
    </xdr:from>
    <xdr:to>
      <xdr:col>20</xdr:col>
      <xdr:colOff>723900</xdr:colOff>
      <xdr:row>37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6B7656-3970-4EFA-80B5-4F978248F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6</xdr:col>
      <xdr:colOff>830580</xdr:colOff>
      <xdr:row>12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A5A72C-75E8-454D-B402-02C1648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21</xdr:row>
      <xdr:rowOff>15240</xdr:rowOff>
    </xdr:from>
    <xdr:to>
      <xdr:col>6</xdr:col>
      <xdr:colOff>822960</xdr:colOff>
      <xdr:row>37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E58F14-B6E5-4542-94B0-ECFD82465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cío Martínez" refreshedDate="45741.583502662033" createdVersion="8" refreshedVersion="8" minRefreshableVersion="3" recordCount="192" xr:uid="{B878302D-B2A8-4E8B-A86D-206BA421AB9D}">
  <cacheSource type="worksheet">
    <worksheetSource ref="A1:G193" sheet="Base"/>
  </cacheSource>
  <cacheFields count="10">
    <cacheField name="Zona" numFmtId="1">
      <sharedItems count="3">
        <s v="Quilmes"/>
        <s v="San Telmo"/>
        <s v="Centro"/>
      </sharedItems>
    </cacheField>
    <cacheField name="Marca" numFmtId="1">
      <sharedItems count="2">
        <s v="AS"/>
        <s v="El Lucero"/>
      </sharedItems>
    </cacheField>
    <cacheField name="Local" numFmtId="1">
      <sharedItems count="7">
        <s v="Quilmes"/>
        <s v="San Telmo"/>
        <s v="Florida"/>
        <s v="Galería Güemes"/>
        <s v="Recoleta"/>
        <s v="San Telmo 2"/>
        <s v="Solar de French"/>
      </sharedItems>
    </cacheField>
    <cacheField name="Concepto" numFmtId="1">
      <sharedItems count="4">
        <s v="Venta"/>
        <s v="Alquiler y expensas"/>
        <s v="Personal"/>
        <s v="Otros gastos"/>
      </sharedItems>
    </cacheField>
    <cacheField name="Mes" numFmtId="17">
      <sharedItems containsSemiMixedTypes="0" containsNonDate="0" containsDate="1" containsString="0" minDate="2024-10-01T00:00:00" maxDate="2025-03-02T00:00:00" count="6">
        <d v="2024-10-01T00:00:00"/>
        <d v="2024-11-01T00:00:00"/>
        <d v="2024-12-01T00:00:00"/>
        <d v="2025-01-01T00:00:00"/>
        <d v="2025-02-01T00:00:00"/>
        <d v="2025-03-01T00:00:00"/>
      </sharedItems>
      <fieldGroup par="9"/>
    </cacheField>
    <cacheField name="Importe" numFmtId="0">
      <sharedItems containsBlank="1" containsMixedTypes="1" containsNumber="1" minValue="0" maxValue="53095660"/>
    </cacheField>
    <cacheField name="Tipo" numFmtId="1">
      <sharedItems count="2">
        <s v="Ingreso"/>
        <s v="Gasto"/>
      </sharedItems>
    </cacheField>
    <cacheField name="Meses (Mes)" numFmtId="0" databaseField="0">
      <fieldGroup base="4">
        <rangePr groupBy="months" startDate="2024-10-01T00:00:00" endDate="2025-03-02T00:00:00"/>
        <groupItems count="14">
          <s v="&lt;1/10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3/2025"/>
        </groupItems>
      </fieldGroup>
    </cacheField>
    <cacheField name="Trimestres (Mes)" numFmtId="0" databaseField="0">
      <fieldGroup base="4">
        <rangePr groupBy="quarters" startDate="2024-10-01T00:00:00" endDate="2025-03-02T00:00:00"/>
        <groupItems count="6">
          <s v="&lt;1/10/2024"/>
          <s v="Trim.1"/>
          <s v="Trim.2"/>
          <s v="Trim.3"/>
          <s v="Trim.4"/>
          <s v="&gt;2/3/2025"/>
        </groupItems>
      </fieldGroup>
    </cacheField>
    <cacheField name="Años (Mes)" numFmtId="0" databaseField="0">
      <fieldGroup base="4">
        <rangePr groupBy="years" startDate="2024-10-01T00:00:00" endDate="2025-03-02T00:00:00"/>
        <groupItems count="4">
          <s v="&lt;1/10/2024"/>
          <s v="2024"/>
          <s v="2025"/>
          <s v="&gt;2/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x v="0"/>
    <x v="0"/>
    <n v="11830300"/>
    <x v="0"/>
  </r>
  <r>
    <x v="1"/>
    <x v="0"/>
    <x v="1"/>
    <x v="0"/>
    <x v="0"/>
    <n v="21228068.695652176"/>
    <x v="0"/>
  </r>
  <r>
    <x v="2"/>
    <x v="1"/>
    <x v="2"/>
    <x v="0"/>
    <x v="0"/>
    <n v="35956360"/>
    <x v="0"/>
  </r>
  <r>
    <x v="2"/>
    <x v="1"/>
    <x v="3"/>
    <x v="0"/>
    <x v="0"/>
    <s v="-"/>
    <x v="0"/>
  </r>
  <r>
    <x v="2"/>
    <x v="1"/>
    <x v="4"/>
    <x v="0"/>
    <x v="0"/>
    <n v="19356680"/>
    <x v="0"/>
  </r>
  <r>
    <x v="1"/>
    <x v="1"/>
    <x v="1"/>
    <x v="0"/>
    <x v="0"/>
    <n v="37017710.434782609"/>
    <x v="0"/>
  </r>
  <r>
    <x v="1"/>
    <x v="1"/>
    <x v="5"/>
    <x v="0"/>
    <x v="0"/>
    <n v="4641540"/>
    <x v="0"/>
  </r>
  <r>
    <x v="1"/>
    <x v="1"/>
    <x v="6"/>
    <x v="0"/>
    <x v="0"/>
    <n v="15939080.000000002"/>
    <x v="0"/>
  </r>
  <r>
    <x v="0"/>
    <x v="0"/>
    <x v="0"/>
    <x v="1"/>
    <x v="0"/>
    <n v="1606892.53"/>
    <x v="1"/>
  </r>
  <r>
    <x v="1"/>
    <x v="0"/>
    <x v="1"/>
    <x v="1"/>
    <x v="0"/>
    <n v="1630700.79"/>
    <x v="1"/>
  </r>
  <r>
    <x v="2"/>
    <x v="1"/>
    <x v="2"/>
    <x v="1"/>
    <x v="0"/>
    <n v="2818816"/>
    <x v="1"/>
  </r>
  <r>
    <x v="2"/>
    <x v="1"/>
    <x v="3"/>
    <x v="1"/>
    <x v="0"/>
    <m/>
    <x v="1"/>
  </r>
  <r>
    <x v="2"/>
    <x v="1"/>
    <x v="4"/>
    <x v="1"/>
    <x v="0"/>
    <n v="3494431.2199999997"/>
    <x v="1"/>
  </r>
  <r>
    <x v="1"/>
    <x v="1"/>
    <x v="1"/>
    <x v="1"/>
    <x v="0"/>
    <n v="2471458.4"/>
    <x v="1"/>
  </r>
  <r>
    <x v="1"/>
    <x v="1"/>
    <x v="5"/>
    <x v="1"/>
    <x v="0"/>
    <n v="338800"/>
    <x v="1"/>
  </r>
  <r>
    <x v="1"/>
    <x v="1"/>
    <x v="6"/>
    <x v="1"/>
    <x v="0"/>
    <n v="290400"/>
    <x v="1"/>
  </r>
  <r>
    <x v="0"/>
    <x v="0"/>
    <x v="0"/>
    <x v="2"/>
    <x v="0"/>
    <n v="2468990.9487600001"/>
    <x v="1"/>
  </r>
  <r>
    <x v="1"/>
    <x v="0"/>
    <x v="1"/>
    <x v="2"/>
    <x v="0"/>
    <n v="3601426.8515400002"/>
    <x v="1"/>
  </r>
  <r>
    <x v="2"/>
    <x v="1"/>
    <x v="2"/>
    <x v="2"/>
    <x v="0"/>
    <n v="4652999.2996200006"/>
    <x v="1"/>
  </r>
  <r>
    <x v="2"/>
    <x v="1"/>
    <x v="3"/>
    <x v="2"/>
    <x v="0"/>
    <m/>
    <x v="1"/>
  </r>
  <r>
    <x v="2"/>
    <x v="1"/>
    <x v="4"/>
    <x v="2"/>
    <x v="0"/>
    <n v="2488006.7301600003"/>
    <x v="1"/>
  </r>
  <r>
    <x v="1"/>
    <x v="1"/>
    <x v="1"/>
    <x v="2"/>
    <x v="0"/>
    <n v="3789384.4598400006"/>
    <x v="1"/>
  </r>
  <r>
    <x v="1"/>
    <x v="1"/>
    <x v="5"/>
    <x v="2"/>
    <x v="0"/>
    <m/>
    <x v="1"/>
  </r>
  <r>
    <x v="1"/>
    <x v="1"/>
    <x v="6"/>
    <x v="2"/>
    <x v="0"/>
    <n v="2556874.0184400002"/>
    <x v="1"/>
  </r>
  <r>
    <x v="0"/>
    <x v="0"/>
    <x v="0"/>
    <x v="3"/>
    <x v="0"/>
    <n v="34383.560653137509"/>
    <x v="1"/>
  </r>
  <r>
    <x v="1"/>
    <x v="0"/>
    <x v="1"/>
    <x v="3"/>
    <x v="0"/>
    <n v="164655.38710742129"/>
    <x v="1"/>
  </r>
  <r>
    <x v="2"/>
    <x v="1"/>
    <x v="2"/>
    <x v="3"/>
    <x v="0"/>
    <n v="465612.92398798396"/>
    <x v="1"/>
  </r>
  <r>
    <x v="2"/>
    <x v="1"/>
    <x v="3"/>
    <x v="3"/>
    <x v="0"/>
    <m/>
    <x v="1"/>
  </r>
  <r>
    <x v="2"/>
    <x v="1"/>
    <x v="4"/>
    <x v="3"/>
    <x v="0"/>
    <n v="111552.10668287141"/>
    <x v="1"/>
  </r>
  <r>
    <x v="1"/>
    <x v="1"/>
    <x v="1"/>
    <x v="3"/>
    <x v="0"/>
    <n v="210546.37080425932"/>
    <x v="1"/>
  </r>
  <r>
    <x v="1"/>
    <x v="1"/>
    <x v="5"/>
    <x v="3"/>
    <x v="0"/>
    <n v="0"/>
    <x v="1"/>
  </r>
  <r>
    <x v="1"/>
    <x v="1"/>
    <x v="6"/>
    <x v="3"/>
    <x v="0"/>
    <n v="149283.48076432644"/>
    <x v="1"/>
  </r>
  <r>
    <x v="0"/>
    <x v="0"/>
    <x v="0"/>
    <x v="0"/>
    <x v="1"/>
    <n v="13752388"/>
    <x v="0"/>
  </r>
  <r>
    <x v="1"/>
    <x v="0"/>
    <x v="1"/>
    <x v="0"/>
    <x v="1"/>
    <n v="17536740"/>
    <x v="0"/>
  </r>
  <r>
    <x v="2"/>
    <x v="1"/>
    <x v="2"/>
    <x v="0"/>
    <x v="1"/>
    <n v="53095660"/>
    <x v="0"/>
  </r>
  <r>
    <x v="2"/>
    <x v="1"/>
    <x v="3"/>
    <x v="0"/>
    <x v="1"/>
    <s v="-"/>
    <x v="0"/>
  </r>
  <r>
    <x v="2"/>
    <x v="1"/>
    <x v="4"/>
    <x v="0"/>
    <x v="1"/>
    <n v="24784418"/>
    <x v="0"/>
  </r>
  <r>
    <x v="1"/>
    <x v="1"/>
    <x v="1"/>
    <x v="0"/>
    <x v="1"/>
    <n v="43480130"/>
    <x v="0"/>
  </r>
  <r>
    <x v="1"/>
    <x v="1"/>
    <x v="5"/>
    <x v="0"/>
    <x v="1"/>
    <n v="11886640"/>
    <x v="0"/>
  </r>
  <r>
    <x v="1"/>
    <x v="1"/>
    <x v="6"/>
    <x v="0"/>
    <x v="1"/>
    <n v="20913610"/>
    <x v="0"/>
  </r>
  <r>
    <x v="0"/>
    <x v="0"/>
    <x v="0"/>
    <x v="1"/>
    <x v="1"/>
    <n v="1729968.26"/>
    <x v="1"/>
  </r>
  <r>
    <x v="1"/>
    <x v="0"/>
    <x v="1"/>
    <x v="1"/>
    <x v="1"/>
    <n v="2306662.44"/>
    <x v="1"/>
  </r>
  <r>
    <x v="2"/>
    <x v="1"/>
    <x v="2"/>
    <x v="1"/>
    <x v="1"/>
    <n v="4552028.9800000004"/>
    <x v="1"/>
  </r>
  <r>
    <x v="2"/>
    <x v="1"/>
    <x v="3"/>
    <x v="1"/>
    <x v="1"/>
    <m/>
    <x v="1"/>
  </r>
  <r>
    <x v="2"/>
    <x v="1"/>
    <x v="4"/>
    <x v="1"/>
    <x v="1"/>
    <n v="4079471.48"/>
    <x v="1"/>
  </r>
  <r>
    <x v="1"/>
    <x v="1"/>
    <x v="1"/>
    <x v="1"/>
    <x v="1"/>
    <n v="3799769.75"/>
    <x v="1"/>
  </r>
  <r>
    <x v="1"/>
    <x v="1"/>
    <x v="5"/>
    <x v="1"/>
    <x v="1"/>
    <n v="1527520.99"/>
    <x v="1"/>
  </r>
  <r>
    <x v="1"/>
    <x v="1"/>
    <x v="6"/>
    <x v="1"/>
    <x v="1"/>
    <n v="689700"/>
    <x v="1"/>
  </r>
  <r>
    <x v="0"/>
    <x v="0"/>
    <x v="0"/>
    <x v="2"/>
    <x v="1"/>
    <n v="3130141.64"/>
    <x v="1"/>
  </r>
  <r>
    <x v="1"/>
    <x v="0"/>
    <x v="1"/>
    <x v="2"/>
    <x v="1"/>
    <n v="3650327.46"/>
    <x v="1"/>
  </r>
  <r>
    <x v="2"/>
    <x v="1"/>
    <x v="2"/>
    <x v="2"/>
    <x v="1"/>
    <n v="5145049.3499999996"/>
    <x v="1"/>
  </r>
  <r>
    <x v="2"/>
    <x v="1"/>
    <x v="3"/>
    <x v="2"/>
    <x v="1"/>
    <m/>
    <x v="1"/>
  </r>
  <r>
    <x v="2"/>
    <x v="1"/>
    <x v="4"/>
    <x v="2"/>
    <x v="1"/>
    <n v="1809020.33"/>
    <x v="1"/>
  </r>
  <r>
    <x v="1"/>
    <x v="1"/>
    <x v="1"/>
    <x v="2"/>
    <x v="1"/>
    <n v="3166669.57"/>
    <x v="1"/>
  </r>
  <r>
    <x v="1"/>
    <x v="1"/>
    <x v="5"/>
    <x v="2"/>
    <x v="1"/>
    <n v="2029211.32"/>
    <x v="1"/>
  </r>
  <r>
    <x v="1"/>
    <x v="1"/>
    <x v="6"/>
    <x v="2"/>
    <x v="1"/>
    <n v="2710714.63"/>
    <x v="1"/>
  </r>
  <r>
    <x v="0"/>
    <x v="0"/>
    <x v="0"/>
    <x v="3"/>
    <x v="1"/>
    <n v="217746.88"/>
    <x v="1"/>
  </r>
  <r>
    <x v="1"/>
    <x v="0"/>
    <x v="1"/>
    <x v="3"/>
    <x v="1"/>
    <n v="0"/>
    <x v="1"/>
  </r>
  <r>
    <x v="2"/>
    <x v="1"/>
    <x v="2"/>
    <x v="3"/>
    <x v="1"/>
    <n v="756202.58000000007"/>
    <x v="1"/>
  </r>
  <r>
    <x v="2"/>
    <x v="1"/>
    <x v="3"/>
    <x v="3"/>
    <x v="1"/>
    <m/>
    <x v="1"/>
  </r>
  <r>
    <x v="2"/>
    <x v="1"/>
    <x v="4"/>
    <x v="3"/>
    <x v="1"/>
    <n v="143345.34"/>
    <x v="1"/>
  </r>
  <r>
    <x v="1"/>
    <x v="1"/>
    <x v="1"/>
    <x v="3"/>
    <x v="1"/>
    <n v="1055345.05"/>
    <x v="1"/>
  </r>
  <r>
    <x v="1"/>
    <x v="1"/>
    <x v="5"/>
    <x v="3"/>
    <x v="1"/>
    <n v="7499.63"/>
    <x v="1"/>
  </r>
  <r>
    <x v="1"/>
    <x v="1"/>
    <x v="6"/>
    <x v="3"/>
    <x v="1"/>
    <n v="234487.71"/>
    <x v="1"/>
  </r>
  <r>
    <x v="0"/>
    <x v="0"/>
    <x v="0"/>
    <x v="0"/>
    <x v="2"/>
    <n v="15338731"/>
    <x v="0"/>
  </r>
  <r>
    <x v="1"/>
    <x v="0"/>
    <x v="1"/>
    <x v="0"/>
    <x v="2"/>
    <n v="19509198"/>
    <x v="0"/>
  </r>
  <r>
    <x v="2"/>
    <x v="1"/>
    <x v="2"/>
    <x v="0"/>
    <x v="2"/>
    <n v="45648693"/>
    <x v="0"/>
  </r>
  <r>
    <x v="2"/>
    <x v="1"/>
    <x v="3"/>
    <x v="0"/>
    <x v="2"/>
    <s v="-"/>
    <x v="0"/>
  </r>
  <r>
    <x v="2"/>
    <x v="1"/>
    <x v="4"/>
    <x v="0"/>
    <x v="2"/>
    <n v="29104610"/>
    <x v="0"/>
  </r>
  <r>
    <x v="1"/>
    <x v="1"/>
    <x v="1"/>
    <x v="0"/>
    <x v="2"/>
    <n v="41362060"/>
    <x v="0"/>
  </r>
  <r>
    <x v="1"/>
    <x v="1"/>
    <x v="5"/>
    <x v="0"/>
    <x v="2"/>
    <n v="7214280"/>
    <x v="0"/>
  </r>
  <r>
    <x v="1"/>
    <x v="1"/>
    <x v="6"/>
    <x v="0"/>
    <x v="2"/>
    <n v="21646780"/>
    <x v="0"/>
  </r>
  <r>
    <x v="0"/>
    <x v="0"/>
    <x v="0"/>
    <x v="1"/>
    <x v="2"/>
    <n v="2500000"/>
    <x v="1"/>
  </r>
  <r>
    <x v="1"/>
    <x v="0"/>
    <x v="1"/>
    <x v="1"/>
    <x v="2"/>
    <n v="2095161"/>
    <x v="1"/>
  </r>
  <r>
    <x v="2"/>
    <x v="1"/>
    <x v="2"/>
    <x v="1"/>
    <x v="2"/>
    <n v="3222965"/>
    <x v="1"/>
  </r>
  <r>
    <x v="2"/>
    <x v="1"/>
    <x v="3"/>
    <x v="1"/>
    <x v="2"/>
    <m/>
    <x v="1"/>
  </r>
  <r>
    <x v="2"/>
    <x v="1"/>
    <x v="4"/>
    <x v="1"/>
    <x v="2"/>
    <n v="3718046"/>
    <x v="1"/>
  </r>
  <r>
    <x v="1"/>
    <x v="1"/>
    <x v="1"/>
    <x v="1"/>
    <x v="2"/>
    <n v="3026738"/>
    <x v="1"/>
  </r>
  <r>
    <x v="1"/>
    <x v="1"/>
    <x v="5"/>
    <x v="1"/>
    <x v="2"/>
    <n v="1128900"/>
    <x v="1"/>
  </r>
  <r>
    <x v="1"/>
    <x v="1"/>
    <x v="6"/>
    <x v="1"/>
    <x v="2"/>
    <n v="771406"/>
    <x v="1"/>
  </r>
  <r>
    <x v="0"/>
    <x v="0"/>
    <x v="0"/>
    <x v="2"/>
    <x v="2"/>
    <n v="2532389.9580000001"/>
    <x v="1"/>
  </r>
  <r>
    <x v="1"/>
    <x v="0"/>
    <x v="1"/>
    <x v="2"/>
    <x v="2"/>
    <n v="3098824.7220000001"/>
    <x v="1"/>
  </r>
  <r>
    <x v="2"/>
    <x v="1"/>
    <x v="2"/>
    <x v="2"/>
    <x v="2"/>
    <n v="4223329.6140000001"/>
    <x v="1"/>
  </r>
  <r>
    <x v="2"/>
    <x v="1"/>
    <x v="3"/>
    <x v="2"/>
    <x v="2"/>
    <m/>
    <x v="1"/>
  </r>
  <r>
    <x v="2"/>
    <x v="1"/>
    <x v="4"/>
    <x v="2"/>
    <x v="2"/>
    <n v="1415519.7115499999"/>
    <x v="1"/>
  </r>
  <r>
    <x v="1"/>
    <x v="1"/>
    <x v="1"/>
    <x v="2"/>
    <x v="2"/>
    <n v="2193441.4530000002"/>
    <x v="1"/>
  </r>
  <r>
    <x v="1"/>
    <x v="1"/>
    <x v="5"/>
    <x v="2"/>
    <x v="2"/>
    <n v="1543292.1"/>
    <x v="1"/>
  </r>
  <r>
    <x v="1"/>
    <x v="1"/>
    <x v="6"/>
    <x v="2"/>
    <x v="2"/>
    <n v="2228679.9360000002"/>
    <x v="1"/>
  </r>
  <r>
    <x v="0"/>
    <x v="0"/>
    <x v="0"/>
    <x v="3"/>
    <x v="2"/>
    <n v="303256.34000000003"/>
    <x v="1"/>
  </r>
  <r>
    <x v="1"/>
    <x v="0"/>
    <x v="1"/>
    <x v="3"/>
    <x v="2"/>
    <n v="218161.16"/>
    <x v="1"/>
  </r>
  <r>
    <x v="2"/>
    <x v="1"/>
    <x v="2"/>
    <x v="3"/>
    <x v="2"/>
    <n v="1603001.09"/>
    <x v="1"/>
  </r>
  <r>
    <x v="2"/>
    <x v="1"/>
    <x v="3"/>
    <x v="3"/>
    <x v="2"/>
    <m/>
    <x v="1"/>
  </r>
  <r>
    <x v="2"/>
    <x v="1"/>
    <x v="4"/>
    <x v="3"/>
    <x v="2"/>
    <n v="218062.77"/>
    <x v="1"/>
  </r>
  <r>
    <x v="1"/>
    <x v="1"/>
    <x v="1"/>
    <x v="3"/>
    <x v="2"/>
    <n v="161568.42000000001"/>
    <x v="1"/>
  </r>
  <r>
    <x v="1"/>
    <x v="1"/>
    <x v="5"/>
    <x v="3"/>
    <x v="2"/>
    <n v="112764.68"/>
    <x v="1"/>
  </r>
  <r>
    <x v="1"/>
    <x v="1"/>
    <x v="6"/>
    <x v="3"/>
    <x v="2"/>
    <n v="345406.49"/>
    <x v="1"/>
  </r>
  <r>
    <x v="0"/>
    <x v="0"/>
    <x v="0"/>
    <x v="0"/>
    <x v="3"/>
    <n v="11999960"/>
    <x v="0"/>
  </r>
  <r>
    <x v="1"/>
    <x v="0"/>
    <x v="1"/>
    <x v="0"/>
    <x v="3"/>
    <n v="14424775"/>
    <x v="0"/>
  </r>
  <r>
    <x v="2"/>
    <x v="1"/>
    <x v="2"/>
    <x v="0"/>
    <x v="3"/>
    <n v="40118678"/>
    <x v="0"/>
  </r>
  <r>
    <x v="2"/>
    <x v="1"/>
    <x v="3"/>
    <x v="0"/>
    <x v="3"/>
    <n v="2607560"/>
    <x v="0"/>
  </r>
  <r>
    <x v="2"/>
    <x v="1"/>
    <x v="4"/>
    <x v="0"/>
    <x v="3"/>
    <n v="20476370"/>
    <x v="0"/>
  </r>
  <r>
    <x v="1"/>
    <x v="1"/>
    <x v="1"/>
    <x v="0"/>
    <x v="3"/>
    <n v="40058419"/>
    <x v="0"/>
  </r>
  <r>
    <x v="1"/>
    <x v="1"/>
    <x v="5"/>
    <x v="0"/>
    <x v="3"/>
    <n v="2472710"/>
    <x v="0"/>
  </r>
  <r>
    <x v="1"/>
    <x v="1"/>
    <x v="6"/>
    <x v="0"/>
    <x v="3"/>
    <n v="15489470"/>
    <x v="0"/>
  </r>
  <r>
    <x v="0"/>
    <x v="0"/>
    <x v="0"/>
    <x v="1"/>
    <x v="3"/>
    <n v="3359529.12"/>
    <x v="1"/>
  </r>
  <r>
    <x v="1"/>
    <x v="0"/>
    <x v="1"/>
    <x v="1"/>
    <x v="3"/>
    <n v="2821199.27"/>
    <x v="1"/>
  </r>
  <r>
    <x v="2"/>
    <x v="1"/>
    <x v="2"/>
    <x v="1"/>
    <x v="3"/>
    <n v="3772412.08"/>
    <x v="1"/>
  </r>
  <r>
    <x v="2"/>
    <x v="1"/>
    <x v="3"/>
    <x v="1"/>
    <x v="3"/>
    <n v="1122708.79"/>
    <x v="1"/>
  </r>
  <r>
    <x v="2"/>
    <x v="1"/>
    <x v="4"/>
    <x v="1"/>
    <x v="3"/>
    <n v="3865858.86"/>
    <x v="1"/>
  </r>
  <r>
    <x v="1"/>
    <x v="1"/>
    <x v="1"/>
    <x v="1"/>
    <x v="3"/>
    <n v="3533075.2199999997"/>
    <x v="1"/>
  </r>
  <r>
    <x v="1"/>
    <x v="1"/>
    <x v="5"/>
    <x v="1"/>
    <x v="3"/>
    <n v="1337846.76"/>
    <x v="1"/>
  </r>
  <r>
    <x v="1"/>
    <x v="1"/>
    <x v="6"/>
    <x v="1"/>
    <x v="3"/>
    <n v="868340"/>
    <x v="1"/>
  </r>
  <r>
    <x v="0"/>
    <x v="0"/>
    <x v="0"/>
    <x v="2"/>
    <x v="3"/>
    <n v="3792541.6790100001"/>
    <x v="1"/>
  </r>
  <r>
    <x v="1"/>
    <x v="0"/>
    <x v="1"/>
    <x v="2"/>
    <x v="3"/>
    <n v="3500002.3482900006"/>
    <x v="1"/>
  </r>
  <r>
    <x v="2"/>
    <x v="1"/>
    <x v="2"/>
    <x v="2"/>
    <x v="3"/>
    <n v="4472073.3002399998"/>
    <x v="1"/>
  </r>
  <r>
    <x v="2"/>
    <x v="1"/>
    <x v="3"/>
    <x v="2"/>
    <x v="3"/>
    <n v="1796986.9373400002"/>
    <x v="1"/>
  </r>
  <r>
    <x v="2"/>
    <x v="1"/>
    <x v="4"/>
    <x v="2"/>
    <x v="3"/>
    <n v="2404008.8471700004"/>
    <x v="1"/>
  </r>
  <r>
    <x v="1"/>
    <x v="1"/>
    <x v="1"/>
    <x v="2"/>
    <x v="3"/>
    <n v="2433243.4774200004"/>
    <x v="1"/>
  </r>
  <r>
    <x v="1"/>
    <x v="1"/>
    <x v="5"/>
    <x v="2"/>
    <x v="3"/>
    <n v="1809449.8020900004"/>
    <x v="1"/>
  </r>
  <r>
    <x v="1"/>
    <x v="1"/>
    <x v="6"/>
    <x v="2"/>
    <x v="3"/>
    <n v="2954248.4525400004"/>
    <x v="1"/>
  </r>
  <r>
    <x v="0"/>
    <x v="0"/>
    <x v="0"/>
    <x v="3"/>
    <x v="3"/>
    <n v="203407.00666666665"/>
    <x v="1"/>
  </r>
  <r>
    <x v="1"/>
    <x v="0"/>
    <x v="1"/>
    <x v="3"/>
    <x v="3"/>
    <n v="193861.83666666667"/>
    <x v="1"/>
  </r>
  <r>
    <x v="2"/>
    <x v="1"/>
    <x v="2"/>
    <x v="3"/>
    <x v="3"/>
    <n v="1727784.4300000002"/>
    <x v="1"/>
  </r>
  <r>
    <x v="2"/>
    <x v="1"/>
    <x v="3"/>
    <x v="3"/>
    <x v="3"/>
    <n v="101378.79000000001"/>
    <x v="1"/>
  </r>
  <r>
    <x v="2"/>
    <x v="1"/>
    <x v="4"/>
    <x v="3"/>
    <x v="3"/>
    <n v="185581.34000000003"/>
    <x v="1"/>
  </r>
  <r>
    <x v="1"/>
    <x v="1"/>
    <x v="1"/>
    <x v="3"/>
    <x v="3"/>
    <n v="166504.55666666667"/>
    <x v="1"/>
  </r>
  <r>
    <x v="1"/>
    <x v="1"/>
    <x v="5"/>
    <x v="3"/>
    <x v="3"/>
    <n v="83461.05"/>
    <x v="1"/>
  </r>
  <r>
    <x v="1"/>
    <x v="1"/>
    <x v="6"/>
    <x v="3"/>
    <x v="3"/>
    <n v="285289.01"/>
    <x v="1"/>
  </r>
  <r>
    <x v="0"/>
    <x v="0"/>
    <x v="0"/>
    <x v="0"/>
    <x v="4"/>
    <n v="10052538"/>
    <x v="0"/>
  </r>
  <r>
    <x v="1"/>
    <x v="0"/>
    <x v="1"/>
    <x v="0"/>
    <x v="4"/>
    <n v="14999900"/>
    <x v="0"/>
  </r>
  <r>
    <x v="2"/>
    <x v="1"/>
    <x v="2"/>
    <x v="0"/>
    <x v="4"/>
    <n v="23978279"/>
    <x v="0"/>
  </r>
  <r>
    <x v="2"/>
    <x v="1"/>
    <x v="3"/>
    <x v="0"/>
    <x v="4"/>
    <n v="3150490"/>
    <x v="0"/>
  </r>
  <r>
    <x v="2"/>
    <x v="1"/>
    <x v="4"/>
    <x v="0"/>
    <x v="4"/>
    <n v="15336680"/>
    <x v="0"/>
  </r>
  <r>
    <x v="1"/>
    <x v="1"/>
    <x v="1"/>
    <x v="0"/>
    <x v="4"/>
    <n v="32509360"/>
    <x v="0"/>
  </r>
  <r>
    <x v="1"/>
    <x v="1"/>
    <x v="5"/>
    <x v="0"/>
    <x v="4"/>
    <n v="4561520"/>
    <x v="0"/>
  </r>
  <r>
    <x v="1"/>
    <x v="1"/>
    <x v="6"/>
    <x v="0"/>
    <x v="4"/>
    <n v="10874150"/>
    <x v="0"/>
  </r>
  <r>
    <x v="0"/>
    <x v="0"/>
    <x v="0"/>
    <x v="1"/>
    <x v="4"/>
    <n v="3360009.62"/>
    <x v="1"/>
  </r>
  <r>
    <x v="1"/>
    <x v="0"/>
    <x v="1"/>
    <x v="1"/>
    <x v="4"/>
    <n v="2145942.77"/>
    <x v="1"/>
  </r>
  <r>
    <x v="2"/>
    <x v="1"/>
    <x v="2"/>
    <x v="1"/>
    <x v="4"/>
    <n v="2402089.2000000002"/>
    <x v="1"/>
  </r>
  <r>
    <x v="2"/>
    <x v="1"/>
    <x v="3"/>
    <x v="1"/>
    <x v="4"/>
    <n v="1166386.73"/>
    <x v="1"/>
  </r>
  <r>
    <x v="2"/>
    <x v="1"/>
    <x v="4"/>
    <x v="1"/>
    <x v="4"/>
    <n v="3606612.9"/>
    <x v="1"/>
  </r>
  <r>
    <x v="1"/>
    <x v="1"/>
    <x v="1"/>
    <x v="1"/>
    <x v="4"/>
    <n v="3010405.33"/>
    <x v="1"/>
  </r>
  <r>
    <x v="1"/>
    <x v="1"/>
    <x v="5"/>
    <x v="1"/>
    <x v="4"/>
    <n v="1415584.96"/>
    <x v="1"/>
  </r>
  <r>
    <x v="1"/>
    <x v="1"/>
    <x v="6"/>
    <x v="1"/>
    <x v="4"/>
    <n v="953194"/>
    <x v="1"/>
  </r>
  <r>
    <x v="0"/>
    <x v="0"/>
    <x v="0"/>
    <x v="2"/>
    <x v="4"/>
    <n v="2934659.6433000001"/>
    <x v="1"/>
  </r>
  <r>
    <x v="1"/>
    <x v="0"/>
    <x v="1"/>
    <x v="2"/>
    <x v="4"/>
    <n v="3213838.2395699997"/>
    <x v="1"/>
  </r>
  <r>
    <x v="2"/>
    <x v="1"/>
    <x v="2"/>
    <x v="2"/>
    <x v="4"/>
    <n v="4562990.1903600004"/>
    <x v="1"/>
  </r>
  <r>
    <x v="2"/>
    <x v="1"/>
    <x v="3"/>
    <x v="2"/>
    <x v="4"/>
    <n v="797689.43036999996"/>
    <x v="1"/>
  </r>
  <r>
    <x v="2"/>
    <x v="1"/>
    <x v="4"/>
    <x v="2"/>
    <x v="4"/>
    <n v="2469244.1022900003"/>
    <x v="1"/>
  </r>
  <r>
    <x v="1"/>
    <x v="1"/>
    <x v="1"/>
    <x v="2"/>
    <x v="4"/>
    <n v="2525034.5725500002"/>
    <x v="1"/>
  </r>
  <r>
    <x v="1"/>
    <x v="1"/>
    <x v="5"/>
    <x v="2"/>
    <x v="4"/>
    <n v="1924583.0316300001"/>
    <x v="1"/>
  </r>
  <r>
    <x v="1"/>
    <x v="1"/>
    <x v="6"/>
    <x v="2"/>
    <x v="4"/>
    <n v="3743565.4185300004"/>
    <x v="1"/>
  </r>
  <r>
    <x v="0"/>
    <x v="0"/>
    <x v="0"/>
    <x v="3"/>
    <x v="4"/>
    <n v="191478.5"/>
    <x v="1"/>
  </r>
  <r>
    <x v="1"/>
    <x v="0"/>
    <x v="1"/>
    <x v="3"/>
    <x v="4"/>
    <n v="271100.95"/>
    <x v="1"/>
  </r>
  <r>
    <x v="2"/>
    <x v="1"/>
    <x v="2"/>
    <x v="3"/>
    <x v="4"/>
    <n v="1353670.44"/>
    <x v="1"/>
  </r>
  <r>
    <x v="2"/>
    <x v="1"/>
    <x v="3"/>
    <x v="3"/>
    <x v="4"/>
    <n v="39614.160000000003"/>
    <x v="1"/>
  </r>
  <r>
    <x v="2"/>
    <x v="1"/>
    <x v="4"/>
    <x v="3"/>
    <x v="4"/>
    <n v="211084.93"/>
    <x v="1"/>
  </r>
  <r>
    <x v="1"/>
    <x v="1"/>
    <x v="1"/>
    <x v="3"/>
    <x v="4"/>
    <n v="237510"/>
    <x v="1"/>
  </r>
  <r>
    <x v="1"/>
    <x v="1"/>
    <x v="5"/>
    <x v="3"/>
    <x v="4"/>
    <n v="118196.65000000001"/>
    <x v="1"/>
  </r>
  <r>
    <x v="1"/>
    <x v="1"/>
    <x v="6"/>
    <x v="3"/>
    <x v="4"/>
    <n v="336254.14"/>
    <x v="1"/>
  </r>
  <r>
    <x v="0"/>
    <x v="0"/>
    <x v="0"/>
    <x v="0"/>
    <x v="5"/>
    <m/>
    <x v="0"/>
  </r>
  <r>
    <x v="1"/>
    <x v="0"/>
    <x v="1"/>
    <x v="0"/>
    <x v="5"/>
    <m/>
    <x v="0"/>
  </r>
  <r>
    <x v="2"/>
    <x v="1"/>
    <x v="2"/>
    <x v="0"/>
    <x v="5"/>
    <m/>
    <x v="0"/>
  </r>
  <r>
    <x v="2"/>
    <x v="1"/>
    <x v="3"/>
    <x v="0"/>
    <x v="5"/>
    <m/>
    <x v="0"/>
  </r>
  <r>
    <x v="2"/>
    <x v="1"/>
    <x v="4"/>
    <x v="0"/>
    <x v="5"/>
    <m/>
    <x v="0"/>
  </r>
  <r>
    <x v="1"/>
    <x v="1"/>
    <x v="1"/>
    <x v="0"/>
    <x v="5"/>
    <m/>
    <x v="0"/>
  </r>
  <r>
    <x v="1"/>
    <x v="1"/>
    <x v="5"/>
    <x v="0"/>
    <x v="5"/>
    <m/>
    <x v="0"/>
  </r>
  <r>
    <x v="1"/>
    <x v="1"/>
    <x v="6"/>
    <x v="0"/>
    <x v="5"/>
    <m/>
    <x v="0"/>
  </r>
  <r>
    <x v="0"/>
    <x v="0"/>
    <x v="0"/>
    <x v="1"/>
    <x v="5"/>
    <m/>
    <x v="1"/>
  </r>
  <r>
    <x v="1"/>
    <x v="0"/>
    <x v="1"/>
    <x v="1"/>
    <x v="5"/>
    <m/>
    <x v="1"/>
  </r>
  <r>
    <x v="2"/>
    <x v="1"/>
    <x v="2"/>
    <x v="1"/>
    <x v="5"/>
    <m/>
    <x v="1"/>
  </r>
  <r>
    <x v="2"/>
    <x v="1"/>
    <x v="3"/>
    <x v="1"/>
    <x v="5"/>
    <m/>
    <x v="1"/>
  </r>
  <r>
    <x v="2"/>
    <x v="1"/>
    <x v="4"/>
    <x v="1"/>
    <x v="5"/>
    <m/>
    <x v="1"/>
  </r>
  <r>
    <x v="1"/>
    <x v="1"/>
    <x v="1"/>
    <x v="1"/>
    <x v="5"/>
    <m/>
    <x v="1"/>
  </r>
  <r>
    <x v="1"/>
    <x v="1"/>
    <x v="5"/>
    <x v="1"/>
    <x v="5"/>
    <m/>
    <x v="1"/>
  </r>
  <r>
    <x v="1"/>
    <x v="1"/>
    <x v="6"/>
    <x v="1"/>
    <x v="5"/>
    <m/>
    <x v="1"/>
  </r>
  <r>
    <x v="0"/>
    <x v="0"/>
    <x v="0"/>
    <x v="2"/>
    <x v="5"/>
    <m/>
    <x v="1"/>
  </r>
  <r>
    <x v="1"/>
    <x v="0"/>
    <x v="1"/>
    <x v="2"/>
    <x v="5"/>
    <m/>
    <x v="1"/>
  </r>
  <r>
    <x v="2"/>
    <x v="1"/>
    <x v="2"/>
    <x v="2"/>
    <x v="5"/>
    <m/>
    <x v="1"/>
  </r>
  <r>
    <x v="2"/>
    <x v="1"/>
    <x v="3"/>
    <x v="2"/>
    <x v="5"/>
    <m/>
    <x v="1"/>
  </r>
  <r>
    <x v="2"/>
    <x v="1"/>
    <x v="4"/>
    <x v="2"/>
    <x v="5"/>
    <m/>
    <x v="1"/>
  </r>
  <r>
    <x v="1"/>
    <x v="1"/>
    <x v="1"/>
    <x v="2"/>
    <x v="5"/>
    <m/>
    <x v="1"/>
  </r>
  <r>
    <x v="1"/>
    <x v="1"/>
    <x v="5"/>
    <x v="2"/>
    <x v="5"/>
    <m/>
    <x v="1"/>
  </r>
  <r>
    <x v="1"/>
    <x v="1"/>
    <x v="6"/>
    <x v="2"/>
    <x v="5"/>
    <m/>
    <x v="1"/>
  </r>
  <r>
    <x v="0"/>
    <x v="0"/>
    <x v="0"/>
    <x v="3"/>
    <x v="5"/>
    <m/>
    <x v="1"/>
  </r>
  <r>
    <x v="1"/>
    <x v="0"/>
    <x v="1"/>
    <x v="3"/>
    <x v="5"/>
    <m/>
    <x v="1"/>
  </r>
  <r>
    <x v="2"/>
    <x v="1"/>
    <x v="2"/>
    <x v="3"/>
    <x v="5"/>
    <m/>
    <x v="1"/>
  </r>
  <r>
    <x v="2"/>
    <x v="1"/>
    <x v="3"/>
    <x v="3"/>
    <x v="5"/>
    <m/>
    <x v="1"/>
  </r>
  <r>
    <x v="2"/>
    <x v="1"/>
    <x v="4"/>
    <x v="3"/>
    <x v="5"/>
    <m/>
    <x v="1"/>
  </r>
  <r>
    <x v="1"/>
    <x v="1"/>
    <x v="1"/>
    <x v="3"/>
    <x v="5"/>
    <m/>
    <x v="1"/>
  </r>
  <r>
    <x v="1"/>
    <x v="1"/>
    <x v="5"/>
    <x v="3"/>
    <x v="5"/>
    <m/>
    <x v="1"/>
  </r>
  <r>
    <x v="1"/>
    <x v="1"/>
    <x v="6"/>
    <x v="3"/>
    <x v="5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BEE52-105C-4B21-A6CF-BBFB59EF81DF}" name="TablaDinámica6" cacheId="1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H12" firstHeaderRow="1" firstDataRow="2" firstDataCol="1" rowPageCount="4" colPageCount="1"/>
  <pivotFields count="10">
    <pivotField axis="axisPage" multipleItemSelectionAllowed="1" showAll="0">
      <items count="4">
        <item h="1" x="2"/>
        <item h="1"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Page" multipleItemSelectionAllowed="1" showAll="0">
      <items count="8">
        <item x="2"/>
        <item x="3"/>
        <item x="0"/>
        <item x="4"/>
        <item x="1"/>
        <item x="5"/>
        <item x="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axis="axisCol" numFmtId="17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Page" multipleItemSelectionAllowed="1" showAll="0">
      <items count="3"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4">
    <pageField fld="1" hier="-1"/>
    <pageField fld="6" hier="-1"/>
    <pageField fld="0" hier="-1"/>
    <pageField fld="2" hier="-1"/>
  </pageFields>
  <dataFields count="1">
    <dataField name="Suma de Importe" fld="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78C4-AA19-4B40-8D20-DF9A204D5F52}">
  <dimension ref="A1:J32"/>
  <sheetViews>
    <sheetView showGridLines="0" workbookViewId="0">
      <selection activeCell="K2" sqref="K2:L9"/>
    </sheetView>
  </sheetViews>
  <sheetFormatPr baseColWidth="10" defaultRowHeight="14.4" x14ac:dyDescent="0.3"/>
  <cols>
    <col min="1" max="1" width="5.5546875" bestFit="1" customWidth="1"/>
    <col min="2" max="2" width="32.77734375" bestFit="1" customWidth="1"/>
    <col min="3" max="3" width="6.6640625" bestFit="1" customWidth="1"/>
    <col min="4" max="4" width="10.77734375" bestFit="1" customWidth="1"/>
    <col min="5" max="6" width="11.21875" bestFit="1" customWidth="1"/>
    <col min="7" max="7" width="12.77734375" bestFit="1" customWidth="1"/>
    <col min="8" max="8" width="12.77734375" customWidth="1"/>
    <col min="9" max="9" width="12.5546875" bestFit="1" customWidth="1"/>
    <col min="11" max="11" width="15.33203125" customWidth="1"/>
    <col min="12" max="12" width="9.88671875" customWidth="1"/>
  </cols>
  <sheetData>
    <row r="1" spans="1:10" x14ac:dyDescent="0.3">
      <c r="A1" s="5" t="s">
        <v>41</v>
      </c>
      <c r="B1" s="34" t="s">
        <v>42</v>
      </c>
      <c r="C1" s="34" t="s">
        <v>43</v>
      </c>
      <c r="D1" s="34" t="s">
        <v>82</v>
      </c>
      <c r="E1" s="5" t="s">
        <v>44</v>
      </c>
      <c r="F1" s="34" t="s">
        <v>45</v>
      </c>
      <c r="G1" s="34" t="s">
        <v>80</v>
      </c>
      <c r="H1" s="34" t="s">
        <v>81</v>
      </c>
      <c r="I1" s="34" t="s">
        <v>46</v>
      </c>
    </row>
    <row r="2" spans="1:10" x14ac:dyDescent="0.3">
      <c r="A2" s="5">
        <v>177</v>
      </c>
      <c r="B2" s="5" t="s">
        <v>63</v>
      </c>
      <c r="C2" s="25">
        <v>45689</v>
      </c>
      <c r="D2" s="26"/>
      <c r="E2" s="23">
        <v>558728</v>
      </c>
      <c r="F2" s="23">
        <v>696925.79</v>
      </c>
      <c r="G2" s="23"/>
      <c r="H2" s="23"/>
      <c r="I2" s="5" t="s">
        <v>86</v>
      </c>
    </row>
    <row r="3" spans="1:10" x14ac:dyDescent="0.3">
      <c r="A3" s="5">
        <v>178</v>
      </c>
      <c r="B3" s="5" t="s">
        <v>64</v>
      </c>
      <c r="C3" s="25">
        <v>45689</v>
      </c>
      <c r="D3" s="26"/>
      <c r="E3" s="23">
        <v>459522</v>
      </c>
      <c r="F3" s="23">
        <v>570513.93999999994</v>
      </c>
      <c r="G3" s="23"/>
      <c r="H3" s="23"/>
      <c r="I3" s="5" t="s">
        <v>86</v>
      </c>
    </row>
    <row r="4" spans="1:10" x14ac:dyDescent="0.3">
      <c r="A4" s="5">
        <v>181</v>
      </c>
      <c r="B4" s="5" t="s">
        <v>65</v>
      </c>
      <c r="C4" s="25">
        <v>45689</v>
      </c>
      <c r="D4" s="26"/>
      <c r="E4" s="23">
        <v>448405</v>
      </c>
      <c r="F4" s="23">
        <v>556967.31000000006</v>
      </c>
      <c r="G4" s="23"/>
      <c r="H4" s="23"/>
      <c r="I4" s="5" t="s">
        <v>86</v>
      </c>
    </row>
    <row r="5" spans="1:10" x14ac:dyDescent="0.3">
      <c r="A5" s="5">
        <v>184</v>
      </c>
      <c r="B5" s="5" t="s">
        <v>66</v>
      </c>
      <c r="C5" s="25">
        <v>45689</v>
      </c>
      <c r="D5" s="26"/>
      <c r="E5" s="23">
        <v>503200</v>
      </c>
      <c r="F5" s="23">
        <v>627271.86</v>
      </c>
      <c r="G5" s="23"/>
      <c r="H5" s="23"/>
      <c r="I5" s="5" t="s">
        <v>86</v>
      </c>
      <c r="J5" s="38"/>
    </row>
    <row r="6" spans="1:10" x14ac:dyDescent="0.3">
      <c r="A6" s="5">
        <v>55</v>
      </c>
      <c r="B6" s="5" t="s">
        <v>47</v>
      </c>
      <c r="C6" s="25">
        <v>45689</v>
      </c>
      <c r="D6" s="26"/>
      <c r="E6" s="23">
        <v>650871</v>
      </c>
      <c r="F6" s="23">
        <v>812261.2</v>
      </c>
      <c r="G6" s="23"/>
      <c r="H6" s="23"/>
      <c r="I6" s="5" t="s">
        <v>83</v>
      </c>
      <c r="J6" s="38"/>
    </row>
    <row r="7" spans="1:10" x14ac:dyDescent="0.3">
      <c r="A7" s="5">
        <v>151</v>
      </c>
      <c r="B7" s="5" t="s">
        <v>56</v>
      </c>
      <c r="C7" s="25">
        <v>45689</v>
      </c>
      <c r="D7" s="26"/>
      <c r="E7" s="23">
        <v>504771</v>
      </c>
      <c r="F7" s="23">
        <v>625263.14</v>
      </c>
      <c r="G7" s="23"/>
      <c r="H7" s="23"/>
      <c r="I7" s="5" t="s">
        <v>83</v>
      </c>
      <c r="J7" s="38"/>
    </row>
    <row r="8" spans="1:10" x14ac:dyDescent="0.3">
      <c r="A8" s="5">
        <v>161</v>
      </c>
      <c r="B8" s="5" t="s">
        <v>57</v>
      </c>
      <c r="C8" s="25">
        <v>45689</v>
      </c>
      <c r="D8" s="26"/>
      <c r="E8" s="23">
        <v>592485</v>
      </c>
      <c r="F8" s="23">
        <v>739248.26</v>
      </c>
      <c r="G8" s="23"/>
      <c r="H8" s="23"/>
      <c r="I8" s="5" t="s">
        <v>83</v>
      </c>
      <c r="J8" s="38"/>
    </row>
    <row r="9" spans="1:10" x14ac:dyDescent="0.3">
      <c r="A9" s="5">
        <v>201</v>
      </c>
      <c r="B9" s="5" t="s">
        <v>73</v>
      </c>
      <c r="C9" s="25">
        <v>45689</v>
      </c>
      <c r="D9" s="26"/>
      <c r="E9" s="23">
        <v>407934</v>
      </c>
      <c r="F9" s="23">
        <v>508138.21</v>
      </c>
      <c r="G9" s="23"/>
      <c r="H9" s="23"/>
      <c r="I9" s="5" t="s">
        <v>83</v>
      </c>
      <c r="J9" s="38"/>
    </row>
    <row r="10" spans="1:10" x14ac:dyDescent="0.3">
      <c r="A10" s="5">
        <v>139</v>
      </c>
      <c r="B10" s="5" t="s">
        <v>54</v>
      </c>
      <c r="C10" s="25">
        <v>45689</v>
      </c>
      <c r="D10" s="26"/>
      <c r="E10" s="23">
        <v>538536</v>
      </c>
      <c r="F10" s="23">
        <v>672054.61</v>
      </c>
      <c r="G10" s="23"/>
      <c r="H10" s="23"/>
      <c r="I10" s="5" t="s">
        <v>85</v>
      </c>
      <c r="J10" s="38"/>
    </row>
    <row r="11" spans="1:10" x14ac:dyDescent="0.3">
      <c r="A11" s="5">
        <v>170</v>
      </c>
      <c r="B11" s="5" t="s">
        <v>59</v>
      </c>
      <c r="C11" s="25">
        <v>45689</v>
      </c>
      <c r="D11" s="26"/>
      <c r="E11" s="23">
        <v>561694</v>
      </c>
      <c r="F11" s="23">
        <v>698913.68</v>
      </c>
      <c r="G11" s="23"/>
      <c r="H11" s="23"/>
      <c r="I11" s="5" t="s">
        <v>85</v>
      </c>
      <c r="J11" s="38"/>
    </row>
    <row r="12" spans="1:10" x14ac:dyDescent="0.3">
      <c r="A12" s="5">
        <v>173</v>
      </c>
      <c r="B12" s="5" t="s">
        <v>61</v>
      </c>
      <c r="C12" s="25">
        <v>45689</v>
      </c>
      <c r="D12" s="26"/>
      <c r="E12" s="23">
        <v>285914</v>
      </c>
      <c r="F12" s="23">
        <v>343710.83</v>
      </c>
      <c r="G12" s="23"/>
      <c r="H12" s="23"/>
      <c r="I12" s="5" t="s">
        <v>85</v>
      </c>
      <c r="J12" s="38"/>
    </row>
    <row r="13" spans="1:10" x14ac:dyDescent="0.3">
      <c r="A13" s="5">
        <v>186</v>
      </c>
      <c r="B13" s="5" t="s">
        <v>67</v>
      </c>
      <c r="C13" s="25">
        <v>45689</v>
      </c>
      <c r="D13" s="26"/>
      <c r="E13" s="23">
        <v>581315</v>
      </c>
      <c r="F13" s="23">
        <v>725471.98</v>
      </c>
      <c r="G13" s="23"/>
      <c r="H13" s="23"/>
      <c r="I13" s="5" t="s">
        <v>85</v>
      </c>
      <c r="J13" s="38"/>
    </row>
    <row r="14" spans="1:10" x14ac:dyDescent="0.3">
      <c r="A14" s="5">
        <v>197</v>
      </c>
      <c r="B14" s="5" t="s">
        <v>72</v>
      </c>
      <c r="C14" s="25">
        <v>45689</v>
      </c>
      <c r="D14" s="26"/>
      <c r="E14" s="23">
        <v>545617</v>
      </c>
      <c r="F14" s="23">
        <v>680008.52</v>
      </c>
      <c r="G14" s="23"/>
      <c r="H14" s="23"/>
      <c r="I14" s="5" t="s">
        <v>85</v>
      </c>
      <c r="J14" s="38"/>
    </row>
    <row r="15" spans="1:10" x14ac:dyDescent="0.3">
      <c r="A15" s="5">
        <v>202</v>
      </c>
      <c r="B15" s="5" t="s">
        <v>74</v>
      </c>
      <c r="C15" s="25">
        <v>45689</v>
      </c>
      <c r="D15" s="26"/>
      <c r="E15" s="23">
        <v>555113</v>
      </c>
      <c r="F15" s="23">
        <v>691862.26</v>
      </c>
      <c r="G15" s="23"/>
      <c r="H15" s="23"/>
      <c r="I15" s="5" t="s">
        <v>85</v>
      </c>
      <c r="J15" s="38"/>
    </row>
    <row r="16" spans="1:10" x14ac:dyDescent="0.3">
      <c r="A16" s="5">
        <v>80</v>
      </c>
      <c r="B16" s="5" t="s">
        <v>48</v>
      </c>
      <c r="C16" s="25">
        <v>45689</v>
      </c>
      <c r="D16" s="26"/>
      <c r="E16" s="23">
        <v>669303</v>
      </c>
      <c r="F16" s="23">
        <v>835222.55</v>
      </c>
      <c r="G16" s="23"/>
      <c r="H16" s="23"/>
      <c r="I16" s="5" t="s">
        <v>87</v>
      </c>
      <c r="J16" s="38"/>
    </row>
    <row r="17" spans="1:10" x14ac:dyDescent="0.3">
      <c r="A17" s="5">
        <v>120</v>
      </c>
      <c r="B17" s="5" t="s">
        <v>50</v>
      </c>
      <c r="C17" s="25">
        <v>45689</v>
      </c>
      <c r="D17" s="26"/>
      <c r="E17" s="23">
        <v>616877</v>
      </c>
      <c r="F17" s="23">
        <v>769714.45</v>
      </c>
      <c r="G17" s="23"/>
      <c r="H17" s="23"/>
      <c r="I17" s="5" t="s">
        <v>87</v>
      </c>
      <c r="J17" s="38"/>
    </row>
    <row r="18" spans="1:10" x14ac:dyDescent="0.3">
      <c r="A18" s="5">
        <v>174</v>
      </c>
      <c r="B18" s="5" t="s">
        <v>62</v>
      </c>
      <c r="C18" s="25">
        <v>45689</v>
      </c>
      <c r="D18" s="26"/>
      <c r="E18" s="23">
        <v>613547</v>
      </c>
      <c r="F18" s="23">
        <v>765465.59999999998</v>
      </c>
      <c r="G18" s="23"/>
      <c r="H18" s="23"/>
      <c r="I18" s="5" t="s">
        <v>87</v>
      </c>
      <c r="J18" s="38"/>
    </row>
    <row r="19" spans="1:10" x14ac:dyDescent="0.3">
      <c r="A19" s="5">
        <v>194</v>
      </c>
      <c r="B19" s="5" t="s">
        <v>71</v>
      </c>
      <c r="C19" s="25">
        <v>45689</v>
      </c>
      <c r="D19" s="26"/>
      <c r="E19" s="23">
        <v>607337</v>
      </c>
      <c r="F19" s="23">
        <v>757053.89</v>
      </c>
      <c r="G19" s="23"/>
      <c r="H19" s="23"/>
      <c r="I19" s="5" t="s">
        <v>87</v>
      </c>
      <c r="J19" s="38"/>
    </row>
    <row r="20" spans="1:10" x14ac:dyDescent="0.3">
      <c r="A20" s="5">
        <v>131</v>
      </c>
      <c r="B20" s="5" t="s">
        <v>52</v>
      </c>
      <c r="C20" s="25">
        <v>45689</v>
      </c>
      <c r="D20" s="26"/>
      <c r="E20" s="23">
        <v>243351</v>
      </c>
      <c r="F20" s="23">
        <v>291775.07</v>
      </c>
      <c r="G20" s="23"/>
      <c r="H20" s="23"/>
      <c r="I20" s="5" t="s">
        <v>88</v>
      </c>
      <c r="J20" s="38"/>
    </row>
    <row r="21" spans="1:10" x14ac:dyDescent="0.3">
      <c r="A21" s="5">
        <v>165</v>
      </c>
      <c r="B21" s="5" t="s">
        <v>58</v>
      </c>
      <c r="C21" s="25">
        <v>45689</v>
      </c>
      <c r="D21" s="26"/>
      <c r="E21" s="23">
        <v>309439</v>
      </c>
      <c r="F21" s="23">
        <v>374632.14</v>
      </c>
      <c r="G21" s="23"/>
      <c r="H21" s="23"/>
      <c r="I21" s="5" t="s">
        <v>88</v>
      </c>
      <c r="J21" s="38"/>
    </row>
    <row r="22" spans="1:10" x14ac:dyDescent="0.3">
      <c r="A22" s="22">
        <v>204</v>
      </c>
      <c r="B22" s="22" t="s">
        <v>75</v>
      </c>
      <c r="C22" s="27">
        <v>45689</v>
      </c>
      <c r="D22" s="28"/>
      <c r="E22" s="24">
        <v>550365</v>
      </c>
      <c r="F22" s="24">
        <v>685935.4</v>
      </c>
      <c r="G22" s="24"/>
      <c r="H22" s="24"/>
      <c r="I22" s="22" t="s">
        <v>84</v>
      </c>
    </row>
    <row r="23" spans="1:10" x14ac:dyDescent="0.3">
      <c r="A23" s="5">
        <v>126</v>
      </c>
      <c r="B23" s="5" t="s">
        <v>51</v>
      </c>
      <c r="C23" s="25">
        <v>45689</v>
      </c>
      <c r="D23" s="26"/>
      <c r="E23" s="23">
        <v>631988</v>
      </c>
      <c r="F23" s="23">
        <v>789011.12</v>
      </c>
      <c r="G23" s="23"/>
      <c r="H23" s="23"/>
      <c r="I23" s="5" t="s">
        <v>89</v>
      </c>
      <c r="J23" s="38"/>
    </row>
    <row r="24" spans="1:10" x14ac:dyDescent="0.3">
      <c r="A24" s="5">
        <v>171</v>
      </c>
      <c r="B24" s="5" t="s">
        <v>60</v>
      </c>
      <c r="C24" s="25">
        <v>45689</v>
      </c>
      <c r="D24" s="26"/>
      <c r="E24" s="23">
        <v>402440</v>
      </c>
      <c r="F24" s="23">
        <v>491673.17</v>
      </c>
      <c r="G24" s="23"/>
      <c r="H24" s="23"/>
      <c r="I24" s="5" t="s">
        <v>89</v>
      </c>
      <c r="J24" s="38"/>
    </row>
    <row r="25" spans="1:10" x14ac:dyDescent="0.3">
      <c r="A25" s="5">
        <v>189</v>
      </c>
      <c r="B25" s="5" t="s">
        <v>68</v>
      </c>
      <c r="C25" s="25">
        <v>45689</v>
      </c>
      <c r="D25" s="26"/>
      <c r="E25" s="23">
        <v>626807</v>
      </c>
      <c r="F25" s="23">
        <v>782176.28</v>
      </c>
      <c r="G25" s="23"/>
      <c r="H25" s="23"/>
      <c r="I25" s="5" t="s">
        <v>89</v>
      </c>
      <c r="J25" s="38"/>
    </row>
    <row r="26" spans="1:10" x14ac:dyDescent="0.3">
      <c r="A26" s="5">
        <v>103</v>
      </c>
      <c r="B26" s="5" t="s">
        <v>49</v>
      </c>
      <c r="C26" s="25">
        <v>45689</v>
      </c>
      <c r="D26" s="26"/>
      <c r="E26" s="23">
        <v>669275</v>
      </c>
      <c r="F26" s="23">
        <v>836263.46</v>
      </c>
      <c r="G26" s="23"/>
      <c r="H26" s="23"/>
      <c r="I26" s="5" t="s">
        <v>79</v>
      </c>
      <c r="J26" s="38"/>
    </row>
    <row r="27" spans="1:10" x14ac:dyDescent="0.3">
      <c r="A27" s="5">
        <v>138</v>
      </c>
      <c r="B27" s="5" t="s">
        <v>53</v>
      </c>
      <c r="C27" s="25">
        <v>45689</v>
      </c>
      <c r="D27" s="26"/>
      <c r="E27" s="23">
        <v>652470</v>
      </c>
      <c r="F27" s="23">
        <v>815237.89</v>
      </c>
      <c r="G27" s="23"/>
      <c r="H27" s="23"/>
      <c r="I27" s="5" t="s">
        <v>79</v>
      </c>
      <c r="J27" s="38"/>
    </row>
    <row r="28" spans="1:10" x14ac:dyDescent="0.3">
      <c r="A28" s="5">
        <v>143</v>
      </c>
      <c r="B28" s="5" t="s">
        <v>55</v>
      </c>
      <c r="C28" s="25">
        <v>45689</v>
      </c>
      <c r="D28" s="26"/>
      <c r="E28" s="23">
        <v>292703</v>
      </c>
      <c r="F28" s="23">
        <v>352835.96</v>
      </c>
      <c r="G28" s="23"/>
      <c r="H28" s="23"/>
      <c r="I28" s="5" t="s">
        <v>79</v>
      </c>
      <c r="J28" s="38"/>
    </row>
    <row r="29" spans="1:10" x14ac:dyDescent="0.3">
      <c r="A29" s="5">
        <v>206</v>
      </c>
      <c r="B29" s="5" t="s">
        <v>77</v>
      </c>
      <c r="C29" s="25">
        <v>45689</v>
      </c>
      <c r="D29" s="26"/>
      <c r="E29" s="23">
        <v>85091</v>
      </c>
      <c r="F29" s="23">
        <v>105131.84</v>
      </c>
      <c r="G29" s="23"/>
      <c r="H29" s="23"/>
      <c r="I29" s="5" t="s">
        <v>79</v>
      </c>
      <c r="J29" s="38"/>
    </row>
    <row r="30" spans="1:10" x14ac:dyDescent="0.3">
      <c r="A30" s="5">
        <v>190</v>
      </c>
      <c r="B30" s="5" t="s">
        <v>69</v>
      </c>
      <c r="C30" s="25">
        <v>45689</v>
      </c>
      <c r="D30" s="26"/>
      <c r="E30" s="23">
        <v>608083</v>
      </c>
      <c r="F30" s="23">
        <v>758016.41</v>
      </c>
      <c r="G30" s="23"/>
      <c r="H30" s="23"/>
      <c r="I30" s="5" t="s">
        <v>78</v>
      </c>
      <c r="J30" s="38"/>
    </row>
    <row r="31" spans="1:10" x14ac:dyDescent="0.3">
      <c r="A31" s="5">
        <v>192</v>
      </c>
      <c r="B31" s="5" t="s">
        <v>70</v>
      </c>
      <c r="C31" s="25">
        <v>45689</v>
      </c>
      <c r="D31" s="26"/>
      <c r="E31" s="23">
        <v>601885</v>
      </c>
      <c r="F31" s="23">
        <v>750617.41</v>
      </c>
      <c r="G31" s="23"/>
      <c r="H31" s="23"/>
      <c r="I31" s="5" t="s">
        <v>78</v>
      </c>
    </row>
    <row r="32" spans="1:10" x14ac:dyDescent="0.3">
      <c r="A32" s="5">
        <v>205</v>
      </c>
      <c r="B32" s="5" t="s">
        <v>76</v>
      </c>
      <c r="C32" s="25">
        <v>45689</v>
      </c>
      <c r="D32" s="26"/>
      <c r="E32" s="23">
        <v>80343</v>
      </c>
      <c r="F32" s="23">
        <v>99204.97</v>
      </c>
      <c r="G32" s="23"/>
      <c r="H32" s="23"/>
      <c r="I32" s="5" t="s">
        <v>78</v>
      </c>
      <c r="J32" s="38"/>
    </row>
  </sheetData>
  <autoFilter ref="A1:L32" xr:uid="{6B1F78C4-AA19-4B40-8D20-DF9A204D5F52}"/>
  <sortState xmlns:xlrd2="http://schemas.microsoft.com/office/spreadsheetml/2017/richdata2" ref="K3:L9">
    <sortCondition ref="K3:K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1CD9-9094-4E3B-948A-2FE934BCED6C}">
  <dimension ref="A1:J25"/>
  <sheetViews>
    <sheetView showGridLines="0" workbookViewId="0">
      <selection activeCell="I1" sqref="I1"/>
    </sheetView>
  </sheetViews>
  <sheetFormatPr baseColWidth="10" defaultRowHeight="14.4" x14ac:dyDescent="0.3"/>
  <cols>
    <col min="1" max="1" width="5.5546875" bestFit="1" customWidth="1"/>
    <col min="2" max="2" width="32.77734375" bestFit="1" customWidth="1"/>
    <col min="3" max="3" width="6.6640625" bestFit="1" customWidth="1"/>
    <col min="4" max="4" width="10.77734375" bestFit="1" customWidth="1"/>
    <col min="5" max="6" width="11.21875" bestFit="1" customWidth="1"/>
    <col min="7" max="7" width="12.77734375" bestFit="1" customWidth="1"/>
    <col min="8" max="8" width="19.33203125" bestFit="1" customWidth="1"/>
    <col min="9" max="9" width="12.5546875" bestFit="1" customWidth="1"/>
    <col min="12" max="12" width="13.77734375" bestFit="1" customWidth="1"/>
  </cols>
  <sheetData>
    <row r="1" spans="1:10" x14ac:dyDescent="0.3">
      <c r="A1" s="5" t="s">
        <v>41</v>
      </c>
      <c r="B1" s="34" t="s">
        <v>42</v>
      </c>
      <c r="C1" s="34" t="s">
        <v>43</v>
      </c>
      <c r="D1" s="34" t="s">
        <v>82</v>
      </c>
      <c r="E1" s="5" t="s">
        <v>44</v>
      </c>
      <c r="F1" s="34" t="s">
        <v>45</v>
      </c>
      <c r="G1" s="34" t="s">
        <v>80</v>
      </c>
      <c r="H1" s="34" t="s">
        <v>81</v>
      </c>
      <c r="I1" s="34" t="s">
        <v>46</v>
      </c>
    </row>
    <row r="2" spans="1:10" x14ac:dyDescent="0.3">
      <c r="A2" s="5">
        <v>55</v>
      </c>
      <c r="B2" s="5" t="s">
        <v>47</v>
      </c>
      <c r="C2" s="25">
        <v>45717</v>
      </c>
      <c r="D2" s="26"/>
      <c r="E2" s="23"/>
      <c r="F2" s="23"/>
      <c r="G2" s="23"/>
      <c r="H2" s="23"/>
      <c r="I2" s="5" t="s">
        <v>83</v>
      </c>
      <c r="J2" s="38"/>
    </row>
    <row r="3" spans="1:10" x14ac:dyDescent="0.3">
      <c r="A3" s="5">
        <v>151</v>
      </c>
      <c r="B3" s="5" t="s">
        <v>56</v>
      </c>
      <c r="C3" s="25">
        <v>45717</v>
      </c>
      <c r="D3" s="26"/>
      <c r="E3" s="23"/>
      <c r="F3" s="23"/>
      <c r="G3" s="23"/>
      <c r="H3" s="23"/>
      <c r="I3" s="5" t="s">
        <v>83</v>
      </c>
      <c r="J3" s="38"/>
    </row>
    <row r="4" spans="1:10" x14ac:dyDescent="0.3">
      <c r="A4" s="5">
        <v>161</v>
      </c>
      <c r="B4" s="5" t="s">
        <v>57</v>
      </c>
      <c r="C4" s="25">
        <v>45717</v>
      </c>
      <c r="D4" s="26"/>
      <c r="E4" s="23"/>
      <c r="F4" s="23"/>
      <c r="G4" s="23"/>
      <c r="H4" s="23"/>
      <c r="I4" s="5" t="s">
        <v>83</v>
      </c>
      <c r="J4" s="38"/>
    </row>
    <row r="5" spans="1:10" x14ac:dyDescent="0.3">
      <c r="A5" s="5">
        <v>143</v>
      </c>
      <c r="B5" s="5" t="s">
        <v>55</v>
      </c>
      <c r="C5" s="25">
        <v>45717</v>
      </c>
      <c r="D5" s="26"/>
      <c r="E5" s="23"/>
      <c r="F5" s="23"/>
      <c r="G5" s="23"/>
      <c r="H5" s="23"/>
      <c r="I5" s="45" t="s">
        <v>83</v>
      </c>
      <c r="J5" s="38"/>
    </row>
    <row r="6" spans="1:10" x14ac:dyDescent="0.3">
      <c r="A6" s="39">
        <v>184</v>
      </c>
      <c r="B6" s="39" t="s">
        <v>66</v>
      </c>
      <c r="C6" s="40">
        <v>45717</v>
      </c>
      <c r="D6" s="41"/>
      <c r="E6" s="42"/>
      <c r="F6" s="42"/>
      <c r="G6" s="42"/>
      <c r="H6" s="42" t="s">
        <v>94</v>
      </c>
      <c r="I6" s="39" t="s">
        <v>83</v>
      </c>
      <c r="J6" s="38"/>
    </row>
    <row r="7" spans="1:10" x14ac:dyDescent="0.3">
      <c r="A7" s="5">
        <v>186</v>
      </c>
      <c r="B7" s="5" t="s">
        <v>67</v>
      </c>
      <c r="C7" s="25">
        <v>45717</v>
      </c>
      <c r="D7" s="26"/>
      <c r="E7" s="23"/>
      <c r="F7" s="23"/>
      <c r="G7" s="23"/>
      <c r="H7" s="23"/>
      <c r="I7" s="5" t="s">
        <v>85</v>
      </c>
      <c r="J7" s="38"/>
    </row>
    <row r="8" spans="1:10" x14ac:dyDescent="0.3">
      <c r="A8" s="43">
        <v>204</v>
      </c>
      <c r="B8" s="43" t="s">
        <v>75</v>
      </c>
      <c r="C8" s="25">
        <v>45717</v>
      </c>
      <c r="D8" s="26"/>
      <c r="E8" s="44"/>
      <c r="F8" s="44"/>
      <c r="G8" s="44"/>
      <c r="H8" s="44"/>
      <c r="I8" s="43" t="s">
        <v>85</v>
      </c>
      <c r="J8" s="38"/>
    </row>
    <row r="9" spans="1:10" x14ac:dyDescent="0.3">
      <c r="A9" s="5">
        <v>173</v>
      </c>
      <c r="B9" s="5" t="s">
        <v>61</v>
      </c>
      <c r="C9" s="25">
        <v>45717</v>
      </c>
      <c r="D9" s="26"/>
      <c r="E9" s="23"/>
      <c r="F9" s="23"/>
      <c r="G9" s="23"/>
      <c r="H9" s="23"/>
      <c r="I9" s="5" t="s">
        <v>85</v>
      </c>
      <c r="J9" s="38"/>
    </row>
    <row r="10" spans="1:10" x14ac:dyDescent="0.3">
      <c r="A10" s="5">
        <v>170</v>
      </c>
      <c r="B10" s="5" t="s">
        <v>59</v>
      </c>
      <c r="C10" s="25">
        <v>45717</v>
      </c>
      <c r="D10" s="26"/>
      <c r="E10" s="23"/>
      <c r="F10" s="23"/>
      <c r="G10" s="23"/>
      <c r="H10" s="23"/>
      <c r="I10" s="5" t="s">
        <v>85</v>
      </c>
      <c r="J10" s="38"/>
    </row>
    <row r="11" spans="1:10" x14ac:dyDescent="0.3">
      <c r="A11" s="5">
        <v>139</v>
      </c>
      <c r="B11" s="5" t="s">
        <v>54</v>
      </c>
      <c r="C11" s="25">
        <v>45717</v>
      </c>
      <c r="D11" s="26"/>
      <c r="E11" s="23"/>
      <c r="F11" s="23"/>
      <c r="G11" s="23"/>
      <c r="H11" s="23"/>
      <c r="I11" s="5" t="s">
        <v>85</v>
      </c>
      <c r="J11" s="38"/>
    </row>
    <row r="12" spans="1:10" x14ac:dyDescent="0.3">
      <c r="A12" s="5">
        <v>120</v>
      </c>
      <c r="B12" s="5" t="s">
        <v>50</v>
      </c>
      <c r="C12" s="25">
        <v>45717</v>
      </c>
      <c r="D12" s="26"/>
      <c r="E12" s="23"/>
      <c r="F12" s="23"/>
      <c r="G12" s="23"/>
      <c r="H12" s="23"/>
      <c r="I12" s="5" t="s">
        <v>87</v>
      </c>
      <c r="J12" s="38"/>
    </row>
    <row r="13" spans="1:10" x14ac:dyDescent="0.3">
      <c r="A13" s="5">
        <v>174</v>
      </c>
      <c r="B13" s="5" t="s">
        <v>62</v>
      </c>
      <c r="C13" s="25">
        <v>45717</v>
      </c>
      <c r="D13" s="26"/>
      <c r="E13" s="23"/>
      <c r="F13" s="23"/>
      <c r="G13" s="23"/>
      <c r="H13" s="23"/>
      <c r="I13" s="5" t="s">
        <v>87</v>
      </c>
      <c r="J13" s="38"/>
    </row>
    <row r="14" spans="1:10" x14ac:dyDescent="0.3">
      <c r="A14" s="5">
        <v>194</v>
      </c>
      <c r="B14" s="5" t="s">
        <v>71</v>
      </c>
      <c r="C14" s="25">
        <v>45717</v>
      </c>
      <c r="D14" s="26"/>
      <c r="E14" s="23"/>
      <c r="F14" s="23"/>
      <c r="G14" s="23"/>
      <c r="H14" s="23"/>
      <c r="I14" s="5" t="s">
        <v>87</v>
      </c>
      <c r="J14" s="38"/>
    </row>
    <row r="15" spans="1:10" x14ac:dyDescent="0.3">
      <c r="A15" s="5">
        <v>165</v>
      </c>
      <c r="B15" s="5" t="s">
        <v>58</v>
      </c>
      <c r="C15" s="25">
        <v>45717</v>
      </c>
      <c r="D15" s="26"/>
      <c r="E15" s="23"/>
      <c r="F15" s="23"/>
      <c r="G15" s="23"/>
      <c r="H15" s="23"/>
      <c r="I15" s="5" t="s">
        <v>88</v>
      </c>
      <c r="J15" s="38"/>
    </row>
    <row r="16" spans="1:10" x14ac:dyDescent="0.3">
      <c r="A16" s="5">
        <v>131</v>
      </c>
      <c r="B16" s="5" t="s">
        <v>52</v>
      </c>
      <c r="C16" s="25">
        <v>45717</v>
      </c>
      <c r="D16" s="26"/>
      <c r="E16" s="23"/>
      <c r="F16" s="23"/>
      <c r="G16" s="23"/>
      <c r="H16" s="23"/>
      <c r="I16" s="5" t="s">
        <v>88</v>
      </c>
      <c r="J16" s="38"/>
    </row>
    <row r="17" spans="1:10" x14ac:dyDescent="0.3">
      <c r="A17" s="5">
        <v>126</v>
      </c>
      <c r="B17" s="5" t="s">
        <v>51</v>
      </c>
      <c r="C17" s="25">
        <v>45717</v>
      </c>
      <c r="D17" s="26"/>
      <c r="E17" s="23"/>
      <c r="F17" s="23"/>
      <c r="G17" s="23"/>
      <c r="H17" s="23"/>
      <c r="I17" s="5" t="s">
        <v>89</v>
      </c>
      <c r="J17" s="38"/>
    </row>
    <row r="18" spans="1:10" x14ac:dyDescent="0.3">
      <c r="A18" s="5">
        <v>171</v>
      </c>
      <c r="B18" s="5" t="s">
        <v>60</v>
      </c>
      <c r="C18" s="25">
        <v>45717</v>
      </c>
      <c r="D18" s="26"/>
      <c r="E18" s="23"/>
      <c r="F18" s="23"/>
      <c r="G18" s="23"/>
      <c r="H18" s="23"/>
      <c r="I18" s="5" t="s">
        <v>89</v>
      </c>
      <c r="J18" s="38"/>
    </row>
    <row r="19" spans="1:10" x14ac:dyDescent="0.3">
      <c r="A19" s="5">
        <v>189</v>
      </c>
      <c r="B19" s="5" t="s">
        <v>68</v>
      </c>
      <c r="C19" s="25">
        <v>45717</v>
      </c>
      <c r="D19" s="26"/>
      <c r="E19" s="23"/>
      <c r="F19" s="23"/>
      <c r="G19" s="23"/>
      <c r="H19" s="23"/>
      <c r="I19" s="5" t="s">
        <v>89</v>
      </c>
      <c r="J19" s="38"/>
    </row>
    <row r="20" spans="1:10" x14ac:dyDescent="0.3">
      <c r="A20" s="5">
        <v>103</v>
      </c>
      <c r="B20" s="5" t="s">
        <v>49</v>
      </c>
      <c r="C20" s="25">
        <v>45717</v>
      </c>
      <c r="D20" s="26"/>
      <c r="E20" s="23"/>
      <c r="F20" s="23"/>
      <c r="G20" s="23"/>
      <c r="H20" s="23"/>
      <c r="I20" s="5" t="s">
        <v>79</v>
      </c>
      <c r="J20" s="38"/>
    </row>
    <row r="21" spans="1:10" x14ac:dyDescent="0.3">
      <c r="A21" s="5">
        <v>206</v>
      </c>
      <c r="B21" s="5" t="s">
        <v>77</v>
      </c>
      <c r="C21" s="25">
        <v>45717</v>
      </c>
      <c r="D21" s="26"/>
      <c r="E21" s="23"/>
      <c r="F21" s="23"/>
      <c r="G21" s="23"/>
      <c r="H21" s="23"/>
      <c r="I21" s="5" t="s">
        <v>79</v>
      </c>
      <c r="J21" s="38"/>
    </row>
    <row r="22" spans="1:10" x14ac:dyDescent="0.3">
      <c r="A22" s="5">
        <v>138</v>
      </c>
      <c r="B22" s="5" t="s">
        <v>53</v>
      </c>
      <c r="C22" s="25">
        <v>45717</v>
      </c>
      <c r="D22" s="26"/>
      <c r="E22" s="23"/>
      <c r="F22" s="23"/>
      <c r="G22" s="23"/>
      <c r="H22" s="23"/>
      <c r="I22" s="5" t="s">
        <v>79</v>
      </c>
      <c r="J22" s="38"/>
    </row>
    <row r="23" spans="1:10" x14ac:dyDescent="0.3">
      <c r="A23" s="5">
        <v>192</v>
      </c>
      <c r="B23" s="5" t="s">
        <v>70</v>
      </c>
      <c r="C23" s="25">
        <v>45717</v>
      </c>
      <c r="D23" s="26"/>
      <c r="E23" s="23"/>
      <c r="F23" s="23"/>
      <c r="G23" s="23"/>
      <c r="H23" s="23"/>
      <c r="I23" s="45" t="s">
        <v>79</v>
      </c>
      <c r="J23" s="38"/>
    </row>
    <row r="24" spans="1:10" x14ac:dyDescent="0.3">
      <c r="A24" s="5">
        <v>205</v>
      </c>
      <c r="B24" s="5" t="s">
        <v>76</v>
      </c>
      <c r="C24" s="25">
        <v>45717</v>
      </c>
      <c r="D24" s="26"/>
      <c r="E24" s="23"/>
      <c r="F24" s="23"/>
      <c r="G24" s="23"/>
      <c r="H24" s="23"/>
      <c r="I24" s="5" t="s">
        <v>78</v>
      </c>
    </row>
    <row r="25" spans="1:10" x14ac:dyDescent="0.3">
      <c r="A25" s="5">
        <v>190</v>
      </c>
      <c r="B25" s="5" t="s">
        <v>69</v>
      </c>
      <c r="C25" s="25">
        <v>45717</v>
      </c>
      <c r="D25" s="26"/>
      <c r="E25" s="23"/>
      <c r="F25" s="23"/>
      <c r="G25" s="23"/>
      <c r="H25" s="23"/>
      <c r="I25" s="5" t="s">
        <v>78</v>
      </c>
      <c r="J25" s="38"/>
    </row>
  </sheetData>
  <autoFilter ref="A1:J25" xr:uid="{00CB1CD9-9094-4E3B-948A-2FE934BCED6C}"/>
  <sortState xmlns:xlrd2="http://schemas.microsoft.com/office/spreadsheetml/2017/richdata2" ref="A2:I25">
    <sortCondition ref="I2:I25"/>
    <sortCondition ref="B2:B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F06D-8E89-4F97-8461-F857582F993E}">
  <dimension ref="A1:K197"/>
  <sheetViews>
    <sheetView showGridLines="0" workbookViewId="0">
      <selection activeCell="I1" sqref="I1"/>
    </sheetView>
  </sheetViews>
  <sheetFormatPr baseColWidth="10" defaultColWidth="11.5546875" defaultRowHeight="13.95" customHeight="1" x14ac:dyDescent="0.2"/>
  <cols>
    <col min="1" max="1" width="12.44140625" style="2" customWidth="1"/>
    <col min="2" max="2" width="13.88671875" style="2" customWidth="1"/>
    <col min="3" max="3" width="17.44140625" style="2" customWidth="1"/>
    <col min="4" max="4" width="18.5546875" style="2" customWidth="1"/>
    <col min="5" max="5" width="9" style="2" customWidth="1"/>
    <col min="6" max="6" width="14" style="3" customWidth="1"/>
    <col min="7" max="7" width="9.33203125" style="2" customWidth="1"/>
    <col min="8" max="9" width="14.6640625" style="2" customWidth="1"/>
    <col min="10" max="10" width="12.5546875" style="1" bestFit="1" customWidth="1"/>
    <col min="11" max="11" width="8.6640625" style="1" bestFit="1" customWidth="1"/>
    <col min="12" max="16384" width="11.5546875" style="1"/>
  </cols>
  <sheetData>
    <row r="1" spans="1:11" ht="13.95" customHeight="1" x14ac:dyDescent="0.2">
      <c r="A1" s="5" t="s">
        <v>20</v>
      </c>
      <c r="B1" s="5" t="s">
        <v>22</v>
      </c>
      <c r="C1" s="5" t="s">
        <v>21</v>
      </c>
      <c r="D1" s="5" t="s">
        <v>18</v>
      </c>
      <c r="E1" s="5" t="s">
        <v>24</v>
      </c>
      <c r="F1" s="9" t="s">
        <v>23</v>
      </c>
      <c r="G1" s="5" t="s">
        <v>17</v>
      </c>
      <c r="H1" s="4"/>
      <c r="I1" s="5" t="s">
        <v>22</v>
      </c>
      <c r="J1" s="5" t="s">
        <v>21</v>
      </c>
      <c r="K1" s="5" t="s">
        <v>20</v>
      </c>
    </row>
    <row r="2" spans="1:11" ht="13.95" customHeight="1" x14ac:dyDescent="0.2">
      <c r="A2" s="5" t="str">
        <f t="shared" ref="A2:A33" si="0">VLOOKUP(C2,$J$2:$K$9,2,FALSE)</f>
        <v>Quilmes</v>
      </c>
      <c r="B2" s="5" t="s">
        <v>9</v>
      </c>
      <c r="C2" s="5" t="s">
        <v>10</v>
      </c>
      <c r="D2" s="5" t="s">
        <v>13</v>
      </c>
      <c r="E2" s="7">
        <v>45566</v>
      </c>
      <c r="F2" s="6">
        <v>11830300</v>
      </c>
      <c r="G2" s="5" t="str">
        <f t="shared" ref="G2:G33" si="1">VLOOKUP(D2,$I$12:$J$15,2,FALSE)</f>
        <v>Ingreso</v>
      </c>
      <c r="H2" s="4"/>
      <c r="I2" s="5" t="s">
        <v>9</v>
      </c>
      <c r="J2" s="5" t="s">
        <v>10</v>
      </c>
      <c r="K2" s="5" t="s">
        <v>10</v>
      </c>
    </row>
    <row r="3" spans="1:11" ht="13.95" customHeight="1" x14ac:dyDescent="0.2">
      <c r="A3" s="5" t="str">
        <f t="shared" si="0"/>
        <v>San Telmo</v>
      </c>
      <c r="B3" s="5" t="s">
        <v>9</v>
      </c>
      <c r="C3" s="5" t="s">
        <v>5</v>
      </c>
      <c r="D3" s="5" t="s">
        <v>13</v>
      </c>
      <c r="E3" s="7">
        <v>45566</v>
      </c>
      <c r="F3" s="6">
        <v>21228068.695652176</v>
      </c>
      <c r="G3" s="5" t="str">
        <f t="shared" si="1"/>
        <v>Ingreso</v>
      </c>
      <c r="H3" s="4"/>
      <c r="I3" s="5" t="s">
        <v>9</v>
      </c>
      <c r="J3" s="5" t="s">
        <v>5</v>
      </c>
      <c r="K3" s="5" t="s">
        <v>5</v>
      </c>
    </row>
    <row r="4" spans="1:11" ht="13.95" customHeight="1" x14ac:dyDescent="0.2">
      <c r="A4" s="5" t="str">
        <f t="shared" si="0"/>
        <v>Centro</v>
      </c>
      <c r="B4" s="5" t="s">
        <v>3</v>
      </c>
      <c r="C4" s="5" t="s">
        <v>8</v>
      </c>
      <c r="D4" s="5" t="s">
        <v>13</v>
      </c>
      <c r="E4" s="7">
        <v>45566</v>
      </c>
      <c r="F4" s="6">
        <v>35956360</v>
      </c>
      <c r="G4" s="5" t="str">
        <f t="shared" si="1"/>
        <v>Ingreso</v>
      </c>
      <c r="H4" s="4"/>
      <c r="I4" s="5" t="s">
        <v>3</v>
      </c>
      <c r="J4" s="5" t="s">
        <v>8</v>
      </c>
      <c r="K4" s="5" t="s">
        <v>19</v>
      </c>
    </row>
    <row r="5" spans="1:11" ht="13.95" customHeight="1" x14ac:dyDescent="0.2">
      <c r="A5" s="5" t="str">
        <f t="shared" si="0"/>
        <v>Centro</v>
      </c>
      <c r="B5" s="5" t="s">
        <v>3</v>
      </c>
      <c r="C5" s="5" t="s">
        <v>7</v>
      </c>
      <c r="D5" s="5" t="s">
        <v>13</v>
      </c>
      <c r="E5" s="7">
        <v>45566</v>
      </c>
      <c r="F5" s="6" t="s">
        <v>14</v>
      </c>
      <c r="G5" s="5" t="str">
        <f t="shared" si="1"/>
        <v>Ingreso</v>
      </c>
      <c r="H5" s="4"/>
      <c r="I5" s="5" t="s">
        <v>3</v>
      </c>
      <c r="J5" s="5" t="s">
        <v>7</v>
      </c>
      <c r="K5" s="5" t="s">
        <v>19</v>
      </c>
    </row>
    <row r="6" spans="1:11" ht="13.95" customHeight="1" x14ac:dyDescent="0.2">
      <c r="A6" s="5" t="str">
        <f t="shared" si="0"/>
        <v>Centro</v>
      </c>
      <c r="B6" s="5" t="s">
        <v>3</v>
      </c>
      <c r="C6" s="5" t="s">
        <v>6</v>
      </c>
      <c r="D6" s="5" t="s">
        <v>13</v>
      </c>
      <c r="E6" s="7">
        <v>45566</v>
      </c>
      <c r="F6" s="6">
        <v>19356680</v>
      </c>
      <c r="G6" s="5" t="str">
        <f t="shared" si="1"/>
        <v>Ingreso</v>
      </c>
      <c r="H6" s="4"/>
      <c r="I6" s="5" t="s">
        <v>3</v>
      </c>
      <c r="J6" s="5" t="s">
        <v>6</v>
      </c>
      <c r="K6" s="5" t="s">
        <v>19</v>
      </c>
    </row>
    <row r="7" spans="1:11" ht="13.95" customHeight="1" x14ac:dyDescent="0.2">
      <c r="A7" s="5" t="str">
        <f t="shared" si="0"/>
        <v>San Telmo</v>
      </c>
      <c r="B7" s="5" t="s">
        <v>3</v>
      </c>
      <c r="C7" s="5" t="s">
        <v>5</v>
      </c>
      <c r="D7" s="5" t="s">
        <v>13</v>
      </c>
      <c r="E7" s="7">
        <v>45566</v>
      </c>
      <c r="F7" s="6">
        <v>37017710.434782609</v>
      </c>
      <c r="G7" s="5" t="str">
        <f t="shared" si="1"/>
        <v>Ingreso</v>
      </c>
      <c r="H7" s="4"/>
      <c r="I7" s="5" t="s">
        <v>3</v>
      </c>
      <c r="J7" s="5" t="s">
        <v>5</v>
      </c>
      <c r="K7" s="5" t="s">
        <v>5</v>
      </c>
    </row>
    <row r="8" spans="1:11" ht="13.95" customHeight="1" x14ac:dyDescent="0.2">
      <c r="A8" s="5" t="str">
        <f t="shared" si="0"/>
        <v>San Telmo</v>
      </c>
      <c r="B8" s="5" t="s">
        <v>3</v>
      </c>
      <c r="C8" s="5" t="s">
        <v>4</v>
      </c>
      <c r="D8" s="5" t="s">
        <v>13</v>
      </c>
      <c r="E8" s="7">
        <v>45566</v>
      </c>
      <c r="F8" s="6">
        <v>4641540</v>
      </c>
      <c r="G8" s="5" t="str">
        <f t="shared" si="1"/>
        <v>Ingreso</v>
      </c>
      <c r="H8" s="4"/>
      <c r="I8" s="5" t="s">
        <v>3</v>
      </c>
      <c r="J8" s="5" t="s">
        <v>4</v>
      </c>
      <c r="K8" s="5" t="s">
        <v>5</v>
      </c>
    </row>
    <row r="9" spans="1:11" ht="13.95" customHeight="1" x14ac:dyDescent="0.2">
      <c r="A9" s="5" t="str">
        <f t="shared" si="0"/>
        <v>San Telmo</v>
      </c>
      <c r="B9" s="5" t="s">
        <v>3</v>
      </c>
      <c r="C9" s="5" t="s">
        <v>2</v>
      </c>
      <c r="D9" s="5" t="s">
        <v>13</v>
      </c>
      <c r="E9" s="7">
        <v>45566</v>
      </c>
      <c r="F9" s="6">
        <v>15939080.000000002</v>
      </c>
      <c r="G9" s="5" t="str">
        <f t="shared" si="1"/>
        <v>Ingreso</v>
      </c>
      <c r="H9" s="4"/>
      <c r="I9" s="5" t="s">
        <v>3</v>
      </c>
      <c r="J9" s="5" t="s">
        <v>2</v>
      </c>
      <c r="K9" s="5" t="s">
        <v>5</v>
      </c>
    </row>
    <row r="10" spans="1:11" ht="13.95" customHeight="1" x14ac:dyDescent="0.2">
      <c r="A10" s="5" t="str">
        <f t="shared" si="0"/>
        <v>Quilmes</v>
      </c>
      <c r="B10" s="5" t="s">
        <v>9</v>
      </c>
      <c r="C10" s="5" t="s">
        <v>10</v>
      </c>
      <c r="D10" s="5" t="s">
        <v>12</v>
      </c>
      <c r="E10" s="7">
        <v>45566</v>
      </c>
      <c r="F10" s="6">
        <v>1606892.53</v>
      </c>
      <c r="G10" s="5" t="str">
        <f t="shared" si="1"/>
        <v>Gasto</v>
      </c>
      <c r="H10" s="4"/>
      <c r="I10" s="4"/>
    </row>
    <row r="11" spans="1:11" ht="13.95" customHeight="1" x14ac:dyDescent="0.2">
      <c r="A11" s="5" t="str">
        <f t="shared" si="0"/>
        <v>San Telmo</v>
      </c>
      <c r="B11" s="5" t="s">
        <v>9</v>
      </c>
      <c r="C11" s="5" t="s">
        <v>5</v>
      </c>
      <c r="D11" s="5" t="s">
        <v>12</v>
      </c>
      <c r="E11" s="7">
        <v>45566</v>
      </c>
      <c r="F11" s="6">
        <v>1630700.79</v>
      </c>
      <c r="G11" s="5" t="str">
        <f t="shared" si="1"/>
        <v>Gasto</v>
      </c>
      <c r="H11" s="4"/>
      <c r="I11" s="5" t="s">
        <v>18</v>
      </c>
      <c r="J11" s="5" t="s">
        <v>17</v>
      </c>
    </row>
    <row r="12" spans="1:11" ht="13.95" customHeight="1" x14ac:dyDescent="0.2">
      <c r="A12" s="5" t="str">
        <f t="shared" si="0"/>
        <v>Centro</v>
      </c>
      <c r="B12" s="5" t="s">
        <v>3</v>
      </c>
      <c r="C12" s="5" t="s">
        <v>8</v>
      </c>
      <c r="D12" s="5" t="s">
        <v>12</v>
      </c>
      <c r="E12" s="7">
        <v>45566</v>
      </c>
      <c r="F12" s="6">
        <v>2818816</v>
      </c>
      <c r="G12" s="5" t="str">
        <f t="shared" si="1"/>
        <v>Gasto</v>
      </c>
      <c r="H12" s="4"/>
      <c r="I12" s="5" t="s">
        <v>13</v>
      </c>
      <c r="J12" s="5" t="s">
        <v>16</v>
      </c>
    </row>
    <row r="13" spans="1:11" ht="13.95" customHeight="1" x14ac:dyDescent="0.2">
      <c r="A13" s="5" t="str">
        <f t="shared" si="0"/>
        <v>Centro</v>
      </c>
      <c r="B13" s="5" t="s">
        <v>3</v>
      </c>
      <c r="C13" s="5" t="s">
        <v>7</v>
      </c>
      <c r="D13" s="5" t="s">
        <v>12</v>
      </c>
      <c r="E13" s="7">
        <v>45566</v>
      </c>
      <c r="F13" s="6"/>
      <c r="G13" s="5" t="str">
        <f t="shared" si="1"/>
        <v>Gasto</v>
      </c>
      <c r="H13" s="4"/>
      <c r="I13" s="5" t="s">
        <v>12</v>
      </c>
      <c r="J13" s="5" t="s">
        <v>15</v>
      </c>
    </row>
    <row r="14" spans="1:11" ht="13.95" customHeight="1" x14ac:dyDescent="0.2">
      <c r="A14" s="5" t="str">
        <f t="shared" si="0"/>
        <v>Centro</v>
      </c>
      <c r="B14" s="5" t="s">
        <v>3</v>
      </c>
      <c r="C14" s="5" t="s">
        <v>6</v>
      </c>
      <c r="D14" s="5" t="s">
        <v>12</v>
      </c>
      <c r="E14" s="7">
        <v>45566</v>
      </c>
      <c r="F14" s="6">
        <v>3494431.2199999997</v>
      </c>
      <c r="G14" s="5" t="str">
        <f t="shared" si="1"/>
        <v>Gasto</v>
      </c>
      <c r="H14" s="4"/>
      <c r="I14" s="5" t="s">
        <v>11</v>
      </c>
      <c r="J14" s="5" t="s">
        <v>15</v>
      </c>
    </row>
    <row r="15" spans="1:11" ht="13.95" customHeight="1" x14ac:dyDescent="0.2">
      <c r="A15" s="5" t="str">
        <f t="shared" si="0"/>
        <v>San Telmo</v>
      </c>
      <c r="B15" s="5" t="s">
        <v>3</v>
      </c>
      <c r="C15" s="5" t="s">
        <v>5</v>
      </c>
      <c r="D15" s="5" t="s">
        <v>12</v>
      </c>
      <c r="E15" s="7">
        <v>45566</v>
      </c>
      <c r="F15" s="6">
        <v>2471458.4</v>
      </c>
      <c r="G15" s="5" t="str">
        <f t="shared" si="1"/>
        <v>Gasto</v>
      </c>
      <c r="H15" s="4"/>
      <c r="I15" s="5" t="s">
        <v>1</v>
      </c>
      <c r="J15" s="5" t="s">
        <v>15</v>
      </c>
    </row>
    <row r="16" spans="1:11" ht="13.95" customHeight="1" x14ac:dyDescent="0.2">
      <c r="A16" s="5" t="str">
        <f t="shared" si="0"/>
        <v>San Telmo</v>
      </c>
      <c r="B16" s="5" t="s">
        <v>3</v>
      </c>
      <c r="C16" s="5" t="s">
        <v>4</v>
      </c>
      <c r="D16" s="5" t="s">
        <v>12</v>
      </c>
      <c r="E16" s="7">
        <v>45566</v>
      </c>
      <c r="F16" s="6">
        <v>338800</v>
      </c>
      <c r="G16" s="5" t="str">
        <f t="shared" si="1"/>
        <v>Gasto</v>
      </c>
      <c r="H16" s="4"/>
      <c r="I16" s="4"/>
    </row>
    <row r="17" spans="1:10" ht="13.95" customHeight="1" x14ac:dyDescent="0.2">
      <c r="A17" s="5" t="str">
        <f t="shared" si="0"/>
        <v>San Telmo</v>
      </c>
      <c r="B17" s="5" t="s">
        <v>3</v>
      </c>
      <c r="C17" s="5" t="s">
        <v>2</v>
      </c>
      <c r="D17" s="5" t="s">
        <v>12</v>
      </c>
      <c r="E17" s="7">
        <v>45566</v>
      </c>
      <c r="F17" s="6">
        <v>290400</v>
      </c>
      <c r="G17" s="5" t="str">
        <f t="shared" si="1"/>
        <v>Gasto</v>
      </c>
      <c r="H17" s="4"/>
      <c r="I17" s="5" t="s">
        <v>46</v>
      </c>
      <c r="J17" s="5" t="s">
        <v>91</v>
      </c>
    </row>
    <row r="18" spans="1:10" ht="13.95" customHeight="1" x14ac:dyDescent="0.2">
      <c r="A18" s="5" t="str">
        <f t="shared" si="0"/>
        <v>Quilmes</v>
      </c>
      <c r="B18" s="5" t="s">
        <v>9</v>
      </c>
      <c r="C18" s="5" t="s">
        <v>10</v>
      </c>
      <c r="D18" s="5" t="s">
        <v>11</v>
      </c>
      <c r="E18" s="7">
        <v>45566</v>
      </c>
      <c r="F18" s="6">
        <v>2468990.9487600001</v>
      </c>
      <c r="G18" s="5" t="str">
        <f t="shared" si="1"/>
        <v>Gasto</v>
      </c>
      <c r="H18" s="4"/>
      <c r="I18" s="5" t="s">
        <v>92</v>
      </c>
      <c r="J18" s="46">
        <v>4</v>
      </c>
    </row>
    <row r="19" spans="1:10" ht="13.95" customHeight="1" x14ac:dyDescent="0.2">
      <c r="A19" s="5" t="str">
        <f t="shared" si="0"/>
        <v>San Telmo</v>
      </c>
      <c r="B19" s="5" t="s">
        <v>9</v>
      </c>
      <c r="C19" s="5" t="s">
        <v>5</v>
      </c>
      <c r="D19" s="5" t="s">
        <v>11</v>
      </c>
      <c r="E19" s="7">
        <v>45566</v>
      </c>
      <c r="F19" s="6">
        <v>3601426.8515400002</v>
      </c>
      <c r="G19" s="5" t="str">
        <f t="shared" si="1"/>
        <v>Gasto</v>
      </c>
      <c r="H19" s="4"/>
      <c r="I19" s="5" t="s">
        <v>8</v>
      </c>
      <c r="J19" s="46">
        <v>5</v>
      </c>
    </row>
    <row r="20" spans="1:10" ht="13.95" customHeight="1" x14ac:dyDescent="0.2">
      <c r="A20" s="5" t="str">
        <f t="shared" si="0"/>
        <v>Centro</v>
      </c>
      <c r="B20" s="5" t="s">
        <v>3</v>
      </c>
      <c r="C20" s="5" t="s">
        <v>8</v>
      </c>
      <c r="D20" s="5" t="s">
        <v>11</v>
      </c>
      <c r="E20" s="7">
        <v>45566</v>
      </c>
      <c r="F20" s="6">
        <v>4652999.2996200006</v>
      </c>
      <c r="G20" s="5" t="str">
        <f t="shared" si="1"/>
        <v>Gasto</v>
      </c>
      <c r="H20" s="4"/>
      <c r="I20" s="5" t="s">
        <v>90</v>
      </c>
      <c r="J20" s="46">
        <v>3</v>
      </c>
    </row>
    <row r="21" spans="1:10" ht="13.95" customHeight="1" x14ac:dyDescent="0.2">
      <c r="A21" s="5" t="str">
        <f t="shared" si="0"/>
        <v>Centro</v>
      </c>
      <c r="B21" s="5" t="s">
        <v>3</v>
      </c>
      <c r="C21" s="5" t="s">
        <v>7</v>
      </c>
      <c r="D21" s="5" t="s">
        <v>11</v>
      </c>
      <c r="E21" s="7">
        <v>45566</v>
      </c>
      <c r="F21" s="6"/>
      <c r="G21" s="5" t="str">
        <f t="shared" si="1"/>
        <v>Gasto</v>
      </c>
      <c r="H21" s="4"/>
      <c r="I21" s="5" t="s">
        <v>93</v>
      </c>
      <c r="J21" s="46">
        <v>2</v>
      </c>
    </row>
    <row r="22" spans="1:10" ht="13.95" customHeight="1" x14ac:dyDescent="0.2">
      <c r="A22" s="5" t="str">
        <f t="shared" si="0"/>
        <v>Centro</v>
      </c>
      <c r="B22" s="5" t="s">
        <v>3</v>
      </c>
      <c r="C22" s="5" t="s">
        <v>6</v>
      </c>
      <c r="D22" s="5" t="s">
        <v>11</v>
      </c>
      <c r="E22" s="7">
        <v>45566</v>
      </c>
      <c r="F22" s="6">
        <v>2488006.7301600003</v>
      </c>
      <c r="G22" s="5" t="str">
        <f t="shared" si="1"/>
        <v>Gasto</v>
      </c>
      <c r="H22" s="4"/>
      <c r="I22" s="5" t="s">
        <v>6</v>
      </c>
      <c r="J22" s="46">
        <v>3</v>
      </c>
    </row>
    <row r="23" spans="1:10" ht="13.95" customHeight="1" x14ac:dyDescent="0.2">
      <c r="A23" s="5" t="str">
        <f t="shared" si="0"/>
        <v>San Telmo</v>
      </c>
      <c r="B23" s="5" t="s">
        <v>3</v>
      </c>
      <c r="C23" s="5" t="s">
        <v>5</v>
      </c>
      <c r="D23" s="5" t="s">
        <v>11</v>
      </c>
      <c r="E23" s="7">
        <v>45566</v>
      </c>
      <c r="F23" s="6">
        <v>3789384.4598400006</v>
      </c>
      <c r="G23" s="5" t="str">
        <f t="shared" si="1"/>
        <v>Gasto</v>
      </c>
      <c r="H23" s="4"/>
      <c r="I23" s="5" t="s">
        <v>5</v>
      </c>
      <c r="J23" s="46">
        <v>4</v>
      </c>
    </row>
    <row r="24" spans="1:10" ht="13.95" customHeight="1" x14ac:dyDescent="0.2">
      <c r="A24" s="5" t="str">
        <f t="shared" si="0"/>
        <v>San Telmo</v>
      </c>
      <c r="B24" s="5" t="s">
        <v>3</v>
      </c>
      <c r="C24" s="5" t="s">
        <v>4</v>
      </c>
      <c r="D24" s="5" t="s">
        <v>11</v>
      </c>
      <c r="E24" s="7">
        <v>45566</v>
      </c>
      <c r="F24" s="6"/>
      <c r="G24" s="5" t="str">
        <f t="shared" si="1"/>
        <v>Gasto</v>
      </c>
      <c r="H24" s="4"/>
      <c r="I24" s="5" t="s">
        <v>4</v>
      </c>
      <c r="J24" s="46">
        <v>2</v>
      </c>
    </row>
    <row r="25" spans="1:10" ht="13.95" customHeight="1" x14ac:dyDescent="0.2">
      <c r="A25" s="5" t="str">
        <f t="shared" si="0"/>
        <v>San Telmo</v>
      </c>
      <c r="B25" s="5" t="s">
        <v>3</v>
      </c>
      <c r="C25" s="5" t="s">
        <v>2</v>
      </c>
      <c r="D25" s="5" t="s">
        <v>11</v>
      </c>
      <c r="E25" s="7">
        <v>45566</v>
      </c>
      <c r="F25" s="6">
        <v>2556874.0184400002</v>
      </c>
      <c r="G25" s="5" t="str">
        <f t="shared" si="1"/>
        <v>Gasto</v>
      </c>
      <c r="H25" s="4"/>
      <c r="I25" s="4"/>
    </row>
    <row r="26" spans="1:10" ht="13.95" customHeight="1" x14ac:dyDescent="0.2">
      <c r="A26" s="5" t="str">
        <f t="shared" si="0"/>
        <v>Quilmes</v>
      </c>
      <c r="B26" s="5" t="s">
        <v>9</v>
      </c>
      <c r="C26" s="5" t="s">
        <v>10</v>
      </c>
      <c r="D26" s="5" t="s">
        <v>1</v>
      </c>
      <c r="E26" s="7">
        <v>45566</v>
      </c>
      <c r="F26" s="6">
        <v>34383.560653137509</v>
      </c>
      <c r="G26" s="5" t="str">
        <f t="shared" si="1"/>
        <v>Gasto</v>
      </c>
      <c r="H26" s="4"/>
      <c r="I26" s="4"/>
    </row>
    <row r="27" spans="1:10" ht="13.95" customHeight="1" x14ac:dyDescent="0.2">
      <c r="A27" s="5" t="str">
        <f t="shared" si="0"/>
        <v>San Telmo</v>
      </c>
      <c r="B27" s="5" t="s">
        <v>9</v>
      </c>
      <c r="C27" s="5" t="s">
        <v>5</v>
      </c>
      <c r="D27" s="5" t="s">
        <v>1</v>
      </c>
      <c r="E27" s="7">
        <v>45566</v>
      </c>
      <c r="F27" s="6">
        <v>164655.38710742129</v>
      </c>
      <c r="G27" s="5" t="str">
        <f t="shared" si="1"/>
        <v>Gasto</v>
      </c>
      <c r="H27" s="4"/>
      <c r="I27" s="4"/>
    </row>
    <row r="28" spans="1:10" ht="13.95" customHeight="1" x14ac:dyDescent="0.2">
      <c r="A28" s="5" t="str">
        <f t="shared" si="0"/>
        <v>Centro</v>
      </c>
      <c r="B28" s="5" t="s">
        <v>3</v>
      </c>
      <c r="C28" s="5" t="s">
        <v>8</v>
      </c>
      <c r="D28" s="5" t="s">
        <v>1</v>
      </c>
      <c r="E28" s="7">
        <v>45566</v>
      </c>
      <c r="F28" s="6">
        <v>465612.92398798396</v>
      </c>
      <c r="G28" s="5" t="str">
        <f t="shared" si="1"/>
        <v>Gasto</v>
      </c>
      <c r="H28" s="4"/>
      <c r="I28" s="4"/>
    </row>
    <row r="29" spans="1:10" ht="13.95" customHeight="1" x14ac:dyDescent="0.2">
      <c r="A29" s="5" t="str">
        <f t="shared" si="0"/>
        <v>Centro</v>
      </c>
      <c r="B29" s="5" t="s">
        <v>3</v>
      </c>
      <c r="C29" s="5" t="s">
        <v>7</v>
      </c>
      <c r="D29" s="5" t="s">
        <v>1</v>
      </c>
      <c r="E29" s="7">
        <v>45566</v>
      </c>
      <c r="F29" s="6"/>
      <c r="G29" s="5" t="str">
        <f t="shared" si="1"/>
        <v>Gasto</v>
      </c>
      <c r="H29" s="4"/>
      <c r="I29" s="4"/>
    </row>
    <row r="30" spans="1:10" ht="13.95" customHeight="1" x14ac:dyDescent="0.2">
      <c r="A30" s="5" t="str">
        <f t="shared" si="0"/>
        <v>Centro</v>
      </c>
      <c r="B30" s="5" t="s">
        <v>3</v>
      </c>
      <c r="C30" s="5" t="s">
        <v>6</v>
      </c>
      <c r="D30" s="5" t="s">
        <v>1</v>
      </c>
      <c r="E30" s="7">
        <v>45566</v>
      </c>
      <c r="F30" s="6">
        <v>111552.10668287141</v>
      </c>
      <c r="G30" s="5" t="str">
        <f t="shared" si="1"/>
        <v>Gasto</v>
      </c>
      <c r="H30" s="4"/>
      <c r="I30" s="4"/>
    </row>
    <row r="31" spans="1:10" ht="13.95" customHeight="1" x14ac:dyDescent="0.2">
      <c r="A31" s="5" t="str">
        <f t="shared" si="0"/>
        <v>San Telmo</v>
      </c>
      <c r="B31" s="5" t="s">
        <v>3</v>
      </c>
      <c r="C31" s="5" t="s">
        <v>5</v>
      </c>
      <c r="D31" s="5" t="s">
        <v>1</v>
      </c>
      <c r="E31" s="7">
        <v>45566</v>
      </c>
      <c r="F31" s="6">
        <v>210546.37080425932</v>
      </c>
      <c r="G31" s="5" t="str">
        <f t="shared" si="1"/>
        <v>Gasto</v>
      </c>
      <c r="H31" s="4"/>
      <c r="I31" s="4"/>
    </row>
    <row r="32" spans="1:10" ht="13.95" customHeight="1" x14ac:dyDescent="0.2">
      <c r="A32" s="5" t="str">
        <f t="shared" si="0"/>
        <v>San Telmo</v>
      </c>
      <c r="B32" s="5" t="s">
        <v>3</v>
      </c>
      <c r="C32" s="5" t="s">
        <v>4</v>
      </c>
      <c r="D32" s="5" t="s">
        <v>1</v>
      </c>
      <c r="E32" s="7">
        <v>45566</v>
      </c>
      <c r="F32" s="6">
        <v>0</v>
      </c>
      <c r="G32" s="5" t="str">
        <f t="shared" si="1"/>
        <v>Gasto</v>
      </c>
      <c r="H32" s="4"/>
      <c r="I32" s="4"/>
    </row>
    <row r="33" spans="1:9" ht="13.95" customHeight="1" x14ac:dyDescent="0.2">
      <c r="A33" s="5" t="str">
        <f t="shared" si="0"/>
        <v>San Telmo</v>
      </c>
      <c r="B33" s="5" t="s">
        <v>3</v>
      </c>
      <c r="C33" s="5" t="s">
        <v>2</v>
      </c>
      <c r="D33" s="5" t="s">
        <v>1</v>
      </c>
      <c r="E33" s="7">
        <v>45566</v>
      </c>
      <c r="F33" s="6">
        <v>149283.48076432644</v>
      </c>
      <c r="G33" s="5" t="str">
        <f t="shared" si="1"/>
        <v>Gasto</v>
      </c>
      <c r="H33" s="4"/>
      <c r="I33" s="4"/>
    </row>
    <row r="34" spans="1:9" ht="13.95" customHeight="1" x14ac:dyDescent="0.2">
      <c r="A34" s="5" t="str">
        <f t="shared" ref="A34:A65" si="2">VLOOKUP(C34,$J$2:$K$9,2,FALSE)</f>
        <v>Quilmes</v>
      </c>
      <c r="B34" s="5" t="s">
        <v>9</v>
      </c>
      <c r="C34" s="5" t="s">
        <v>10</v>
      </c>
      <c r="D34" s="5" t="s">
        <v>13</v>
      </c>
      <c r="E34" s="7">
        <v>45597</v>
      </c>
      <c r="F34" s="8">
        <v>13752388</v>
      </c>
      <c r="G34" s="5" t="str">
        <f t="shared" ref="G34:G65" si="3">VLOOKUP(D34,$I$12:$J$15,2,FALSE)</f>
        <v>Ingreso</v>
      </c>
      <c r="H34" s="4"/>
      <c r="I34" s="4"/>
    </row>
    <row r="35" spans="1:9" ht="13.95" customHeight="1" x14ac:dyDescent="0.2">
      <c r="A35" s="5" t="str">
        <f t="shared" si="2"/>
        <v>San Telmo</v>
      </c>
      <c r="B35" s="5" t="s">
        <v>9</v>
      </c>
      <c r="C35" s="5" t="s">
        <v>5</v>
      </c>
      <c r="D35" s="5" t="s">
        <v>13</v>
      </c>
      <c r="E35" s="7">
        <v>45597</v>
      </c>
      <c r="F35" s="8">
        <v>17536740</v>
      </c>
      <c r="G35" s="5" t="str">
        <f t="shared" si="3"/>
        <v>Ingreso</v>
      </c>
      <c r="H35" s="4"/>
      <c r="I35" s="4"/>
    </row>
    <row r="36" spans="1:9" ht="13.95" customHeight="1" x14ac:dyDescent="0.2">
      <c r="A36" s="5" t="str">
        <f t="shared" si="2"/>
        <v>Centro</v>
      </c>
      <c r="B36" s="5" t="s">
        <v>3</v>
      </c>
      <c r="C36" s="5" t="s">
        <v>8</v>
      </c>
      <c r="D36" s="5" t="s">
        <v>13</v>
      </c>
      <c r="E36" s="7">
        <v>45597</v>
      </c>
      <c r="F36" s="8">
        <v>53095660</v>
      </c>
      <c r="G36" s="5" t="str">
        <f t="shared" si="3"/>
        <v>Ingreso</v>
      </c>
      <c r="H36" s="4"/>
      <c r="I36" s="4"/>
    </row>
    <row r="37" spans="1:9" ht="13.95" customHeight="1" x14ac:dyDescent="0.2">
      <c r="A37" s="5" t="str">
        <f t="shared" si="2"/>
        <v>Centro</v>
      </c>
      <c r="B37" s="5" t="s">
        <v>3</v>
      </c>
      <c r="C37" s="5" t="s">
        <v>7</v>
      </c>
      <c r="D37" s="5" t="s">
        <v>13</v>
      </c>
      <c r="E37" s="7">
        <v>45597</v>
      </c>
      <c r="F37" s="8" t="s">
        <v>14</v>
      </c>
      <c r="G37" s="5" t="str">
        <f t="shared" si="3"/>
        <v>Ingreso</v>
      </c>
      <c r="H37" s="4"/>
      <c r="I37" s="4"/>
    </row>
    <row r="38" spans="1:9" ht="13.95" customHeight="1" x14ac:dyDescent="0.2">
      <c r="A38" s="5" t="str">
        <f t="shared" si="2"/>
        <v>Centro</v>
      </c>
      <c r="B38" s="5" t="s">
        <v>3</v>
      </c>
      <c r="C38" s="5" t="s">
        <v>6</v>
      </c>
      <c r="D38" s="5" t="s">
        <v>13</v>
      </c>
      <c r="E38" s="7">
        <v>45597</v>
      </c>
      <c r="F38" s="8">
        <v>24784418</v>
      </c>
      <c r="G38" s="5" t="str">
        <f t="shared" si="3"/>
        <v>Ingreso</v>
      </c>
      <c r="H38" s="4"/>
      <c r="I38" s="4"/>
    </row>
    <row r="39" spans="1:9" ht="13.95" customHeight="1" x14ac:dyDescent="0.2">
      <c r="A39" s="5" t="str">
        <f t="shared" si="2"/>
        <v>San Telmo</v>
      </c>
      <c r="B39" s="5" t="s">
        <v>3</v>
      </c>
      <c r="C39" s="5" t="s">
        <v>5</v>
      </c>
      <c r="D39" s="5" t="s">
        <v>13</v>
      </c>
      <c r="E39" s="7">
        <v>45597</v>
      </c>
      <c r="F39" s="8">
        <v>43480130</v>
      </c>
      <c r="G39" s="5" t="str">
        <f t="shared" si="3"/>
        <v>Ingreso</v>
      </c>
      <c r="H39" s="4"/>
      <c r="I39" s="4"/>
    </row>
    <row r="40" spans="1:9" ht="13.95" customHeight="1" x14ac:dyDescent="0.2">
      <c r="A40" s="5" t="str">
        <f t="shared" si="2"/>
        <v>San Telmo</v>
      </c>
      <c r="B40" s="5" t="s">
        <v>3</v>
      </c>
      <c r="C40" s="5" t="s">
        <v>4</v>
      </c>
      <c r="D40" s="5" t="s">
        <v>13</v>
      </c>
      <c r="E40" s="7">
        <v>45597</v>
      </c>
      <c r="F40" s="8">
        <v>11886640</v>
      </c>
      <c r="G40" s="5" t="str">
        <f t="shared" si="3"/>
        <v>Ingreso</v>
      </c>
      <c r="H40" s="4"/>
      <c r="I40" s="4"/>
    </row>
    <row r="41" spans="1:9" ht="13.95" customHeight="1" x14ac:dyDescent="0.2">
      <c r="A41" s="5" t="str">
        <f t="shared" si="2"/>
        <v>San Telmo</v>
      </c>
      <c r="B41" s="5" t="s">
        <v>3</v>
      </c>
      <c r="C41" s="5" t="s">
        <v>2</v>
      </c>
      <c r="D41" s="5" t="s">
        <v>13</v>
      </c>
      <c r="E41" s="7">
        <v>45597</v>
      </c>
      <c r="F41" s="8">
        <v>20913610</v>
      </c>
      <c r="G41" s="5" t="str">
        <f t="shared" si="3"/>
        <v>Ingreso</v>
      </c>
      <c r="H41" s="4"/>
      <c r="I41" s="4"/>
    </row>
    <row r="42" spans="1:9" ht="13.95" customHeight="1" x14ac:dyDescent="0.2">
      <c r="A42" s="5" t="str">
        <f t="shared" si="2"/>
        <v>Quilmes</v>
      </c>
      <c r="B42" s="5" t="s">
        <v>9</v>
      </c>
      <c r="C42" s="5" t="s">
        <v>10</v>
      </c>
      <c r="D42" s="5" t="s">
        <v>12</v>
      </c>
      <c r="E42" s="7">
        <v>45597</v>
      </c>
      <c r="F42" s="8">
        <v>1729968.26</v>
      </c>
      <c r="G42" s="5" t="str">
        <f t="shared" si="3"/>
        <v>Gasto</v>
      </c>
      <c r="H42" s="4"/>
      <c r="I42" s="4"/>
    </row>
    <row r="43" spans="1:9" ht="13.95" customHeight="1" x14ac:dyDescent="0.2">
      <c r="A43" s="5" t="str">
        <f t="shared" si="2"/>
        <v>San Telmo</v>
      </c>
      <c r="B43" s="5" t="s">
        <v>9</v>
      </c>
      <c r="C43" s="5" t="s">
        <v>5</v>
      </c>
      <c r="D43" s="5" t="s">
        <v>12</v>
      </c>
      <c r="E43" s="7">
        <v>45597</v>
      </c>
      <c r="F43" s="8">
        <v>2306662.44</v>
      </c>
      <c r="G43" s="5" t="str">
        <f t="shared" si="3"/>
        <v>Gasto</v>
      </c>
      <c r="H43" s="4"/>
      <c r="I43" s="4"/>
    </row>
    <row r="44" spans="1:9" ht="13.95" customHeight="1" x14ac:dyDescent="0.2">
      <c r="A44" s="5" t="str">
        <f t="shared" si="2"/>
        <v>Centro</v>
      </c>
      <c r="B44" s="5" t="s">
        <v>3</v>
      </c>
      <c r="C44" s="5" t="s">
        <v>8</v>
      </c>
      <c r="D44" s="5" t="s">
        <v>12</v>
      </c>
      <c r="E44" s="7">
        <v>45597</v>
      </c>
      <c r="F44" s="8">
        <v>4552028.9800000004</v>
      </c>
      <c r="G44" s="5" t="str">
        <f t="shared" si="3"/>
        <v>Gasto</v>
      </c>
      <c r="H44" s="4"/>
      <c r="I44" s="4"/>
    </row>
    <row r="45" spans="1:9" ht="13.95" customHeight="1" x14ac:dyDescent="0.2">
      <c r="A45" s="5" t="str">
        <f t="shared" si="2"/>
        <v>Centro</v>
      </c>
      <c r="B45" s="5" t="s">
        <v>3</v>
      </c>
      <c r="C45" s="5" t="s">
        <v>7</v>
      </c>
      <c r="D45" s="5" t="s">
        <v>12</v>
      </c>
      <c r="E45" s="7">
        <v>45597</v>
      </c>
      <c r="F45" s="8"/>
      <c r="G45" s="5" t="str">
        <f t="shared" si="3"/>
        <v>Gasto</v>
      </c>
      <c r="H45" s="4"/>
      <c r="I45" s="4"/>
    </row>
    <row r="46" spans="1:9" ht="13.95" customHeight="1" x14ac:dyDescent="0.2">
      <c r="A46" s="5" t="str">
        <f t="shared" si="2"/>
        <v>Centro</v>
      </c>
      <c r="B46" s="5" t="s">
        <v>3</v>
      </c>
      <c r="C46" s="5" t="s">
        <v>6</v>
      </c>
      <c r="D46" s="5" t="s">
        <v>12</v>
      </c>
      <c r="E46" s="7">
        <v>45597</v>
      </c>
      <c r="F46" s="8">
        <v>4079471.48</v>
      </c>
      <c r="G46" s="5" t="str">
        <f t="shared" si="3"/>
        <v>Gasto</v>
      </c>
      <c r="H46" s="4"/>
      <c r="I46" s="4"/>
    </row>
    <row r="47" spans="1:9" ht="13.95" customHeight="1" x14ac:dyDescent="0.2">
      <c r="A47" s="5" t="str">
        <f t="shared" si="2"/>
        <v>San Telmo</v>
      </c>
      <c r="B47" s="5" t="s">
        <v>3</v>
      </c>
      <c r="C47" s="5" t="s">
        <v>5</v>
      </c>
      <c r="D47" s="5" t="s">
        <v>12</v>
      </c>
      <c r="E47" s="7">
        <v>45597</v>
      </c>
      <c r="F47" s="8">
        <v>3799769.75</v>
      </c>
      <c r="G47" s="5" t="str">
        <f t="shared" si="3"/>
        <v>Gasto</v>
      </c>
      <c r="H47" s="4"/>
      <c r="I47" s="4"/>
    </row>
    <row r="48" spans="1:9" ht="13.95" customHeight="1" x14ac:dyDescent="0.2">
      <c r="A48" s="5" t="str">
        <f t="shared" si="2"/>
        <v>San Telmo</v>
      </c>
      <c r="B48" s="5" t="s">
        <v>3</v>
      </c>
      <c r="C48" s="5" t="s">
        <v>4</v>
      </c>
      <c r="D48" s="5" t="s">
        <v>12</v>
      </c>
      <c r="E48" s="7">
        <v>45597</v>
      </c>
      <c r="F48" s="8">
        <v>1527520.99</v>
      </c>
      <c r="G48" s="5" t="str">
        <f t="shared" si="3"/>
        <v>Gasto</v>
      </c>
      <c r="H48" s="4"/>
      <c r="I48" s="4"/>
    </row>
    <row r="49" spans="1:9" ht="13.95" customHeight="1" x14ac:dyDescent="0.2">
      <c r="A49" s="5" t="str">
        <f t="shared" si="2"/>
        <v>San Telmo</v>
      </c>
      <c r="B49" s="5" t="s">
        <v>3</v>
      </c>
      <c r="C49" s="5" t="s">
        <v>2</v>
      </c>
      <c r="D49" s="5" t="s">
        <v>12</v>
      </c>
      <c r="E49" s="7">
        <v>45597</v>
      </c>
      <c r="F49" s="8">
        <v>689700</v>
      </c>
      <c r="G49" s="5" t="str">
        <f t="shared" si="3"/>
        <v>Gasto</v>
      </c>
      <c r="H49" s="4"/>
      <c r="I49" s="4"/>
    </row>
    <row r="50" spans="1:9" ht="13.95" customHeight="1" x14ac:dyDescent="0.2">
      <c r="A50" s="5" t="str">
        <f t="shared" si="2"/>
        <v>Quilmes</v>
      </c>
      <c r="B50" s="5" t="s">
        <v>9</v>
      </c>
      <c r="C50" s="5" t="s">
        <v>10</v>
      </c>
      <c r="D50" s="5" t="s">
        <v>11</v>
      </c>
      <c r="E50" s="7">
        <v>45597</v>
      </c>
      <c r="F50" s="8">
        <v>3130141.64</v>
      </c>
      <c r="G50" s="5" t="str">
        <f t="shared" si="3"/>
        <v>Gasto</v>
      </c>
      <c r="H50" s="4"/>
      <c r="I50" s="4"/>
    </row>
    <row r="51" spans="1:9" ht="13.95" customHeight="1" x14ac:dyDescent="0.2">
      <c r="A51" s="5" t="str">
        <f t="shared" si="2"/>
        <v>San Telmo</v>
      </c>
      <c r="B51" s="5" t="s">
        <v>9</v>
      </c>
      <c r="C51" s="5" t="s">
        <v>5</v>
      </c>
      <c r="D51" s="5" t="s">
        <v>11</v>
      </c>
      <c r="E51" s="7">
        <v>45597</v>
      </c>
      <c r="F51" s="8">
        <v>3650327.46</v>
      </c>
      <c r="G51" s="5" t="str">
        <f t="shared" si="3"/>
        <v>Gasto</v>
      </c>
      <c r="H51" s="4"/>
      <c r="I51" s="4"/>
    </row>
    <row r="52" spans="1:9" ht="13.95" customHeight="1" x14ac:dyDescent="0.2">
      <c r="A52" s="5" t="str">
        <f t="shared" si="2"/>
        <v>Centro</v>
      </c>
      <c r="B52" s="5" t="s">
        <v>3</v>
      </c>
      <c r="C52" s="5" t="s">
        <v>8</v>
      </c>
      <c r="D52" s="5" t="s">
        <v>11</v>
      </c>
      <c r="E52" s="7">
        <v>45597</v>
      </c>
      <c r="F52" s="8">
        <v>5145049.3499999996</v>
      </c>
      <c r="G52" s="5" t="str">
        <f t="shared" si="3"/>
        <v>Gasto</v>
      </c>
      <c r="H52" s="4"/>
      <c r="I52" s="4"/>
    </row>
    <row r="53" spans="1:9" ht="13.95" customHeight="1" x14ac:dyDescent="0.2">
      <c r="A53" s="5" t="str">
        <f t="shared" si="2"/>
        <v>Centro</v>
      </c>
      <c r="B53" s="5" t="s">
        <v>3</v>
      </c>
      <c r="C53" s="5" t="s">
        <v>7</v>
      </c>
      <c r="D53" s="5" t="s">
        <v>11</v>
      </c>
      <c r="E53" s="7">
        <v>45597</v>
      </c>
      <c r="F53" s="8"/>
      <c r="G53" s="5" t="str">
        <f t="shared" si="3"/>
        <v>Gasto</v>
      </c>
      <c r="H53" s="4"/>
      <c r="I53" s="4"/>
    </row>
    <row r="54" spans="1:9" ht="13.95" customHeight="1" x14ac:dyDescent="0.2">
      <c r="A54" s="5" t="str">
        <f t="shared" si="2"/>
        <v>Centro</v>
      </c>
      <c r="B54" s="5" t="s">
        <v>3</v>
      </c>
      <c r="C54" s="5" t="s">
        <v>6</v>
      </c>
      <c r="D54" s="5" t="s">
        <v>11</v>
      </c>
      <c r="E54" s="7">
        <v>45597</v>
      </c>
      <c r="F54" s="8">
        <v>1809020.33</v>
      </c>
      <c r="G54" s="5" t="str">
        <f t="shared" si="3"/>
        <v>Gasto</v>
      </c>
      <c r="H54" s="4"/>
      <c r="I54" s="4"/>
    </row>
    <row r="55" spans="1:9" ht="13.95" customHeight="1" x14ac:dyDescent="0.2">
      <c r="A55" s="5" t="str">
        <f t="shared" si="2"/>
        <v>San Telmo</v>
      </c>
      <c r="B55" s="5" t="s">
        <v>3</v>
      </c>
      <c r="C55" s="5" t="s">
        <v>5</v>
      </c>
      <c r="D55" s="5" t="s">
        <v>11</v>
      </c>
      <c r="E55" s="7">
        <v>45597</v>
      </c>
      <c r="F55" s="8">
        <v>3166669.57</v>
      </c>
      <c r="G55" s="5" t="str">
        <f t="shared" si="3"/>
        <v>Gasto</v>
      </c>
      <c r="H55" s="4"/>
      <c r="I55" s="4"/>
    </row>
    <row r="56" spans="1:9" ht="13.95" customHeight="1" x14ac:dyDescent="0.2">
      <c r="A56" s="5" t="str">
        <f t="shared" si="2"/>
        <v>San Telmo</v>
      </c>
      <c r="B56" s="5" t="s">
        <v>3</v>
      </c>
      <c r="C56" s="5" t="s">
        <v>4</v>
      </c>
      <c r="D56" s="5" t="s">
        <v>11</v>
      </c>
      <c r="E56" s="7">
        <v>45597</v>
      </c>
      <c r="F56" s="8">
        <v>2029211.32</v>
      </c>
      <c r="G56" s="5" t="str">
        <f t="shared" si="3"/>
        <v>Gasto</v>
      </c>
      <c r="H56" s="4"/>
      <c r="I56" s="4"/>
    </row>
    <row r="57" spans="1:9" ht="13.95" customHeight="1" x14ac:dyDescent="0.2">
      <c r="A57" s="5" t="str">
        <f t="shared" si="2"/>
        <v>San Telmo</v>
      </c>
      <c r="B57" s="5" t="s">
        <v>3</v>
      </c>
      <c r="C57" s="5" t="s">
        <v>2</v>
      </c>
      <c r="D57" s="5" t="s">
        <v>11</v>
      </c>
      <c r="E57" s="7">
        <v>45597</v>
      </c>
      <c r="F57" s="8">
        <v>2710714.63</v>
      </c>
      <c r="G57" s="5" t="str">
        <f t="shared" si="3"/>
        <v>Gasto</v>
      </c>
      <c r="H57" s="4"/>
      <c r="I57" s="4"/>
    </row>
    <row r="58" spans="1:9" ht="13.95" customHeight="1" x14ac:dyDescent="0.2">
      <c r="A58" s="5" t="str">
        <f t="shared" si="2"/>
        <v>Quilmes</v>
      </c>
      <c r="B58" s="5" t="s">
        <v>9</v>
      </c>
      <c r="C58" s="5" t="s">
        <v>10</v>
      </c>
      <c r="D58" s="5" t="s">
        <v>1</v>
      </c>
      <c r="E58" s="7">
        <v>45597</v>
      </c>
      <c r="F58" s="8">
        <v>217746.88</v>
      </c>
      <c r="G58" s="5" t="str">
        <f t="shared" si="3"/>
        <v>Gasto</v>
      </c>
      <c r="H58" s="4"/>
      <c r="I58" s="4"/>
    </row>
    <row r="59" spans="1:9" ht="13.95" customHeight="1" x14ac:dyDescent="0.2">
      <c r="A59" s="5" t="str">
        <f t="shared" si="2"/>
        <v>San Telmo</v>
      </c>
      <c r="B59" s="5" t="s">
        <v>9</v>
      </c>
      <c r="C59" s="5" t="s">
        <v>5</v>
      </c>
      <c r="D59" s="5" t="s">
        <v>1</v>
      </c>
      <c r="E59" s="7">
        <v>45597</v>
      </c>
      <c r="F59" s="8">
        <v>0</v>
      </c>
      <c r="G59" s="5" t="str">
        <f t="shared" si="3"/>
        <v>Gasto</v>
      </c>
      <c r="H59" s="4"/>
      <c r="I59" s="4"/>
    </row>
    <row r="60" spans="1:9" ht="13.95" customHeight="1" x14ac:dyDescent="0.2">
      <c r="A60" s="5" t="str">
        <f t="shared" si="2"/>
        <v>Centro</v>
      </c>
      <c r="B60" s="5" t="s">
        <v>3</v>
      </c>
      <c r="C60" s="5" t="s">
        <v>8</v>
      </c>
      <c r="D60" s="5" t="s">
        <v>1</v>
      </c>
      <c r="E60" s="7">
        <v>45597</v>
      </c>
      <c r="F60" s="8">
        <v>756202.58000000007</v>
      </c>
      <c r="G60" s="5" t="str">
        <f t="shared" si="3"/>
        <v>Gasto</v>
      </c>
      <c r="H60" s="4"/>
      <c r="I60" s="4"/>
    </row>
    <row r="61" spans="1:9" ht="13.95" customHeight="1" x14ac:dyDescent="0.2">
      <c r="A61" s="5" t="str">
        <f t="shared" si="2"/>
        <v>Centro</v>
      </c>
      <c r="B61" s="5" t="s">
        <v>3</v>
      </c>
      <c r="C61" s="5" t="s">
        <v>7</v>
      </c>
      <c r="D61" s="5" t="s">
        <v>1</v>
      </c>
      <c r="E61" s="7">
        <v>45597</v>
      </c>
      <c r="F61" s="8"/>
      <c r="G61" s="5" t="str">
        <f t="shared" si="3"/>
        <v>Gasto</v>
      </c>
      <c r="H61" s="4"/>
      <c r="I61" s="4"/>
    </row>
    <row r="62" spans="1:9" ht="13.95" customHeight="1" x14ac:dyDescent="0.2">
      <c r="A62" s="5" t="str">
        <f t="shared" si="2"/>
        <v>Centro</v>
      </c>
      <c r="B62" s="5" t="s">
        <v>3</v>
      </c>
      <c r="C62" s="5" t="s">
        <v>6</v>
      </c>
      <c r="D62" s="5" t="s">
        <v>1</v>
      </c>
      <c r="E62" s="7">
        <v>45597</v>
      </c>
      <c r="F62" s="8">
        <v>143345.34</v>
      </c>
      <c r="G62" s="5" t="str">
        <f t="shared" si="3"/>
        <v>Gasto</v>
      </c>
      <c r="H62" s="4"/>
      <c r="I62" s="4"/>
    </row>
    <row r="63" spans="1:9" ht="13.95" customHeight="1" x14ac:dyDescent="0.2">
      <c r="A63" s="5" t="str">
        <f t="shared" si="2"/>
        <v>San Telmo</v>
      </c>
      <c r="B63" s="5" t="s">
        <v>3</v>
      </c>
      <c r="C63" s="5" t="s">
        <v>5</v>
      </c>
      <c r="D63" s="5" t="s">
        <v>1</v>
      </c>
      <c r="E63" s="7">
        <v>45597</v>
      </c>
      <c r="F63" s="8">
        <v>1055345.05</v>
      </c>
      <c r="G63" s="5" t="str">
        <f t="shared" si="3"/>
        <v>Gasto</v>
      </c>
      <c r="H63" s="4"/>
      <c r="I63" s="4"/>
    </row>
    <row r="64" spans="1:9" ht="13.95" customHeight="1" x14ac:dyDescent="0.2">
      <c r="A64" s="5" t="str">
        <f t="shared" si="2"/>
        <v>San Telmo</v>
      </c>
      <c r="B64" s="5" t="s">
        <v>3</v>
      </c>
      <c r="C64" s="5" t="s">
        <v>4</v>
      </c>
      <c r="D64" s="5" t="s">
        <v>1</v>
      </c>
      <c r="E64" s="7">
        <v>45597</v>
      </c>
      <c r="F64" s="8">
        <v>7499.63</v>
      </c>
      <c r="G64" s="5" t="str">
        <f t="shared" si="3"/>
        <v>Gasto</v>
      </c>
      <c r="H64" s="4"/>
      <c r="I64" s="4"/>
    </row>
    <row r="65" spans="1:9" ht="13.95" customHeight="1" x14ac:dyDescent="0.2">
      <c r="A65" s="5" t="str">
        <f t="shared" si="2"/>
        <v>San Telmo</v>
      </c>
      <c r="B65" s="5" t="s">
        <v>3</v>
      </c>
      <c r="C65" s="5" t="s">
        <v>2</v>
      </c>
      <c r="D65" s="5" t="s">
        <v>1</v>
      </c>
      <c r="E65" s="7">
        <v>45597</v>
      </c>
      <c r="F65" s="8">
        <v>234487.71</v>
      </c>
      <c r="G65" s="5" t="str">
        <f t="shared" si="3"/>
        <v>Gasto</v>
      </c>
      <c r="H65" s="4"/>
      <c r="I65" s="4"/>
    </row>
    <row r="66" spans="1:9" ht="13.95" customHeight="1" x14ac:dyDescent="0.2">
      <c r="A66" s="5" t="str">
        <f t="shared" ref="A66:A97" si="4">VLOOKUP(C66,$J$2:$K$9,2,FALSE)</f>
        <v>Quilmes</v>
      </c>
      <c r="B66" s="5" t="s">
        <v>9</v>
      </c>
      <c r="C66" s="5" t="s">
        <v>10</v>
      </c>
      <c r="D66" s="5" t="s">
        <v>13</v>
      </c>
      <c r="E66" s="7">
        <v>45627</v>
      </c>
      <c r="F66" s="8">
        <v>15338731</v>
      </c>
      <c r="G66" s="5" t="str">
        <f t="shared" ref="G66:G97" si="5">VLOOKUP(D66,$I$12:$J$15,2,FALSE)</f>
        <v>Ingreso</v>
      </c>
      <c r="H66" s="4"/>
      <c r="I66" s="4"/>
    </row>
    <row r="67" spans="1:9" ht="13.95" customHeight="1" x14ac:dyDescent="0.2">
      <c r="A67" s="5" t="str">
        <f t="shared" si="4"/>
        <v>San Telmo</v>
      </c>
      <c r="B67" s="5" t="s">
        <v>9</v>
      </c>
      <c r="C67" s="5" t="s">
        <v>5</v>
      </c>
      <c r="D67" s="5" t="s">
        <v>13</v>
      </c>
      <c r="E67" s="7">
        <v>45627</v>
      </c>
      <c r="F67" s="8">
        <v>19509198</v>
      </c>
      <c r="G67" s="5" t="str">
        <f t="shared" si="5"/>
        <v>Ingreso</v>
      </c>
      <c r="H67" s="4"/>
      <c r="I67" s="4"/>
    </row>
    <row r="68" spans="1:9" ht="13.95" customHeight="1" x14ac:dyDescent="0.2">
      <c r="A68" s="5" t="str">
        <f t="shared" si="4"/>
        <v>Centro</v>
      </c>
      <c r="B68" s="5" t="s">
        <v>3</v>
      </c>
      <c r="C68" s="5" t="s">
        <v>8</v>
      </c>
      <c r="D68" s="5" t="s">
        <v>13</v>
      </c>
      <c r="E68" s="7">
        <v>45627</v>
      </c>
      <c r="F68" s="8">
        <v>45648693</v>
      </c>
      <c r="G68" s="5" t="str">
        <f t="shared" si="5"/>
        <v>Ingreso</v>
      </c>
      <c r="H68" s="4"/>
      <c r="I68" s="4"/>
    </row>
    <row r="69" spans="1:9" ht="13.95" customHeight="1" x14ac:dyDescent="0.2">
      <c r="A69" s="5" t="str">
        <f t="shared" si="4"/>
        <v>Centro</v>
      </c>
      <c r="B69" s="5" t="s">
        <v>3</v>
      </c>
      <c r="C69" s="5" t="s">
        <v>7</v>
      </c>
      <c r="D69" s="5" t="s">
        <v>13</v>
      </c>
      <c r="E69" s="7">
        <v>45627</v>
      </c>
      <c r="F69" s="8" t="s">
        <v>14</v>
      </c>
      <c r="G69" s="5" t="str">
        <f t="shared" si="5"/>
        <v>Ingreso</v>
      </c>
      <c r="H69" s="4"/>
      <c r="I69" s="4"/>
    </row>
    <row r="70" spans="1:9" ht="13.95" customHeight="1" x14ac:dyDescent="0.2">
      <c r="A70" s="5" t="str">
        <f t="shared" si="4"/>
        <v>Centro</v>
      </c>
      <c r="B70" s="5" t="s">
        <v>3</v>
      </c>
      <c r="C70" s="5" t="s">
        <v>6</v>
      </c>
      <c r="D70" s="5" t="s">
        <v>13</v>
      </c>
      <c r="E70" s="7">
        <v>45627</v>
      </c>
      <c r="F70" s="8">
        <v>29104610</v>
      </c>
      <c r="G70" s="5" t="str">
        <f t="shared" si="5"/>
        <v>Ingreso</v>
      </c>
      <c r="H70" s="4"/>
      <c r="I70" s="4"/>
    </row>
    <row r="71" spans="1:9" ht="13.95" customHeight="1" x14ac:dyDescent="0.2">
      <c r="A71" s="5" t="str">
        <f t="shared" si="4"/>
        <v>San Telmo</v>
      </c>
      <c r="B71" s="5" t="s">
        <v>3</v>
      </c>
      <c r="C71" s="5" t="s">
        <v>5</v>
      </c>
      <c r="D71" s="5" t="s">
        <v>13</v>
      </c>
      <c r="E71" s="7">
        <v>45627</v>
      </c>
      <c r="F71" s="8">
        <v>41362060</v>
      </c>
      <c r="G71" s="5" t="str">
        <f t="shared" si="5"/>
        <v>Ingreso</v>
      </c>
      <c r="H71" s="4"/>
      <c r="I71" s="4"/>
    </row>
    <row r="72" spans="1:9" ht="13.95" customHeight="1" x14ac:dyDescent="0.2">
      <c r="A72" s="5" t="str">
        <f t="shared" si="4"/>
        <v>San Telmo</v>
      </c>
      <c r="B72" s="5" t="s">
        <v>3</v>
      </c>
      <c r="C72" s="5" t="s">
        <v>4</v>
      </c>
      <c r="D72" s="5" t="s">
        <v>13</v>
      </c>
      <c r="E72" s="7">
        <v>45627</v>
      </c>
      <c r="F72" s="8">
        <v>7214280</v>
      </c>
      <c r="G72" s="5" t="str">
        <f t="shared" si="5"/>
        <v>Ingreso</v>
      </c>
      <c r="H72" s="4"/>
      <c r="I72" s="4"/>
    </row>
    <row r="73" spans="1:9" ht="13.95" customHeight="1" x14ac:dyDescent="0.2">
      <c r="A73" s="5" t="str">
        <f t="shared" si="4"/>
        <v>San Telmo</v>
      </c>
      <c r="B73" s="5" t="s">
        <v>3</v>
      </c>
      <c r="C73" s="5" t="s">
        <v>2</v>
      </c>
      <c r="D73" s="5" t="s">
        <v>13</v>
      </c>
      <c r="E73" s="7">
        <v>45627</v>
      </c>
      <c r="F73" s="8">
        <v>21646780</v>
      </c>
      <c r="G73" s="5" t="str">
        <f t="shared" si="5"/>
        <v>Ingreso</v>
      </c>
      <c r="H73" s="4"/>
      <c r="I73" s="4"/>
    </row>
    <row r="74" spans="1:9" ht="13.95" customHeight="1" x14ac:dyDescent="0.2">
      <c r="A74" s="5" t="str">
        <f t="shared" si="4"/>
        <v>Quilmes</v>
      </c>
      <c r="B74" s="5" t="s">
        <v>9</v>
      </c>
      <c r="C74" s="5" t="s">
        <v>10</v>
      </c>
      <c r="D74" s="5" t="s">
        <v>12</v>
      </c>
      <c r="E74" s="7">
        <v>45627</v>
      </c>
      <c r="F74" s="8">
        <v>2500000</v>
      </c>
      <c r="G74" s="5" t="str">
        <f t="shared" si="5"/>
        <v>Gasto</v>
      </c>
      <c r="H74" s="4"/>
      <c r="I74" s="4"/>
    </row>
    <row r="75" spans="1:9" ht="13.95" customHeight="1" x14ac:dyDescent="0.2">
      <c r="A75" s="5" t="str">
        <f t="shared" si="4"/>
        <v>San Telmo</v>
      </c>
      <c r="B75" s="5" t="s">
        <v>9</v>
      </c>
      <c r="C75" s="5" t="s">
        <v>5</v>
      </c>
      <c r="D75" s="5" t="s">
        <v>12</v>
      </c>
      <c r="E75" s="7">
        <v>45627</v>
      </c>
      <c r="F75" s="8">
        <v>2095161</v>
      </c>
      <c r="G75" s="5" t="str">
        <f t="shared" si="5"/>
        <v>Gasto</v>
      </c>
      <c r="H75" s="4"/>
      <c r="I75" s="4"/>
    </row>
    <row r="76" spans="1:9" ht="13.95" customHeight="1" x14ac:dyDescent="0.2">
      <c r="A76" s="5" t="str">
        <f t="shared" si="4"/>
        <v>Centro</v>
      </c>
      <c r="B76" s="5" t="s">
        <v>3</v>
      </c>
      <c r="C76" s="5" t="s">
        <v>8</v>
      </c>
      <c r="D76" s="5" t="s">
        <v>12</v>
      </c>
      <c r="E76" s="7">
        <v>45627</v>
      </c>
      <c r="F76" s="8">
        <v>3222965</v>
      </c>
      <c r="G76" s="5" t="str">
        <f t="shared" si="5"/>
        <v>Gasto</v>
      </c>
      <c r="H76" s="4"/>
      <c r="I76" s="4"/>
    </row>
    <row r="77" spans="1:9" ht="13.95" customHeight="1" x14ac:dyDescent="0.2">
      <c r="A77" s="5" t="str">
        <f t="shared" si="4"/>
        <v>Centro</v>
      </c>
      <c r="B77" s="5" t="s">
        <v>3</v>
      </c>
      <c r="C77" s="5" t="s">
        <v>7</v>
      </c>
      <c r="D77" s="5" t="s">
        <v>12</v>
      </c>
      <c r="E77" s="7">
        <v>45627</v>
      </c>
      <c r="F77" s="8"/>
      <c r="G77" s="5" t="str">
        <f t="shared" si="5"/>
        <v>Gasto</v>
      </c>
      <c r="H77" s="4"/>
      <c r="I77" s="4"/>
    </row>
    <row r="78" spans="1:9" ht="13.95" customHeight="1" x14ac:dyDescent="0.2">
      <c r="A78" s="5" t="str">
        <f t="shared" si="4"/>
        <v>Centro</v>
      </c>
      <c r="B78" s="5" t="s">
        <v>3</v>
      </c>
      <c r="C78" s="5" t="s">
        <v>6</v>
      </c>
      <c r="D78" s="5" t="s">
        <v>12</v>
      </c>
      <c r="E78" s="7">
        <v>45627</v>
      </c>
      <c r="F78" s="8">
        <v>3718046</v>
      </c>
      <c r="G78" s="5" t="str">
        <f t="shared" si="5"/>
        <v>Gasto</v>
      </c>
      <c r="H78" s="4"/>
      <c r="I78" s="4"/>
    </row>
    <row r="79" spans="1:9" ht="13.95" customHeight="1" x14ac:dyDescent="0.2">
      <c r="A79" s="5" t="str">
        <f t="shared" si="4"/>
        <v>San Telmo</v>
      </c>
      <c r="B79" s="5" t="s">
        <v>3</v>
      </c>
      <c r="C79" s="5" t="s">
        <v>5</v>
      </c>
      <c r="D79" s="5" t="s">
        <v>12</v>
      </c>
      <c r="E79" s="7">
        <v>45627</v>
      </c>
      <c r="F79" s="8">
        <v>3026738</v>
      </c>
      <c r="G79" s="5" t="str">
        <f t="shared" si="5"/>
        <v>Gasto</v>
      </c>
      <c r="H79" s="4"/>
      <c r="I79" s="4"/>
    </row>
    <row r="80" spans="1:9" ht="13.95" customHeight="1" x14ac:dyDescent="0.2">
      <c r="A80" s="5" t="str">
        <f t="shared" si="4"/>
        <v>San Telmo</v>
      </c>
      <c r="B80" s="5" t="s">
        <v>3</v>
      </c>
      <c r="C80" s="5" t="s">
        <v>4</v>
      </c>
      <c r="D80" s="5" t="s">
        <v>12</v>
      </c>
      <c r="E80" s="7">
        <v>45627</v>
      </c>
      <c r="F80" s="8">
        <v>1128900</v>
      </c>
      <c r="G80" s="5" t="str">
        <f t="shared" si="5"/>
        <v>Gasto</v>
      </c>
      <c r="H80" s="4"/>
      <c r="I80" s="4"/>
    </row>
    <row r="81" spans="1:9" ht="13.95" customHeight="1" x14ac:dyDescent="0.2">
      <c r="A81" s="5" t="str">
        <f t="shared" si="4"/>
        <v>San Telmo</v>
      </c>
      <c r="B81" s="5" t="s">
        <v>3</v>
      </c>
      <c r="C81" s="5" t="s">
        <v>2</v>
      </c>
      <c r="D81" s="5" t="s">
        <v>12</v>
      </c>
      <c r="E81" s="7">
        <v>45627</v>
      </c>
      <c r="F81" s="8">
        <v>771406</v>
      </c>
      <c r="G81" s="5" t="str">
        <f t="shared" si="5"/>
        <v>Gasto</v>
      </c>
      <c r="H81" s="4"/>
      <c r="I81" s="4"/>
    </row>
    <row r="82" spans="1:9" ht="13.95" customHeight="1" x14ac:dyDescent="0.2">
      <c r="A82" s="5" t="str">
        <f t="shared" si="4"/>
        <v>Quilmes</v>
      </c>
      <c r="B82" s="5" t="s">
        <v>9</v>
      </c>
      <c r="C82" s="5" t="s">
        <v>10</v>
      </c>
      <c r="D82" s="5" t="s">
        <v>11</v>
      </c>
      <c r="E82" s="7">
        <v>45627</v>
      </c>
      <c r="F82" s="8">
        <v>2532389.9580000001</v>
      </c>
      <c r="G82" s="5" t="str">
        <f t="shared" si="5"/>
        <v>Gasto</v>
      </c>
      <c r="H82" s="4"/>
      <c r="I82" s="4"/>
    </row>
    <row r="83" spans="1:9" ht="13.95" customHeight="1" x14ac:dyDescent="0.2">
      <c r="A83" s="5" t="str">
        <f t="shared" si="4"/>
        <v>San Telmo</v>
      </c>
      <c r="B83" s="5" t="s">
        <v>9</v>
      </c>
      <c r="C83" s="5" t="s">
        <v>5</v>
      </c>
      <c r="D83" s="5" t="s">
        <v>11</v>
      </c>
      <c r="E83" s="7">
        <v>45627</v>
      </c>
      <c r="F83" s="8">
        <v>3098824.7220000001</v>
      </c>
      <c r="G83" s="5" t="str">
        <f t="shared" si="5"/>
        <v>Gasto</v>
      </c>
      <c r="H83" s="4"/>
      <c r="I83" s="4"/>
    </row>
    <row r="84" spans="1:9" ht="13.95" customHeight="1" x14ac:dyDescent="0.2">
      <c r="A84" s="5" t="str">
        <f t="shared" si="4"/>
        <v>Centro</v>
      </c>
      <c r="B84" s="5" t="s">
        <v>3</v>
      </c>
      <c r="C84" s="5" t="s">
        <v>8</v>
      </c>
      <c r="D84" s="5" t="s">
        <v>11</v>
      </c>
      <c r="E84" s="7">
        <v>45627</v>
      </c>
      <c r="F84" s="8">
        <v>4223329.6140000001</v>
      </c>
      <c r="G84" s="5" t="str">
        <f t="shared" si="5"/>
        <v>Gasto</v>
      </c>
      <c r="H84" s="4"/>
      <c r="I84" s="4"/>
    </row>
    <row r="85" spans="1:9" ht="13.95" customHeight="1" x14ac:dyDescent="0.2">
      <c r="A85" s="5" t="str">
        <f t="shared" si="4"/>
        <v>Centro</v>
      </c>
      <c r="B85" s="5" t="s">
        <v>3</v>
      </c>
      <c r="C85" s="5" t="s">
        <v>7</v>
      </c>
      <c r="D85" s="5" t="s">
        <v>11</v>
      </c>
      <c r="E85" s="7">
        <v>45627</v>
      </c>
      <c r="F85" s="8"/>
      <c r="G85" s="5" t="str">
        <f t="shared" si="5"/>
        <v>Gasto</v>
      </c>
      <c r="H85" s="4"/>
      <c r="I85" s="4"/>
    </row>
    <row r="86" spans="1:9" ht="13.95" customHeight="1" x14ac:dyDescent="0.2">
      <c r="A86" s="5" t="str">
        <f t="shared" si="4"/>
        <v>Centro</v>
      </c>
      <c r="B86" s="5" t="s">
        <v>3</v>
      </c>
      <c r="C86" s="5" t="s">
        <v>6</v>
      </c>
      <c r="D86" s="5" t="s">
        <v>11</v>
      </c>
      <c r="E86" s="7">
        <v>45627</v>
      </c>
      <c r="F86" s="8">
        <v>1415519.7115499999</v>
      </c>
      <c r="G86" s="5" t="str">
        <f t="shared" si="5"/>
        <v>Gasto</v>
      </c>
      <c r="H86" s="4"/>
      <c r="I86" s="4"/>
    </row>
    <row r="87" spans="1:9" ht="13.95" customHeight="1" x14ac:dyDescent="0.2">
      <c r="A87" s="5" t="str">
        <f t="shared" si="4"/>
        <v>San Telmo</v>
      </c>
      <c r="B87" s="5" t="s">
        <v>3</v>
      </c>
      <c r="C87" s="5" t="s">
        <v>5</v>
      </c>
      <c r="D87" s="5" t="s">
        <v>11</v>
      </c>
      <c r="E87" s="7">
        <v>45627</v>
      </c>
      <c r="F87" s="8">
        <v>2193441.4530000002</v>
      </c>
      <c r="G87" s="5" t="str">
        <f t="shared" si="5"/>
        <v>Gasto</v>
      </c>
      <c r="H87" s="4"/>
      <c r="I87" s="4"/>
    </row>
    <row r="88" spans="1:9" ht="13.95" customHeight="1" x14ac:dyDescent="0.2">
      <c r="A88" s="5" t="str">
        <f t="shared" si="4"/>
        <v>San Telmo</v>
      </c>
      <c r="B88" s="5" t="s">
        <v>3</v>
      </c>
      <c r="C88" s="5" t="s">
        <v>4</v>
      </c>
      <c r="D88" s="5" t="s">
        <v>11</v>
      </c>
      <c r="E88" s="7">
        <v>45627</v>
      </c>
      <c r="F88" s="8">
        <v>1543292.1</v>
      </c>
      <c r="G88" s="5" t="str">
        <f t="shared" si="5"/>
        <v>Gasto</v>
      </c>
      <c r="H88" s="4"/>
      <c r="I88" s="4"/>
    </row>
    <row r="89" spans="1:9" ht="13.95" customHeight="1" x14ac:dyDescent="0.2">
      <c r="A89" s="5" t="str">
        <f t="shared" si="4"/>
        <v>San Telmo</v>
      </c>
      <c r="B89" s="5" t="s">
        <v>3</v>
      </c>
      <c r="C89" s="5" t="s">
        <v>2</v>
      </c>
      <c r="D89" s="5" t="s">
        <v>11</v>
      </c>
      <c r="E89" s="7">
        <v>45627</v>
      </c>
      <c r="F89" s="8">
        <v>2228679.9360000002</v>
      </c>
      <c r="G89" s="5" t="str">
        <f t="shared" si="5"/>
        <v>Gasto</v>
      </c>
      <c r="H89" s="4"/>
      <c r="I89" s="4"/>
    </row>
    <row r="90" spans="1:9" ht="13.95" customHeight="1" x14ac:dyDescent="0.2">
      <c r="A90" s="5" t="str">
        <f t="shared" si="4"/>
        <v>Quilmes</v>
      </c>
      <c r="B90" s="5" t="s">
        <v>9</v>
      </c>
      <c r="C90" s="5" t="s">
        <v>10</v>
      </c>
      <c r="D90" s="5" t="s">
        <v>1</v>
      </c>
      <c r="E90" s="7">
        <v>45627</v>
      </c>
      <c r="F90" s="8">
        <v>303256.34000000003</v>
      </c>
      <c r="G90" s="5" t="str">
        <f t="shared" si="5"/>
        <v>Gasto</v>
      </c>
      <c r="H90" s="4"/>
      <c r="I90" s="4"/>
    </row>
    <row r="91" spans="1:9" ht="13.95" customHeight="1" x14ac:dyDescent="0.2">
      <c r="A91" s="5" t="str">
        <f t="shared" si="4"/>
        <v>San Telmo</v>
      </c>
      <c r="B91" s="5" t="s">
        <v>9</v>
      </c>
      <c r="C91" s="5" t="s">
        <v>5</v>
      </c>
      <c r="D91" s="5" t="s">
        <v>1</v>
      </c>
      <c r="E91" s="7">
        <v>45627</v>
      </c>
      <c r="F91" s="8">
        <v>218161.16</v>
      </c>
      <c r="G91" s="5" t="str">
        <f t="shared" si="5"/>
        <v>Gasto</v>
      </c>
      <c r="H91" s="4"/>
      <c r="I91" s="4"/>
    </row>
    <row r="92" spans="1:9" ht="13.95" customHeight="1" x14ac:dyDescent="0.2">
      <c r="A92" s="5" t="str">
        <f t="shared" si="4"/>
        <v>Centro</v>
      </c>
      <c r="B92" s="5" t="s">
        <v>3</v>
      </c>
      <c r="C92" s="5" t="s">
        <v>8</v>
      </c>
      <c r="D92" s="5" t="s">
        <v>1</v>
      </c>
      <c r="E92" s="7">
        <v>45627</v>
      </c>
      <c r="F92" s="8">
        <v>1603001.09</v>
      </c>
      <c r="G92" s="5" t="str">
        <f t="shared" si="5"/>
        <v>Gasto</v>
      </c>
      <c r="H92" s="4"/>
      <c r="I92" s="4"/>
    </row>
    <row r="93" spans="1:9" ht="13.95" customHeight="1" x14ac:dyDescent="0.2">
      <c r="A93" s="5" t="str">
        <f t="shared" si="4"/>
        <v>Centro</v>
      </c>
      <c r="B93" s="5" t="s">
        <v>3</v>
      </c>
      <c r="C93" s="5" t="s">
        <v>7</v>
      </c>
      <c r="D93" s="5" t="s">
        <v>1</v>
      </c>
      <c r="E93" s="7">
        <v>45627</v>
      </c>
      <c r="F93" s="8"/>
      <c r="G93" s="5" t="str">
        <f t="shared" si="5"/>
        <v>Gasto</v>
      </c>
      <c r="H93" s="4"/>
      <c r="I93" s="4"/>
    </row>
    <row r="94" spans="1:9" ht="13.95" customHeight="1" x14ac:dyDescent="0.2">
      <c r="A94" s="5" t="str">
        <f t="shared" si="4"/>
        <v>Centro</v>
      </c>
      <c r="B94" s="5" t="s">
        <v>3</v>
      </c>
      <c r="C94" s="5" t="s">
        <v>6</v>
      </c>
      <c r="D94" s="5" t="s">
        <v>1</v>
      </c>
      <c r="E94" s="7">
        <v>45627</v>
      </c>
      <c r="F94" s="8">
        <v>218062.77</v>
      </c>
      <c r="G94" s="5" t="str">
        <f t="shared" si="5"/>
        <v>Gasto</v>
      </c>
      <c r="H94" s="4"/>
      <c r="I94" s="4"/>
    </row>
    <row r="95" spans="1:9" ht="13.95" customHeight="1" x14ac:dyDescent="0.2">
      <c r="A95" s="5" t="str">
        <f t="shared" si="4"/>
        <v>San Telmo</v>
      </c>
      <c r="B95" s="5" t="s">
        <v>3</v>
      </c>
      <c r="C95" s="5" t="s">
        <v>5</v>
      </c>
      <c r="D95" s="5" t="s">
        <v>1</v>
      </c>
      <c r="E95" s="7">
        <v>45627</v>
      </c>
      <c r="F95" s="8">
        <v>161568.42000000001</v>
      </c>
      <c r="G95" s="5" t="str">
        <f t="shared" si="5"/>
        <v>Gasto</v>
      </c>
      <c r="H95" s="4"/>
      <c r="I95" s="4"/>
    </row>
    <row r="96" spans="1:9" ht="13.95" customHeight="1" x14ac:dyDescent="0.2">
      <c r="A96" s="5" t="str">
        <f t="shared" si="4"/>
        <v>San Telmo</v>
      </c>
      <c r="B96" s="5" t="s">
        <v>3</v>
      </c>
      <c r="C96" s="5" t="s">
        <v>4</v>
      </c>
      <c r="D96" s="5" t="s">
        <v>1</v>
      </c>
      <c r="E96" s="7">
        <v>45627</v>
      </c>
      <c r="F96" s="8">
        <v>112764.68</v>
      </c>
      <c r="G96" s="5" t="str">
        <f t="shared" si="5"/>
        <v>Gasto</v>
      </c>
      <c r="H96" s="4"/>
      <c r="I96" s="4"/>
    </row>
    <row r="97" spans="1:9" ht="13.95" customHeight="1" x14ac:dyDescent="0.2">
      <c r="A97" s="5" t="str">
        <f t="shared" si="4"/>
        <v>San Telmo</v>
      </c>
      <c r="B97" s="5" t="s">
        <v>3</v>
      </c>
      <c r="C97" s="5" t="s">
        <v>2</v>
      </c>
      <c r="D97" s="5" t="s">
        <v>1</v>
      </c>
      <c r="E97" s="7">
        <v>45627</v>
      </c>
      <c r="F97" s="8">
        <v>345406.49</v>
      </c>
      <c r="G97" s="5" t="str">
        <f t="shared" si="5"/>
        <v>Gasto</v>
      </c>
      <c r="H97" s="4"/>
      <c r="I97" s="4"/>
    </row>
    <row r="98" spans="1:9" ht="13.95" customHeight="1" x14ac:dyDescent="0.2">
      <c r="A98" s="5" t="str">
        <f t="shared" ref="A98:A129" si="6">VLOOKUP(C98,$J$2:$K$9,2,FALSE)</f>
        <v>Quilmes</v>
      </c>
      <c r="B98" s="5" t="s">
        <v>9</v>
      </c>
      <c r="C98" s="5" t="s">
        <v>10</v>
      </c>
      <c r="D98" s="5" t="s">
        <v>13</v>
      </c>
      <c r="E98" s="7">
        <v>45658</v>
      </c>
      <c r="F98" s="8">
        <v>11999960</v>
      </c>
      <c r="G98" s="5" t="str">
        <f t="shared" ref="G98:G129" si="7">VLOOKUP(D98,$I$12:$J$15,2,FALSE)</f>
        <v>Ingreso</v>
      </c>
      <c r="H98" s="4"/>
      <c r="I98" s="4"/>
    </row>
    <row r="99" spans="1:9" ht="13.95" customHeight="1" x14ac:dyDescent="0.2">
      <c r="A99" s="5" t="str">
        <f t="shared" si="6"/>
        <v>San Telmo</v>
      </c>
      <c r="B99" s="5" t="s">
        <v>9</v>
      </c>
      <c r="C99" s="5" t="s">
        <v>5</v>
      </c>
      <c r="D99" s="5" t="s">
        <v>13</v>
      </c>
      <c r="E99" s="7">
        <v>45658</v>
      </c>
      <c r="F99" s="8">
        <v>14424775</v>
      </c>
      <c r="G99" s="5" t="str">
        <f t="shared" si="7"/>
        <v>Ingreso</v>
      </c>
      <c r="H99" s="4"/>
      <c r="I99" s="4"/>
    </row>
    <row r="100" spans="1:9" ht="13.95" customHeight="1" x14ac:dyDescent="0.2">
      <c r="A100" s="5" t="str">
        <f t="shared" si="6"/>
        <v>Centro</v>
      </c>
      <c r="B100" s="5" t="s">
        <v>3</v>
      </c>
      <c r="C100" s="5" t="s">
        <v>8</v>
      </c>
      <c r="D100" s="5" t="s">
        <v>13</v>
      </c>
      <c r="E100" s="7">
        <v>45658</v>
      </c>
      <c r="F100" s="8">
        <v>40118678</v>
      </c>
      <c r="G100" s="5" t="str">
        <f t="shared" si="7"/>
        <v>Ingreso</v>
      </c>
      <c r="H100" s="4"/>
      <c r="I100" s="4"/>
    </row>
    <row r="101" spans="1:9" ht="13.95" customHeight="1" x14ac:dyDescent="0.2">
      <c r="A101" s="5" t="str">
        <f t="shared" si="6"/>
        <v>Centro</v>
      </c>
      <c r="B101" s="5" t="s">
        <v>3</v>
      </c>
      <c r="C101" s="5" t="s">
        <v>7</v>
      </c>
      <c r="D101" s="5" t="s">
        <v>13</v>
      </c>
      <c r="E101" s="7">
        <v>45658</v>
      </c>
      <c r="F101" s="8">
        <v>2607560</v>
      </c>
      <c r="G101" s="5" t="str">
        <f t="shared" si="7"/>
        <v>Ingreso</v>
      </c>
      <c r="H101" s="4"/>
      <c r="I101" s="4"/>
    </row>
    <row r="102" spans="1:9" ht="13.95" customHeight="1" x14ac:dyDescent="0.2">
      <c r="A102" s="5" t="str">
        <f t="shared" si="6"/>
        <v>Centro</v>
      </c>
      <c r="B102" s="5" t="s">
        <v>3</v>
      </c>
      <c r="C102" s="5" t="s">
        <v>6</v>
      </c>
      <c r="D102" s="5" t="s">
        <v>13</v>
      </c>
      <c r="E102" s="7">
        <v>45658</v>
      </c>
      <c r="F102" s="8">
        <v>20476370</v>
      </c>
      <c r="G102" s="5" t="str">
        <f t="shared" si="7"/>
        <v>Ingreso</v>
      </c>
      <c r="H102" s="4"/>
      <c r="I102" s="4"/>
    </row>
    <row r="103" spans="1:9" ht="13.95" customHeight="1" x14ac:dyDescent="0.2">
      <c r="A103" s="5" t="str">
        <f t="shared" si="6"/>
        <v>San Telmo</v>
      </c>
      <c r="B103" s="5" t="s">
        <v>3</v>
      </c>
      <c r="C103" s="5" t="s">
        <v>5</v>
      </c>
      <c r="D103" s="5" t="s">
        <v>13</v>
      </c>
      <c r="E103" s="7">
        <v>45658</v>
      </c>
      <c r="F103" s="8">
        <v>40058419</v>
      </c>
      <c r="G103" s="5" t="str">
        <f t="shared" si="7"/>
        <v>Ingreso</v>
      </c>
      <c r="H103" s="4"/>
      <c r="I103" s="4"/>
    </row>
    <row r="104" spans="1:9" ht="13.95" customHeight="1" x14ac:dyDescent="0.2">
      <c r="A104" s="5" t="str">
        <f t="shared" si="6"/>
        <v>San Telmo</v>
      </c>
      <c r="B104" s="5" t="s">
        <v>3</v>
      </c>
      <c r="C104" s="5" t="s">
        <v>4</v>
      </c>
      <c r="D104" s="5" t="s">
        <v>13</v>
      </c>
      <c r="E104" s="7">
        <v>45658</v>
      </c>
      <c r="F104" s="8">
        <v>2472710</v>
      </c>
      <c r="G104" s="5" t="str">
        <f t="shared" si="7"/>
        <v>Ingreso</v>
      </c>
      <c r="H104" s="4"/>
      <c r="I104" s="4"/>
    </row>
    <row r="105" spans="1:9" ht="13.95" customHeight="1" x14ac:dyDescent="0.2">
      <c r="A105" s="5" t="str">
        <f t="shared" si="6"/>
        <v>San Telmo</v>
      </c>
      <c r="B105" s="5" t="s">
        <v>3</v>
      </c>
      <c r="C105" s="5" t="s">
        <v>2</v>
      </c>
      <c r="D105" s="5" t="s">
        <v>13</v>
      </c>
      <c r="E105" s="7">
        <v>45658</v>
      </c>
      <c r="F105" s="8">
        <v>15489470</v>
      </c>
      <c r="G105" s="5" t="str">
        <f t="shared" si="7"/>
        <v>Ingreso</v>
      </c>
      <c r="H105" s="4"/>
      <c r="I105" s="4"/>
    </row>
    <row r="106" spans="1:9" ht="13.95" customHeight="1" x14ac:dyDescent="0.2">
      <c r="A106" s="5" t="str">
        <f t="shared" si="6"/>
        <v>Quilmes</v>
      </c>
      <c r="B106" s="5" t="s">
        <v>9</v>
      </c>
      <c r="C106" s="5" t="s">
        <v>10</v>
      </c>
      <c r="D106" s="5" t="s">
        <v>12</v>
      </c>
      <c r="E106" s="7">
        <v>45658</v>
      </c>
      <c r="F106" s="8">
        <v>3359529.12</v>
      </c>
      <c r="G106" s="5" t="str">
        <f t="shared" si="7"/>
        <v>Gasto</v>
      </c>
      <c r="H106" s="4"/>
      <c r="I106" s="4"/>
    </row>
    <row r="107" spans="1:9" ht="13.95" customHeight="1" x14ac:dyDescent="0.2">
      <c r="A107" s="5" t="str">
        <f t="shared" si="6"/>
        <v>San Telmo</v>
      </c>
      <c r="B107" s="5" t="s">
        <v>9</v>
      </c>
      <c r="C107" s="5" t="s">
        <v>5</v>
      </c>
      <c r="D107" s="5" t="s">
        <v>12</v>
      </c>
      <c r="E107" s="7">
        <v>45658</v>
      </c>
      <c r="F107" s="8">
        <v>2821199.27</v>
      </c>
      <c r="G107" s="5" t="str">
        <f t="shared" si="7"/>
        <v>Gasto</v>
      </c>
      <c r="H107" s="4"/>
      <c r="I107" s="4"/>
    </row>
    <row r="108" spans="1:9" ht="13.95" customHeight="1" x14ac:dyDescent="0.2">
      <c r="A108" s="5" t="str">
        <f t="shared" si="6"/>
        <v>Centro</v>
      </c>
      <c r="B108" s="5" t="s">
        <v>3</v>
      </c>
      <c r="C108" s="5" t="s">
        <v>8</v>
      </c>
      <c r="D108" s="5" t="s">
        <v>12</v>
      </c>
      <c r="E108" s="7">
        <v>45658</v>
      </c>
      <c r="F108" s="8">
        <v>3772412.08</v>
      </c>
      <c r="G108" s="5" t="str">
        <f t="shared" si="7"/>
        <v>Gasto</v>
      </c>
      <c r="H108" s="4"/>
      <c r="I108" s="4"/>
    </row>
    <row r="109" spans="1:9" ht="13.95" customHeight="1" x14ac:dyDescent="0.2">
      <c r="A109" s="5" t="str">
        <f t="shared" si="6"/>
        <v>Centro</v>
      </c>
      <c r="B109" s="5" t="s">
        <v>3</v>
      </c>
      <c r="C109" s="5" t="s">
        <v>7</v>
      </c>
      <c r="D109" s="5" t="s">
        <v>12</v>
      </c>
      <c r="E109" s="7">
        <v>45658</v>
      </c>
      <c r="F109" s="8">
        <v>1122708.79</v>
      </c>
      <c r="G109" s="5" t="str">
        <f t="shared" si="7"/>
        <v>Gasto</v>
      </c>
      <c r="H109" s="4"/>
      <c r="I109" s="4"/>
    </row>
    <row r="110" spans="1:9" ht="13.95" customHeight="1" x14ac:dyDescent="0.2">
      <c r="A110" s="5" t="str">
        <f t="shared" si="6"/>
        <v>Centro</v>
      </c>
      <c r="B110" s="5" t="s">
        <v>3</v>
      </c>
      <c r="C110" s="5" t="s">
        <v>6</v>
      </c>
      <c r="D110" s="5" t="s">
        <v>12</v>
      </c>
      <c r="E110" s="7">
        <v>45658</v>
      </c>
      <c r="F110" s="8">
        <v>3865858.86</v>
      </c>
      <c r="G110" s="5" t="str">
        <f t="shared" si="7"/>
        <v>Gasto</v>
      </c>
      <c r="H110" s="4"/>
      <c r="I110" s="4"/>
    </row>
    <row r="111" spans="1:9" ht="13.95" customHeight="1" x14ac:dyDescent="0.2">
      <c r="A111" s="5" t="str">
        <f t="shared" si="6"/>
        <v>San Telmo</v>
      </c>
      <c r="B111" s="5" t="s">
        <v>3</v>
      </c>
      <c r="C111" s="5" t="s">
        <v>5</v>
      </c>
      <c r="D111" s="5" t="s">
        <v>12</v>
      </c>
      <c r="E111" s="7">
        <v>45658</v>
      </c>
      <c r="F111" s="8">
        <v>3533075.2199999997</v>
      </c>
      <c r="G111" s="5" t="str">
        <f t="shared" si="7"/>
        <v>Gasto</v>
      </c>
      <c r="H111" s="4"/>
      <c r="I111" s="4"/>
    </row>
    <row r="112" spans="1:9" ht="13.95" customHeight="1" x14ac:dyDescent="0.2">
      <c r="A112" s="5" t="str">
        <f t="shared" si="6"/>
        <v>San Telmo</v>
      </c>
      <c r="B112" s="5" t="s">
        <v>3</v>
      </c>
      <c r="C112" s="5" t="s">
        <v>4</v>
      </c>
      <c r="D112" s="5" t="s">
        <v>12</v>
      </c>
      <c r="E112" s="7">
        <v>45658</v>
      </c>
      <c r="F112" s="8">
        <v>1337846.76</v>
      </c>
      <c r="G112" s="5" t="str">
        <f t="shared" si="7"/>
        <v>Gasto</v>
      </c>
      <c r="H112" s="4"/>
      <c r="I112" s="4"/>
    </row>
    <row r="113" spans="1:9" ht="13.95" customHeight="1" x14ac:dyDescent="0.2">
      <c r="A113" s="5" t="str">
        <f t="shared" si="6"/>
        <v>San Telmo</v>
      </c>
      <c r="B113" s="5" t="s">
        <v>3</v>
      </c>
      <c r="C113" s="5" t="s">
        <v>2</v>
      </c>
      <c r="D113" s="5" t="s">
        <v>12</v>
      </c>
      <c r="E113" s="7">
        <v>45658</v>
      </c>
      <c r="F113" s="8">
        <v>868340</v>
      </c>
      <c r="G113" s="5" t="str">
        <f t="shared" si="7"/>
        <v>Gasto</v>
      </c>
      <c r="H113" s="4"/>
      <c r="I113" s="4"/>
    </row>
    <row r="114" spans="1:9" ht="13.95" customHeight="1" x14ac:dyDescent="0.2">
      <c r="A114" s="5" t="str">
        <f t="shared" si="6"/>
        <v>Quilmes</v>
      </c>
      <c r="B114" s="5" t="s">
        <v>9</v>
      </c>
      <c r="C114" s="5" t="s">
        <v>10</v>
      </c>
      <c r="D114" s="5" t="s">
        <v>11</v>
      </c>
      <c r="E114" s="7">
        <v>45658</v>
      </c>
      <c r="F114" s="8">
        <v>3792541.6790100001</v>
      </c>
      <c r="G114" s="5" t="str">
        <f t="shared" si="7"/>
        <v>Gasto</v>
      </c>
      <c r="H114" s="4"/>
      <c r="I114" s="4"/>
    </row>
    <row r="115" spans="1:9" ht="13.95" customHeight="1" x14ac:dyDescent="0.2">
      <c r="A115" s="5" t="str">
        <f t="shared" si="6"/>
        <v>San Telmo</v>
      </c>
      <c r="B115" s="5" t="s">
        <v>9</v>
      </c>
      <c r="C115" s="5" t="s">
        <v>5</v>
      </c>
      <c r="D115" s="5" t="s">
        <v>11</v>
      </c>
      <c r="E115" s="7">
        <v>45658</v>
      </c>
      <c r="F115" s="8">
        <v>3500002.3482900006</v>
      </c>
      <c r="G115" s="5" t="str">
        <f t="shared" si="7"/>
        <v>Gasto</v>
      </c>
      <c r="H115" s="4"/>
      <c r="I115" s="4"/>
    </row>
    <row r="116" spans="1:9" ht="13.95" customHeight="1" x14ac:dyDescent="0.2">
      <c r="A116" s="5" t="str">
        <f t="shared" si="6"/>
        <v>Centro</v>
      </c>
      <c r="B116" s="5" t="s">
        <v>3</v>
      </c>
      <c r="C116" s="5" t="s">
        <v>8</v>
      </c>
      <c r="D116" s="5" t="s">
        <v>11</v>
      </c>
      <c r="E116" s="7">
        <v>45658</v>
      </c>
      <c r="F116" s="8">
        <v>4472073.3002399998</v>
      </c>
      <c r="G116" s="5" t="str">
        <f t="shared" si="7"/>
        <v>Gasto</v>
      </c>
      <c r="H116" s="4"/>
      <c r="I116" s="4"/>
    </row>
    <row r="117" spans="1:9" ht="13.95" customHeight="1" x14ac:dyDescent="0.2">
      <c r="A117" s="5" t="str">
        <f t="shared" si="6"/>
        <v>Centro</v>
      </c>
      <c r="B117" s="5" t="s">
        <v>3</v>
      </c>
      <c r="C117" s="5" t="s">
        <v>7</v>
      </c>
      <c r="D117" s="5" t="s">
        <v>11</v>
      </c>
      <c r="E117" s="7">
        <v>45658</v>
      </c>
      <c r="F117" s="8">
        <v>1796986.9373400002</v>
      </c>
      <c r="G117" s="5" t="str">
        <f t="shared" si="7"/>
        <v>Gasto</v>
      </c>
      <c r="H117" s="4"/>
      <c r="I117" s="4"/>
    </row>
    <row r="118" spans="1:9" ht="13.95" customHeight="1" x14ac:dyDescent="0.2">
      <c r="A118" s="5" t="str">
        <f t="shared" si="6"/>
        <v>Centro</v>
      </c>
      <c r="B118" s="5" t="s">
        <v>3</v>
      </c>
      <c r="C118" s="5" t="s">
        <v>6</v>
      </c>
      <c r="D118" s="5" t="s">
        <v>11</v>
      </c>
      <c r="E118" s="7">
        <v>45658</v>
      </c>
      <c r="F118" s="8">
        <v>2404008.8471700004</v>
      </c>
      <c r="G118" s="5" t="str">
        <f t="shared" si="7"/>
        <v>Gasto</v>
      </c>
      <c r="H118" s="4"/>
      <c r="I118" s="4"/>
    </row>
    <row r="119" spans="1:9" ht="13.95" customHeight="1" x14ac:dyDescent="0.2">
      <c r="A119" s="5" t="str">
        <f t="shared" si="6"/>
        <v>San Telmo</v>
      </c>
      <c r="B119" s="5" t="s">
        <v>3</v>
      </c>
      <c r="C119" s="5" t="s">
        <v>5</v>
      </c>
      <c r="D119" s="5" t="s">
        <v>11</v>
      </c>
      <c r="E119" s="7">
        <v>45658</v>
      </c>
      <c r="F119" s="8">
        <v>2433243.4774200004</v>
      </c>
      <c r="G119" s="5" t="str">
        <f t="shared" si="7"/>
        <v>Gasto</v>
      </c>
      <c r="H119" s="4"/>
      <c r="I119" s="4"/>
    </row>
    <row r="120" spans="1:9" ht="13.95" customHeight="1" x14ac:dyDescent="0.2">
      <c r="A120" s="5" t="str">
        <f t="shared" si="6"/>
        <v>San Telmo</v>
      </c>
      <c r="B120" s="5" t="s">
        <v>3</v>
      </c>
      <c r="C120" s="5" t="s">
        <v>4</v>
      </c>
      <c r="D120" s="5" t="s">
        <v>11</v>
      </c>
      <c r="E120" s="7">
        <v>45658</v>
      </c>
      <c r="F120" s="8">
        <v>1809449.8020900004</v>
      </c>
      <c r="G120" s="5" t="str">
        <f t="shared" si="7"/>
        <v>Gasto</v>
      </c>
      <c r="H120" s="4"/>
      <c r="I120" s="4"/>
    </row>
    <row r="121" spans="1:9" ht="13.95" customHeight="1" x14ac:dyDescent="0.2">
      <c r="A121" s="5" t="str">
        <f t="shared" si="6"/>
        <v>San Telmo</v>
      </c>
      <c r="B121" s="5" t="s">
        <v>3</v>
      </c>
      <c r="C121" s="5" t="s">
        <v>2</v>
      </c>
      <c r="D121" s="5" t="s">
        <v>11</v>
      </c>
      <c r="E121" s="7">
        <v>45658</v>
      </c>
      <c r="F121" s="8">
        <v>2954248.4525400004</v>
      </c>
      <c r="G121" s="5" t="str">
        <f t="shared" si="7"/>
        <v>Gasto</v>
      </c>
      <c r="H121" s="4"/>
      <c r="I121" s="4"/>
    </row>
    <row r="122" spans="1:9" ht="13.95" customHeight="1" x14ac:dyDescent="0.2">
      <c r="A122" s="5" t="str">
        <f t="shared" si="6"/>
        <v>Quilmes</v>
      </c>
      <c r="B122" s="5" t="s">
        <v>9</v>
      </c>
      <c r="C122" s="5" t="s">
        <v>10</v>
      </c>
      <c r="D122" s="5" t="s">
        <v>1</v>
      </c>
      <c r="E122" s="7">
        <v>45658</v>
      </c>
      <c r="F122" s="8">
        <v>203407.00666666665</v>
      </c>
      <c r="G122" s="5" t="str">
        <f t="shared" si="7"/>
        <v>Gasto</v>
      </c>
      <c r="H122" s="4"/>
      <c r="I122" s="4"/>
    </row>
    <row r="123" spans="1:9" ht="13.95" customHeight="1" x14ac:dyDescent="0.2">
      <c r="A123" s="5" t="str">
        <f t="shared" si="6"/>
        <v>San Telmo</v>
      </c>
      <c r="B123" s="5" t="s">
        <v>9</v>
      </c>
      <c r="C123" s="5" t="s">
        <v>5</v>
      </c>
      <c r="D123" s="5" t="s">
        <v>1</v>
      </c>
      <c r="E123" s="7">
        <v>45658</v>
      </c>
      <c r="F123" s="8">
        <v>193861.83666666667</v>
      </c>
      <c r="G123" s="5" t="str">
        <f t="shared" si="7"/>
        <v>Gasto</v>
      </c>
      <c r="H123" s="4"/>
      <c r="I123" s="4"/>
    </row>
    <row r="124" spans="1:9" ht="13.95" customHeight="1" x14ac:dyDescent="0.2">
      <c r="A124" s="5" t="str">
        <f t="shared" si="6"/>
        <v>Centro</v>
      </c>
      <c r="B124" s="5" t="s">
        <v>3</v>
      </c>
      <c r="C124" s="5" t="s">
        <v>8</v>
      </c>
      <c r="D124" s="5" t="s">
        <v>1</v>
      </c>
      <c r="E124" s="7">
        <v>45658</v>
      </c>
      <c r="F124" s="8">
        <v>1727784.4300000002</v>
      </c>
      <c r="G124" s="5" t="str">
        <f t="shared" si="7"/>
        <v>Gasto</v>
      </c>
      <c r="H124" s="4"/>
      <c r="I124" s="4"/>
    </row>
    <row r="125" spans="1:9" ht="13.95" customHeight="1" x14ac:dyDescent="0.2">
      <c r="A125" s="5" t="str">
        <f t="shared" si="6"/>
        <v>Centro</v>
      </c>
      <c r="B125" s="5" t="s">
        <v>3</v>
      </c>
      <c r="C125" s="5" t="s">
        <v>7</v>
      </c>
      <c r="D125" s="5" t="s">
        <v>1</v>
      </c>
      <c r="E125" s="7">
        <v>45658</v>
      </c>
      <c r="F125" s="8">
        <v>101378.79000000001</v>
      </c>
      <c r="G125" s="5" t="str">
        <f t="shared" si="7"/>
        <v>Gasto</v>
      </c>
      <c r="H125" s="4"/>
      <c r="I125" s="4"/>
    </row>
    <row r="126" spans="1:9" ht="13.95" customHeight="1" x14ac:dyDescent="0.2">
      <c r="A126" s="5" t="str">
        <f t="shared" si="6"/>
        <v>Centro</v>
      </c>
      <c r="B126" s="5" t="s">
        <v>3</v>
      </c>
      <c r="C126" s="5" t="s">
        <v>6</v>
      </c>
      <c r="D126" s="5" t="s">
        <v>1</v>
      </c>
      <c r="E126" s="7">
        <v>45658</v>
      </c>
      <c r="F126" s="8">
        <v>185581.34000000003</v>
      </c>
      <c r="G126" s="5" t="str">
        <f t="shared" si="7"/>
        <v>Gasto</v>
      </c>
      <c r="H126" s="4"/>
      <c r="I126" s="4"/>
    </row>
    <row r="127" spans="1:9" ht="13.95" customHeight="1" x14ac:dyDescent="0.2">
      <c r="A127" s="5" t="str">
        <f t="shared" si="6"/>
        <v>San Telmo</v>
      </c>
      <c r="B127" s="5" t="s">
        <v>3</v>
      </c>
      <c r="C127" s="5" t="s">
        <v>5</v>
      </c>
      <c r="D127" s="5" t="s">
        <v>1</v>
      </c>
      <c r="E127" s="7">
        <v>45658</v>
      </c>
      <c r="F127" s="8">
        <v>166504.55666666667</v>
      </c>
      <c r="G127" s="5" t="str">
        <f t="shared" si="7"/>
        <v>Gasto</v>
      </c>
      <c r="H127" s="4"/>
      <c r="I127" s="4"/>
    </row>
    <row r="128" spans="1:9" ht="13.95" customHeight="1" x14ac:dyDescent="0.2">
      <c r="A128" s="5" t="str">
        <f t="shared" si="6"/>
        <v>San Telmo</v>
      </c>
      <c r="B128" s="5" t="s">
        <v>3</v>
      </c>
      <c r="C128" s="5" t="s">
        <v>4</v>
      </c>
      <c r="D128" s="5" t="s">
        <v>1</v>
      </c>
      <c r="E128" s="7">
        <v>45658</v>
      </c>
      <c r="F128" s="8">
        <v>83461.05</v>
      </c>
      <c r="G128" s="5" t="str">
        <f t="shared" si="7"/>
        <v>Gasto</v>
      </c>
      <c r="H128" s="4"/>
      <c r="I128" s="4"/>
    </row>
    <row r="129" spans="1:9" ht="13.95" customHeight="1" x14ac:dyDescent="0.2">
      <c r="A129" s="5" t="str">
        <f t="shared" si="6"/>
        <v>San Telmo</v>
      </c>
      <c r="B129" s="5" t="s">
        <v>3</v>
      </c>
      <c r="C129" s="5" t="s">
        <v>2</v>
      </c>
      <c r="D129" s="5" t="s">
        <v>1</v>
      </c>
      <c r="E129" s="7">
        <v>45658</v>
      </c>
      <c r="F129" s="8">
        <v>285289.01</v>
      </c>
      <c r="G129" s="5" t="str">
        <f t="shared" si="7"/>
        <v>Gasto</v>
      </c>
      <c r="H129" s="4"/>
      <c r="I129" s="4"/>
    </row>
    <row r="130" spans="1:9" ht="13.95" customHeight="1" x14ac:dyDescent="0.2">
      <c r="A130" s="5" t="str">
        <f t="shared" ref="A130:A161" si="8">VLOOKUP(C130,$J$2:$K$9,2,FALSE)</f>
        <v>Quilmes</v>
      </c>
      <c r="B130" s="5" t="s">
        <v>9</v>
      </c>
      <c r="C130" s="5" t="s">
        <v>10</v>
      </c>
      <c r="D130" s="5" t="s">
        <v>13</v>
      </c>
      <c r="E130" s="7">
        <v>45689</v>
      </c>
      <c r="F130" s="8">
        <v>10052538</v>
      </c>
      <c r="G130" s="5" t="str">
        <f t="shared" ref="G130:G161" si="9">VLOOKUP(D130,$I$12:$J$15,2,FALSE)</f>
        <v>Ingreso</v>
      </c>
      <c r="H130" s="4"/>
      <c r="I130" s="4"/>
    </row>
    <row r="131" spans="1:9" ht="13.95" customHeight="1" x14ac:dyDescent="0.2">
      <c r="A131" s="5" t="str">
        <f t="shared" si="8"/>
        <v>San Telmo</v>
      </c>
      <c r="B131" s="5" t="s">
        <v>9</v>
      </c>
      <c r="C131" s="5" t="s">
        <v>5</v>
      </c>
      <c r="D131" s="5" t="s">
        <v>13</v>
      </c>
      <c r="E131" s="7">
        <v>45689</v>
      </c>
      <c r="F131" s="8">
        <v>14999900</v>
      </c>
      <c r="G131" s="5" t="str">
        <f t="shared" si="9"/>
        <v>Ingreso</v>
      </c>
      <c r="H131" s="4"/>
      <c r="I131" s="4"/>
    </row>
    <row r="132" spans="1:9" ht="13.95" customHeight="1" x14ac:dyDescent="0.2">
      <c r="A132" s="5" t="str">
        <f t="shared" si="8"/>
        <v>Centro</v>
      </c>
      <c r="B132" s="5" t="s">
        <v>3</v>
      </c>
      <c r="C132" s="5" t="s">
        <v>8</v>
      </c>
      <c r="D132" s="5" t="s">
        <v>13</v>
      </c>
      <c r="E132" s="7">
        <v>45689</v>
      </c>
      <c r="F132" s="8">
        <v>23978279</v>
      </c>
      <c r="G132" s="5" t="str">
        <f t="shared" si="9"/>
        <v>Ingreso</v>
      </c>
      <c r="H132" s="4"/>
      <c r="I132" s="4"/>
    </row>
    <row r="133" spans="1:9" ht="13.95" customHeight="1" x14ac:dyDescent="0.2">
      <c r="A133" s="5" t="str">
        <f t="shared" si="8"/>
        <v>Centro</v>
      </c>
      <c r="B133" s="5" t="s">
        <v>3</v>
      </c>
      <c r="C133" s="5" t="s">
        <v>7</v>
      </c>
      <c r="D133" s="5" t="s">
        <v>13</v>
      </c>
      <c r="E133" s="7">
        <v>45689</v>
      </c>
      <c r="F133" s="8">
        <v>3150490</v>
      </c>
      <c r="G133" s="5" t="str">
        <f t="shared" si="9"/>
        <v>Ingreso</v>
      </c>
      <c r="H133" s="4"/>
      <c r="I133" s="4"/>
    </row>
    <row r="134" spans="1:9" ht="13.95" customHeight="1" x14ac:dyDescent="0.2">
      <c r="A134" s="5" t="str">
        <f t="shared" si="8"/>
        <v>Centro</v>
      </c>
      <c r="B134" s="5" t="s">
        <v>3</v>
      </c>
      <c r="C134" s="5" t="s">
        <v>6</v>
      </c>
      <c r="D134" s="5" t="s">
        <v>13</v>
      </c>
      <c r="E134" s="7">
        <v>45689</v>
      </c>
      <c r="F134" s="8">
        <v>15336680</v>
      </c>
      <c r="G134" s="5" t="str">
        <f t="shared" si="9"/>
        <v>Ingreso</v>
      </c>
      <c r="H134" s="4"/>
      <c r="I134" s="4"/>
    </row>
    <row r="135" spans="1:9" ht="13.95" customHeight="1" x14ac:dyDescent="0.2">
      <c r="A135" s="5" t="str">
        <f t="shared" si="8"/>
        <v>San Telmo</v>
      </c>
      <c r="B135" s="5" t="s">
        <v>3</v>
      </c>
      <c r="C135" s="5" t="s">
        <v>5</v>
      </c>
      <c r="D135" s="5" t="s">
        <v>13</v>
      </c>
      <c r="E135" s="7">
        <v>45689</v>
      </c>
      <c r="F135" s="8">
        <v>32509360</v>
      </c>
      <c r="G135" s="5" t="str">
        <f t="shared" si="9"/>
        <v>Ingreso</v>
      </c>
      <c r="H135" s="4"/>
      <c r="I135" s="4"/>
    </row>
    <row r="136" spans="1:9" ht="13.95" customHeight="1" x14ac:dyDescent="0.2">
      <c r="A136" s="5" t="str">
        <f t="shared" si="8"/>
        <v>San Telmo</v>
      </c>
      <c r="B136" s="5" t="s">
        <v>3</v>
      </c>
      <c r="C136" s="5" t="s">
        <v>4</v>
      </c>
      <c r="D136" s="5" t="s">
        <v>13</v>
      </c>
      <c r="E136" s="7">
        <v>45689</v>
      </c>
      <c r="F136" s="8">
        <v>4561520</v>
      </c>
      <c r="G136" s="5" t="str">
        <f t="shared" si="9"/>
        <v>Ingreso</v>
      </c>
      <c r="H136" s="4"/>
      <c r="I136" s="4"/>
    </row>
    <row r="137" spans="1:9" ht="13.95" customHeight="1" x14ac:dyDescent="0.2">
      <c r="A137" s="5" t="str">
        <f t="shared" si="8"/>
        <v>San Telmo</v>
      </c>
      <c r="B137" s="5" t="s">
        <v>3</v>
      </c>
      <c r="C137" s="5" t="s">
        <v>2</v>
      </c>
      <c r="D137" s="5" t="s">
        <v>13</v>
      </c>
      <c r="E137" s="7">
        <v>45689</v>
      </c>
      <c r="F137" s="8">
        <v>10874150</v>
      </c>
      <c r="G137" s="5" t="str">
        <f t="shared" si="9"/>
        <v>Ingreso</v>
      </c>
      <c r="H137" s="4"/>
      <c r="I137" s="4"/>
    </row>
    <row r="138" spans="1:9" ht="13.95" customHeight="1" x14ac:dyDescent="0.2">
      <c r="A138" s="5" t="str">
        <f t="shared" si="8"/>
        <v>Quilmes</v>
      </c>
      <c r="B138" s="5" t="s">
        <v>9</v>
      </c>
      <c r="C138" s="5" t="s">
        <v>10</v>
      </c>
      <c r="D138" s="5" t="s">
        <v>12</v>
      </c>
      <c r="E138" s="7">
        <v>45689</v>
      </c>
      <c r="F138" s="6">
        <v>3360009.62</v>
      </c>
      <c r="G138" s="5" t="str">
        <f t="shared" si="9"/>
        <v>Gasto</v>
      </c>
      <c r="H138" s="4"/>
      <c r="I138" s="4"/>
    </row>
    <row r="139" spans="1:9" ht="13.95" customHeight="1" x14ac:dyDescent="0.2">
      <c r="A139" s="5" t="str">
        <f t="shared" si="8"/>
        <v>San Telmo</v>
      </c>
      <c r="B139" s="5" t="s">
        <v>9</v>
      </c>
      <c r="C139" s="5" t="s">
        <v>5</v>
      </c>
      <c r="D139" s="5" t="s">
        <v>12</v>
      </c>
      <c r="E139" s="7">
        <v>45689</v>
      </c>
      <c r="F139" s="6">
        <v>2145942.77</v>
      </c>
      <c r="G139" s="5" t="str">
        <f t="shared" si="9"/>
        <v>Gasto</v>
      </c>
      <c r="H139" s="4"/>
      <c r="I139" s="4"/>
    </row>
    <row r="140" spans="1:9" ht="13.95" customHeight="1" x14ac:dyDescent="0.2">
      <c r="A140" s="5" t="str">
        <f t="shared" si="8"/>
        <v>Centro</v>
      </c>
      <c r="B140" s="5" t="s">
        <v>3</v>
      </c>
      <c r="C140" s="5" t="s">
        <v>8</v>
      </c>
      <c r="D140" s="5" t="s">
        <v>12</v>
      </c>
      <c r="E140" s="7">
        <v>45689</v>
      </c>
      <c r="F140" s="6">
        <v>2402089.2000000002</v>
      </c>
      <c r="G140" s="5" t="str">
        <f t="shared" si="9"/>
        <v>Gasto</v>
      </c>
      <c r="H140" s="4"/>
      <c r="I140" s="4"/>
    </row>
    <row r="141" spans="1:9" ht="13.95" customHeight="1" x14ac:dyDescent="0.2">
      <c r="A141" s="5" t="str">
        <f t="shared" si="8"/>
        <v>Centro</v>
      </c>
      <c r="B141" s="5" t="s">
        <v>3</v>
      </c>
      <c r="C141" s="5" t="s">
        <v>7</v>
      </c>
      <c r="D141" s="5" t="s">
        <v>12</v>
      </c>
      <c r="E141" s="7">
        <v>45689</v>
      </c>
      <c r="F141" s="6">
        <v>1166386.73</v>
      </c>
      <c r="G141" s="5" t="str">
        <f t="shared" si="9"/>
        <v>Gasto</v>
      </c>
      <c r="H141" s="4"/>
      <c r="I141" s="4"/>
    </row>
    <row r="142" spans="1:9" ht="13.95" customHeight="1" x14ac:dyDescent="0.2">
      <c r="A142" s="5" t="str">
        <f t="shared" si="8"/>
        <v>Centro</v>
      </c>
      <c r="B142" s="5" t="s">
        <v>3</v>
      </c>
      <c r="C142" s="5" t="s">
        <v>6</v>
      </c>
      <c r="D142" s="5" t="s">
        <v>12</v>
      </c>
      <c r="E142" s="7">
        <v>45689</v>
      </c>
      <c r="F142" s="6">
        <v>3606612.9</v>
      </c>
      <c r="G142" s="5" t="str">
        <f t="shared" si="9"/>
        <v>Gasto</v>
      </c>
      <c r="H142" s="4"/>
      <c r="I142" s="4"/>
    </row>
    <row r="143" spans="1:9" ht="13.95" customHeight="1" x14ac:dyDescent="0.2">
      <c r="A143" s="5" t="str">
        <f t="shared" si="8"/>
        <v>San Telmo</v>
      </c>
      <c r="B143" s="5" t="s">
        <v>3</v>
      </c>
      <c r="C143" s="5" t="s">
        <v>5</v>
      </c>
      <c r="D143" s="5" t="s">
        <v>12</v>
      </c>
      <c r="E143" s="7">
        <v>45689</v>
      </c>
      <c r="F143" s="6">
        <v>3010405.33</v>
      </c>
      <c r="G143" s="5" t="str">
        <f t="shared" si="9"/>
        <v>Gasto</v>
      </c>
      <c r="H143" s="4"/>
      <c r="I143" s="4"/>
    </row>
    <row r="144" spans="1:9" ht="13.95" customHeight="1" x14ac:dyDescent="0.2">
      <c r="A144" s="5" t="str">
        <f t="shared" si="8"/>
        <v>San Telmo</v>
      </c>
      <c r="B144" s="5" t="s">
        <v>3</v>
      </c>
      <c r="C144" s="5" t="s">
        <v>4</v>
      </c>
      <c r="D144" s="5" t="s">
        <v>12</v>
      </c>
      <c r="E144" s="7">
        <v>45689</v>
      </c>
      <c r="F144" s="6">
        <v>1415584.96</v>
      </c>
      <c r="G144" s="5" t="str">
        <f t="shared" si="9"/>
        <v>Gasto</v>
      </c>
      <c r="H144" s="4"/>
      <c r="I144" s="4"/>
    </row>
    <row r="145" spans="1:9" ht="13.95" customHeight="1" x14ac:dyDescent="0.2">
      <c r="A145" s="5" t="str">
        <f t="shared" si="8"/>
        <v>San Telmo</v>
      </c>
      <c r="B145" s="5" t="s">
        <v>3</v>
      </c>
      <c r="C145" s="5" t="s">
        <v>2</v>
      </c>
      <c r="D145" s="5" t="s">
        <v>12</v>
      </c>
      <c r="E145" s="7">
        <v>45689</v>
      </c>
      <c r="F145" s="6">
        <v>953194</v>
      </c>
      <c r="G145" s="5" t="str">
        <f t="shared" si="9"/>
        <v>Gasto</v>
      </c>
      <c r="H145" s="4"/>
      <c r="I145" s="4"/>
    </row>
    <row r="146" spans="1:9" ht="13.95" customHeight="1" x14ac:dyDescent="0.2">
      <c r="A146" s="5" t="str">
        <f t="shared" si="8"/>
        <v>Quilmes</v>
      </c>
      <c r="B146" s="5" t="s">
        <v>9</v>
      </c>
      <c r="C146" s="5" t="s">
        <v>10</v>
      </c>
      <c r="D146" s="5" t="s">
        <v>11</v>
      </c>
      <c r="E146" s="7">
        <v>45689</v>
      </c>
      <c r="F146" s="6">
        <v>2934659.6433000001</v>
      </c>
      <c r="G146" s="5" t="str">
        <f t="shared" si="9"/>
        <v>Gasto</v>
      </c>
      <c r="H146" s="4"/>
      <c r="I146" s="4"/>
    </row>
    <row r="147" spans="1:9" ht="13.95" customHeight="1" x14ac:dyDescent="0.2">
      <c r="A147" s="5" t="str">
        <f t="shared" si="8"/>
        <v>San Telmo</v>
      </c>
      <c r="B147" s="5" t="s">
        <v>9</v>
      </c>
      <c r="C147" s="5" t="s">
        <v>5</v>
      </c>
      <c r="D147" s="5" t="s">
        <v>11</v>
      </c>
      <c r="E147" s="7">
        <v>45689</v>
      </c>
      <c r="F147" s="6">
        <v>3213838.2395699997</v>
      </c>
      <c r="G147" s="5" t="str">
        <f t="shared" si="9"/>
        <v>Gasto</v>
      </c>
      <c r="H147" s="4"/>
      <c r="I147" s="4"/>
    </row>
    <row r="148" spans="1:9" ht="13.95" customHeight="1" x14ac:dyDescent="0.2">
      <c r="A148" s="5" t="str">
        <f t="shared" si="8"/>
        <v>Centro</v>
      </c>
      <c r="B148" s="5" t="s">
        <v>3</v>
      </c>
      <c r="C148" s="5" t="s">
        <v>8</v>
      </c>
      <c r="D148" s="5" t="s">
        <v>11</v>
      </c>
      <c r="E148" s="7">
        <v>45689</v>
      </c>
      <c r="F148" s="6">
        <v>4562990.1903600004</v>
      </c>
      <c r="G148" s="5" t="str">
        <f t="shared" si="9"/>
        <v>Gasto</v>
      </c>
      <c r="H148" s="4"/>
      <c r="I148" s="4"/>
    </row>
    <row r="149" spans="1:9" ht="13.95" customHeight="1" x14ac:dyDescent="0.2">
      <c r="A149" s="5" t="str">
        <f t="shared" si="8"/>
        <v>Centro</v>
      </c>
      <c r="B149" s="5" t="s">
        <v>3</v>
      </c>
      <c r="C149" s="5" t="s">
        <v>7</v>
      </c>
      <c r="D149" s="5" t="s">
        <v>11</v>
      </c>
      <c r="E149" s="7">
        <v>45689</v>
      </c>
      <c r="F149" s="6">
        <v>797689.43036999996</v>
      </c>
      <c r="G149" s="5" t="str">
        <f t="shared" si="9"/>
        <v>Gasto</v>
      </c>
      <c r="H149" s="4"/>
      <c r="I149" s="4"/>
    </row>
    <row r="150" spans="1:9" ht="13.95" customHeight="1" x14ac:dyDescent="0.2">
      <c r="A150" s="5" t="str">
        <f t="shared" si="8"/>
        <v>Centro</v>
      </c>
      <c r="B150" s="5" t="s">
        <v>3</v>
      </c>
      <c r="C150" s="5" t="s">
        <v>6</v>
      </c>
      <c r="D150" s="5" t="s">
        <v>11</v>
      </c>
      <c r="E150" s="7">
        <v>45689</v>
      </c>
      <c r="F150" s="6">
        <v>2469244.1022900003</v>
      </c>
      <c r="G150" s="5" t="str">
        <f t="shared" si="9"/>
        <v>Gasto</v>
      </c>
      <c r="H150" s="4"/>
      <c r="I150" s="4"/>
    </row>
    <row r="151" spans="1:9" ht="13.95" customHeight="1" x14ac:dyDescent="0.2">
      <c r="A151" s="5" t="str">
        <f t="shared" si="8"/>
        <v>San Telmo</v>
      </c>
      <c r="B151" s="5" t="s">
        <v>3</v>
      </c>
      <c r="C151" s="5" t="s">
        <v>5</v>
      </c>
      <c r="D151" s="5" t="s">
        <v>11</v>
      </c>
      <c r="E151" s="7">
        <v>45689</v>
      </c>
      <c r="F151" s="6">
        <v>2525034.5725500002</v>
      </c>
      <c r="G151" s="5" t="str">
        <f t="shared" si="9"/>
        <v>Gasto</v>
      </c>
      <c r="H151" s="4"/>
      <c r="I151" s="4"/>
    </row>
    <row r="152" spans="1:9" ht="13.95" customHeight="1" x14ac:dyDescent="0.2">
      <c r="A152" s="5" t="str">
        <f t="shared" si="8"/>
        <v>San Telmo</v>
      </c>
      <c r="B152" s="5" t="s">
        <v>3</v>
      </c>
      <c r="C152" s="5" t="s">
        <v>4</v>
      </c>
      <c r="D152" s="5" t="s">
        <v>11</v>
      </c>
      <c r="E152" s="7">
        <v>45689</v>
      </c>
      <c r="F152" s="6">
        <v>1924583.0316300001</v>
      </c>
      <c r="G152" s="5" t="str">
        <f t="shared" si="9"/>
        <v>Gasto</v>
      </c>
      <c r="H152" s="4"/>
      <c r="I152" s="4"/>
    </row>
    <row r="153" spans="1:9" ht="13.95" customHeight="1" x14ac:dyDescent="0.2">
      <c r="A153" s="5" t="str">
        <f t="shared" si="8"/>
        <v>San Telmo</v>
      </c>
      <c r="B153" s="5" t="s">
        <v>3</v>
      </c>
      <c r="C153" s="5" t="s">
        <v>2</v>
      </c>
      <c r="D153" s="5" t="s">
        <v>11</v>
      </c>
      <c r="E153" s="7">
        <v>45689</v>
      </c>
      <c r="F153" s="6">
        <v>3743565.4185300004</v>
      </c>
      <c r="G153" s="5" t="str">
        <f t="shared" si="9"/>
        <v>Gasto</v>
      </c>
      <c r="H153" s="4"/>
      <c r="I153" s="4"/>
    </row>
    <row r="154" spans="1:9" ht="13.95" customHeight="1" x14ac:dyDescent="0.2">
      <c r="A154" s="5" t="str">
        <f t="shared" si="8"/>
        <v>Quilmes</v>
      </c>
      <c r="B154" s="5" t="s">
        <v>9</v>
      </c>
      <c r="C154" s="5" t="s">
        <v>10</v>
      </c>
      <c r="D154" s="5" t="s">
        <v>1</v>
      </c>
      <c r="E154" s="7">
        <v>45689</v>
      </c>
      <c r="F154" s="6">
        <v>191478.5</v>
      </c>
      <c r="G154" s="5" t="str">
        <f t="shared" si="9"/>
        <v>Gasto</v>
      </c>
      <c r="H154" s="4"/>
      <c r="I154" s="4"/>
    </row>
    <row r="155" spans="1:9" ht="13.95" customHeight="1" x14ac:dyDescent="0.2">
      <c r="A155" s="5" t="str">
        <f t="shared" si="8"/>
        <v>San Telmo</v>
      </c>
      <c r="B155" s="5" t="s">
        <v>9</v>
      </c>
      <c r="C155" s="5" t="s">
        <v>5</v>
      </c>
      <c r="D155" s="5" t="s">
        <v>1</v>
      </c>
      <c r="E155" s="7">
        <v>45689</v>
      </c>
      <c r="F155" s="6">
        <v>271100.95</v>
      </c>
      <c r="G155" s="5" t="str">
        <f t="shared" si="9"/>
        <v>Gasto</v>
      </c>
      <c r="H155" s="4"/>
      <c r="I155" s="4"/>
    </row>
    <row r="156" spans="1:9" ht="13.95" customHeight="1" x14ac:dyDescent="0.2">
      <c r="A156" s="5" t="str">
        <f t="shared" si="8"/>
        <v>Centro</v>
      </c>
      <c r="B156" s="5" t="s">
        <v>3</v>
      </c>
      <c r="C156" s="5" t="s">
        <v>8</v>
      </c>
      <c r="D156" s="5" t="s">
        <v>1</v>
      </c>
      <c r="E156" s="7">
        <v>45689</v>
      </c>
      <c r="F156" s="6">
        <v>1353670.44</v>
      </c>
      <c r="G156" s="5" t="str">
        <f t="shared" si="9"/>
        <v>Gasto</v>
      </c>
      <c r="H156" s="4"/>
      <c r="I156" s="4"/>
    </row>
    <row r="157" spans="1:9" ht="13.95" customHeight="1" x14ac:dyDescent="0.2">
      <c r="A157" s="5" t="str">
        <f t="shared" si="8"/>
        <v>Centro</v>
      </c>
      <c r="B157" s="5" t="s">
        <v>3</v>
      </c>
      <c r="C157" s="5" t="s">
        <v>7</v>
      </c>
      <c r="D157" s="5" t="s">
        <v>1</v>
      </c>
      <c r="E157" s="7">
        <v>45689</v>
      </c>
      <c r="F157" s="6">
        <v>39614.160000000003</v>
      </c>
      <c r="G157" s="5" t="str">
        <f t="shared" si="9"/>
        <v>Gasto</v>
      </c>
      <c r="H157" s="4"/>
      <c r="I157" s="4"/>
    </row>
    <row r="158" spans="1:9" ht="13.95" customHeight="1" x14ac:dyDescent="0.2">
      <c r="A158" s="5" t="str">
        <f t="shared" si="8"/>
        <v>Centro</v>
      </c>
      <c r="B158" s="5" t="s">
        <v>3</v>
      </c>
      <c r="C158" s="5" t="s">
        <v>6</v>
      </c>
      <c r="D158" s="5" t="s">
        <v>1</v>
      </c>
      <c r="E158" s="7">
        <v>45689</v>
      </c>
      <c r="F158" s="6">
        <v>211084.93</v>
      </c>
      <c r="G158" s="5" t="str">
        <f t="shared" si="9"/>
        <v>Gasto</v>
      </c>
      <c r="H158" s="4"/>
      <c r="I158" s="4"/>
    </row>
    <row r="159" spans="1:9" ht="13.95" customHeight="1" x14ac:dyDescent="0.2">
      <c r="A159" s="5" t="str">
        <f t="shared" si="8"/>
        <v>San Telmo</v>
      </c>
      <c r="B159" s="5" t="s">
        <v>3</v>
      </c>
      <c r="C159" s="5" t="s">
        <v>5</v>
      </c>
      <c r="D159" s="5" t="s">
        <v>1</v>
      </c>
      <c r="E159" s="7">
        <v>45689</v>
      </c>
      <c r="F159" s="6">
        <v>237510</v>
      </c>
      <c r="G159" s="5" t="str">
        <f t="shared" si="9"/>
        <v>Gasto</v>
      </c>
      <c r="H159" s="4"/>
      <c r="I159" s="4"/>
    </row>
    <row r="160" spans="1:9" ht="13.95" customHeight="1" x14ac:dyDescent="0.2">
      <c r="A160" s="5" t="str">
        <f t="shared" si="8"/>
        <v>San Telmo</v>
      </c>
      <c r="B160" s="5" t="s">
        <v>3</v>
      </c>
      <c r="C160" s="5" t="s">
        <v>4</v>
      </c>
      <c r="D160" s="5" t="s">
        <v>1</v>
      </c>
      <c r="E160" s="7">
        <v>45689</v>
      </c>
      <c r="F160" s="6">
        <v>118196.65000000001</v>
      </c>
      <c r="G160" s="5" t="str">
        <f t="shared" si="9"/>
        <v>Gasto</v>
      </c>
      <c r="H160" s="4"/>
      <c r="I160" s="4"/>
    </row>
    <row r="161" spans="1:9" ht="13.95" customHeight="1" x14ac:dyDescent="0.2">
      <c r="A161" s="5" t="str">
        <f t="shared" si="8"/>
        <v>San Telmo</v>
      </c>
      <c r="B161" s="5" t="s">
        <v>3</v>
      </c>
      <c r="C161" s="5" t="s">
        <v>2</v>
      </c>
      <c r="D161" s="5" t="s">
        <v>1</v>
      </c>
      <c r="E161" s="7">
        <v>45689</v>
      </c>
      <c r="F161" s="6">
        <v>336254.14</v>
      </c>
      <c r="G161" s="5" t="str">
        <f t="shared" si="9"/>
        <v>Gasto</v>
      </c>
      <c r="H161" s="4"/>
      <c r="I161" s="4"/>
    </row>
    <row r="162" spans="1:9" ht="13.95" customHeight="1" x14ac:dyDescent="0.2">
      <c r="A162" s="5" t="str">
        <f t="shared" ref="A162:A193" si="10">VLOOKUP(C162,$J$2:$K$9,2,FALSE)</f>
        <v>Quilmes</v>
      </c>
      <c r="B162" s="5" t="s">
        <v>9</v>
      </c>
      <c r="C162" s="5" t="s">
        <v>10</v>
      </c>
      <c r="D162" s="5" t="s">
        <v>13</v>
      </c>
      <c r="E162" s="7">
        <v>45717</v>
      </c>
      <c r="F162" s="6"/>
      <c r="G162" s="5" t="str">
        <f t="shared" ref="G162:G193" si="11">VLOOKUP(D162,$I$12:$J$15,2,FALSE)</f>
        <v>Ingreso</v>
      </c>
      <c r="H162" s="4"/>
      <c r="I162" s="4"/>
    </row>
    <row r="163" spans="1:9" ht="13.95" customHeight="1" x14ac:dyDescent="0.2">
      <c r="A163" s="5" t="str">
        <f t="shared" si="10"/>
        <v>San Telmo</v>
      </c>
      <c r="B163" s="5" t="s">
        <v>9</v>
      </c>
      <c r="C163" s="5" t="s">
        <v>5</v>
      </c>
      <c r="D163" s="5" t="s">
        <v>13</v>
      </c>
      <c r="E163" s="7">
        <v>45717</v>
      </c>
      <c r="F163" s="6"/>
      <c r="G163" s="5" t="str">
        <f t="shared" si="11"/>
        <v>Ingreso</v>
      </c>
      <c r="H163" s="4"/>
      <c r="I163" s="4"/>
    </row>
    <row r="164" spans="1:9" ht="13.95" customHeight="1" x14ac:dyDescent="0.2">
      <c r="A164" s="5" t="str">
        <f t="shared" si="10"/>
        <v>Centro</v>
      </c>
      <c r="B164" s="5" t="s">
        <v>3</v>
      </c>
      <c r="C164" s="5" t="s">
        <v>8</v>
      </c>
      <c r="D164" s="5" t="s">
        <v>13</v>
      </c>
      <c r="E164" s="7">
        <v>45717</v>
      </c>
      <c r="F164" s="6"/>
      <c r="G164" s="5" t="str">
        <f t="shared" si="11"/>
        <v>Ingreso</v>
      </c>
      <c r="H164" s="4"/>
      <c r="I164" s="4"/>
    </row>
    <row r="165" spans="1:9" ht="13.95" customHeight="1" x14ac:dyDescent="0.2">
      <c r="A165" s="5" t="str">
        <f t="shared" si="10"/>
        <v>Centro</v>
      </c>
      <c r="B165" s="5" t="s">
        <v>3</v>
      </c>
      <c r="C165" s="5" t="s">
        <v>7</v>
      </c>
      <c r="D165" s="5" t="s">
        <v>13</v>
      </c>
      <c r="E165" s="7">
        <v>45717</v>
      </c>
      <c r="F165" s="6"/>
      <c r="G165" s="5" t="str">
        <f t="shared" si="11"/>
        <v>Ingreso</v>
      </c>
      <c r="H165" s="4"/>
      <c r="I165" s="4"/>
    </row>
    <row r="166" spans="1:9" ht="13.95" customHeight="1" x14ac:dyDescent="0.2">
      <c r="A166" s="5" t="str">
        <f t="shared" si="10"/>
        <v>Centro</v>
      </c>
      <c r="B166" s="5" t="s">
        <v>3</v>
      </c>
      <c r="C166" s="5" t="s">
        <v>6</v>
      </c>
      <c r="D166" s="5" t="s">
        <v>13</v>
      </c>
      <c r="E166" s="7">
        <v>45717</v>
      </c>
      <c r="F166" s="6"/>
      <c r="G166" s="5" t="str">
        <f t="shared" si="11"/>
        <v>Ingreso</v>
      </c>
      <c r="H166" s="4"/>
      <c r="I166" s="4"/>
    </row>
    <row r="167" spans="1:9" ht="13.95" customHeight="1" x14ac:dyDescent="0.2">
      <c r="A167" s="5" t="str">
        <f t="shared" si="10"/>
        <v>San Telmo</v>
      </c>
      <c r="B167" s="5" t="s">
        <v>3</v>
      </c>
      <c r="C167" s="5" t="s">
        <v>5</v>
      </c>
      <c r="D167" s="5" t="s">
        <v>13</v>
      </c>
      <c r="E167" s="7">
        <v>45717</v>
      </c>
      <c r="F167" s="6"/>
      <c r="G167" s="5" t="str">
        <f t="shared" si="11"/>
        <v>Ingreso</v>
      </c>
      <c r="H167" s="4"/>
      <c r="I167" s="4"/>
    </row>
    <row r="168" spans="1:9" ht="13.95" customHeight="1" x14ac:dyDescent="0.2">
      <c r="A168" s="5" t="str">
        <f t="shared" si="10"/>
        <v>San Telmo</v>
      </c>
      <c r="B168" s="5" t="s">
        <v>3</v>
      </c>
      <c r="C168" s="5" t="s">
        <v>4</v>
      </c>
      <c r="D168" s="5" t="s">
        <v>13</v>
      </c>
      <c r="E168" s="7">
        <v>45717</v>
      </c>
      <c r="F168" s="6"/>
      <c r="G168" s="5" t="str">
        <f t="shared" si="11"/>
        <v>Ingreso</v>
      </c>
      <c r="H168" s="4"/>
      <c r="I168" s="4"/>
    </row>
    <row r="169" spans="1:9" ht="13.95" customHeight="1" x14ac:dyDescent="0.2">
      <c r="A169" s="5" t="str">
        <f t="shared" si="10"/>
        <v>San Telmo</v>
      </c>
      <c r="B169" s="5" t="s">
        <v>3</v>
      </c>
      <c r="C169" s="5" t="s">
        <v>2</v>
      </c>
      <c r="D169" s="5" t="s">
        <v>13</v>
      </c>
      <c r="E169" s="7">
        <v>45717</v>
      </c>
      <c r="F169" s="6"/>
      <c r="G169" s="5" t="str">
        <f t="shared" si="11"/>
        <v>Ingreso</v>
      </c>
      <c r="H169" s="4"/>
      <c r="I169" s="4"/>
    </row>
    <row r="170" spans="1:9" ht="13.95" customHeight="1" x14ac:dyDescent="0.2">
      <c r="A170" s="5" t="str">
        <f t="shared" si="10"/>
        <v>Quilmes</v>
      </c>
      <c r="B170" s="5" t="s">
        <v>9</v>
      </c>
      <c r="C170" s="5" t="s">
        <v>10</v>
      </c>
      <c r="D170" s="5" t="s">
        <v>12</v>
      </c>
      <c r="E170" s="7">
        <v>45717</v>
      </c>
      <c r="F170" s="6"/>
      <c r="G170" s="5" t="str">
        <f t="shared" si="11"/>
        <v>Gasto</v>
      </c>
      <c r="H170" s="4"/>
      <c r="I170" s="4"/>
    </row>
    <row r="171" spans="1:9" ht="13.95" customHeight="1" x14ac:dyDescent="0.2">
      <c r="A171" s="5" t="str">
        <f t="shared" si="10"/>
        <v>San Telmo</v>
      </c>
      <c r="B171" s="5" t="s">
        <v>9</v>
      </c>
      <c r="C171" s="5" t="s">
        <v>5</v>
      </c>
      <c r="D171" s="5" t="s">
        <v>12</v>
      </c>
      <c r="E171" s="7">
        <v>45717</v>
      </c>
      <c r="F171" s="6"/>
      <c r="G171" s="5" t="str">
        <f t="shared" si="11"/>
        <v>Gasto</v>
      </c>
      <c r="H171" s="4"/>
      <c r="I171" s="4"/>
    </row>
    <row r="172" spans="1:9" ht="13.95" customHeight="1" x14ac:dyDescent="0.2">
      <c r="A172" s="5" t="str">
        <f t="shared" si="10"/>
        <v>Centro</v>
      </c>
      <c r="B172" s="5" t="s">
        <v>3</v>
      </c>
      <c r="C172" s="5" t="s">
        <v>8</v>
      </c>
      <c r="D172" s="5" t="s">
        <v>12</v>
      </c>
      <c r="E172" s="7">
        <v>45717</v>
      </c>
      <c r="F172" s="6"/>
      <c r="G172" s="5" t="str">
        <f t="shared" si="11"/>
        <v>Gasto</v>
      </c>
      <c r="H172" s="4"/>
      <c r="I172" s="4"/>
    </row>
    <row r="173" spans="1:9" ht="13.95" customHeight="1" x14ac:dyDescent="0.2">
      <c r="A173" s="5" t="str">
        <f t="shared" si="10"/>
        <v>Centro</v>
      </c>
      <c r="B173" s="5" t="s">
        <v>3</v>
      </c>
      <c r="C173" s="5" t="s">
        <v>7</v>
      </c>
      <c r="D173" s="5" t="s">
        <v>12</v>
      </c>
      <c r="E173" s="7">
        <v>45717</v>
      </c>
      <c r="F173" s="6"/>
      <c r="G173" s="5" t="str">
        <f t="shared" si="11"/>
        <v>Gasto</v>
      </c>
      <c r="H173" s="4"/>
      <c r="I173" s="4"/>
    </row>
    <row r="174" spans="1:9" ht="13.95" customHeight="1" x14ac:dyDescent="0.2">
      <c r="A174" s="5" t="str">
        <f t="shared" si="10"/>
        <v>Centro</v>
      </c>
      <c r="B174" s="5" t="s">
        <v>3</v>
      </c>
      <c r="C174" s="5" t="s">
        <v>6</v>
      </c>
      <c r="D174" s="5" t="s">
        <v>12</v>
      </c>
      <c r="E174" s="7">
        <v>45717</v>
      </c>
      <c r="F174" s="6"/>
      <c r="G174" s="5" t="str">
        <f t="shared" si="11"/>
        <v>Gasto</v>
      </c>
      <c r="H174" s="4"/>
      <c r="I174" s="4"/>
    </row>
    <row r="175" spans="1:9" ht="13.95" customHeight="1" x14ac:dyDescent="0.2">
      <c r="A175" s="5" t="str">
        <f t="shared" si="10"/>
        <v>San Telmo</v>
      </c>
      <c r="B175" s="5" t="s">
        <v>3</v>
      </c>
      <c r="C175" s="5" t="s">
        <v>5</v>
      </c>
      <c r="D175" s="5" t="s">
        <v>12</v>
      </c>
      <c r="E175" s="7">
        <v>45717</v>
      </c>
      <c r="F175" s="6"/>
      <c r="G175" s="5" t="str">
        <f t="shared" si="11"/>
        <v>Gasto</v>
      </c>
      <c r="H175" s="4"/>
      <c r="I175" s="4"/>
    </row>
    <row r="176" spans="1:9" ht="13.95" customHeight="1" x14ac:dyDescent="0.2">
      <c r="A176" s="5" t="str">
        <f t="shared" si="10"/>
        <v>San Telmo</v>
      </c>
      <c r="B176" s="5" t="s">
        <v>3</v>
      </c>
      <c r="C176" s="5" t="s">
        <v>4</v>
      </c>
      <c r="D176" s="5" t="s">
        <v>12</v>
      </c>
      <c r="E176" s="7">
        <v>45717</v>
      </c>
      <c r="F176" s="6"/>
      <c r="G176" s="5" t="str">
        <f t="shared" si="11"/>
        <v>Gasto</v>
      </c>
      <c r="H176" s="4"/>
      <c r="I176" s="4"/>
    </row>
    <row r="177" spans="1:9" ht="13.95" customHeight="1" x14ac:dyDescent="0.2">
      <c r="A177" s="5" t="str">
        <f t="shared" si="10"/>
        <v>San Telmo</v>
      </c>
      <c r="B177" s="5" t="s">
        <v>3</v>
      </c>
      <c r="C177" s="5" t="s">
        <v>2</v>
      </c>
      <c r="D177" s="5" t="s">
        <v>12</v>
      </c>
      <c r="E177" s="7">
        <v>45717</v>
      </c>
      <c r="F177" s="6"/>
      <c r="G177" s="5" t="str">
        <f t="shared" si="11"/>
        <v>Gasto</v>
      </c>
      <c r="H177" s="4"/>
      <c r="I177" s="4"/>
    </row>
    <row r="178" spans="1:9" ht="13.95" customHeight="1" x14ac:dyDescent="0.2">
      <c r="A178" s="5" t="str">
        <f t="shared" si="10"/>
        <v>Quilmes</v>
      </c>
      <c r="B178" s="5" t="s">
        <v>9</v>
      </c>
      <c r="C178" s="5" t="s">
        <v>10</v>
      </c>
      <c r="D178" s="5" t="s">
        <v>11</v>
      </c>
      <c r="E178" s="7">
        <v>45717</v>
      </c>
      <c r="F178" s="6"/>
      <c r="G178" s="5" t="str">
        <f t="shared" si="11"/>
        <v>Gasto</v>
      </c>
      <c r="H178" s="4"/>
      <c r="I178" s="4"/>
    </row>
    <row r="179" spans="1:9" ht="13.95" customHeight="1" x14ac:dyDescent="0.2">
      <c r="A179" s="5" t="str">
        <f t="shared" si="10"/>
        <v>San Telmo</v>
      </c>
      <c r="B179" s="5" t="s">
        <v>9</v>
      </c>
      <c r="C179" s="5" t="s">
        <v>5</v>
      </c>
      <c r="D179" s="5" t="s">
        <v>11</v>
      </c>
      <c r="E179" s="7">
        <v>45717</v>
      </c>
      <c r="F179" s="6"/>
      <c r="G179" s="5" t="str">
        <f t="shared" si="11"/>
        <v>Gasto</v>
      </c>
      <c r="H179" s="4"/>
      <c r="I179" s="4"/>
    </row>
    <row r="180" spans="1:9" ht="13.95" customHeight="1" x14ac:dyDescent="0.2">
      <c r="A180" s="5" t="str">
        <f t="shared" si="10"/>
        <v>Centro</v>
      </c>
      <c r="B180" s="5" t="s">
        <v>3</v>
      </c>
      <c r="C180" s="5" t="s">
        <v>8</v>
      </c>
      <c r="D180" s="5" t="s">
        <v>11</v>
      </c>
      <c r="E180" s="7">
        <v>45717</v>
      </c>
      <c r="F180" s="6"/>
      <c r="G180" s="5" t="str">
        <f t="shared" si="11"/>
        <v>Gasto</v>
      </c>
      <c r="H180" s="4"/>
      <c r="I180" s="4"/>
    </row>
    <row r="181" spans="1:9" ht="13.95" customHeight="1" x14ac:dyDescent="0.2">
      <c r="A181" s="5" t="str">
        <f t="shared" si="10"/>
        <v>Centro</v>
      </c>
      <c r="B181" s="5" t="s">
        <v>3</v>
      </c>
      <c r="C181" s="5" t="s">
        <v>7</v>
      </c>
      <c r="D181" s="5" t="s">
        <v>11</v>
      </c>
      <c r="E181" s="7">
        <v>45717</v>
      </c>
      <c r="F181" s="6"/>
      <c r="G181" s="5" t="str">
        <f t="shared" si="11"/>
        <v>Gasto</v>
      </c>
      <c r="H181" s="4"/>
      <c r="I181" s="4"/>
    </row>
    <row r="182" spans="1:9" ht="13.95" customHeight="1" x14ac:dyDescent="0.2">
      <c r="A182" s="5" t="str">
        <f t="shared" si="10"/>
        <v>Centro</v>
      </c>
      <c r="B182" s="5" t="s">
        <v>3</v>
      </c>
      <c r="C182" s="5" t="s">
        <v>6</v>
      </c>
      <c r="D182" s="5" t="s">
        <v>11</v>
      </c>
      <c r="E182" s="7">
        <v>45717</v>
      </c>
      <c r="F182" s="6"/>
      <c r="G182" s="5" t="str">
        <f t="shared" si="11"/>
        <v>Gasto</v>
      </c>
      <c r="H182" s="4"/>
      <c r="I182" s="4"/>
    </row>
    <row r="183" spans="1:9" ht="13.95" customHeight="1" x14ac:dyDescent="0.2">
      <c r="A183" s="5" t="str">
        <f t="shared" si="10"/>
        <v>San Telmo</v>
      </c>
      <c r="B183" s="5" t="s">
        <v>3</v>
      </c>
      <c r="C183" s="5" t="s">
        <v>5</v>
      </c>
      <c r="D183" s="5" t="s">
        <v>11</v>
      </c>
      <c r="E183" s="7">
        <v>45717</v>
      </c>
      <c r="F183" s="6"/>
      <c r="G183" s="5" t="str">
        <f t="shared" si="11"/>
        <v>Gasto</v>
      </c>
      <c r="H183" s="4"/>
      <c r="I183" s="4"/>
    </row>
    <row r="184" spans="1:9" ht="13.95" customHeight="1" x14ac:dyDescent="0.2">
      <c r="A184" s="5" t="str">
        <f t="shared" si="10"/>
        <v>San Telmo</v>
      </c>
      <c r="B184" s="5" t="s">
        <v>3</v>
      </c>
      <c r="C184" s="5" t="s">
        <v>4</v>
      </c>
      <c r="D184" s="5" t="s">
        <v>11</v>
      </c>
      <c r="E184" s="7">
        <v>45717</v>
      </c>
      <c r="F184" s="6"/>
      <c r="G184" s="5" t="str">
        <f t="shared" si="11"/>
        <v>Gasto</v>
      </c>
      <c r="H184" s="4"/>
      <c r="I184" s="4"/>
    </row>
    <row r="185" spans="1:9" ht="13.95" customHeight="1" x14ac:dyDescent="0.2">
      <c r="A185" s="5" t="str">
        <f t="shared" si="10"/>
        <v>San Telmo</v>
      </c>
      <c r="B185" s="5" t="s">
        <v>3</v>
      </c>
      <c r="C185" s="5" t="s">
        <v>2</v>
      </c>
      <c r="D185" s="5" t="s">
        <v>11</v>
      </c>
      <c r="E185" s="7">
        <v>45717</v>
      </c>
      <c r="F185" s="6"/>
      <c r="G185" s="5" t="str">
        <f t="shared" si="11"/>
        <v>Gasto</v>
      </c>
      <c r="H185" s="4"/>
      <c r="I185" s="4"/>
    </row>
    <row r="186" spans="1:9" ht="13.95" customHeight="1" x14ac:dyDescent="0.2">
      <c r="A186" s="5" t="str">
        <f t="shared" si="10"/>
        <v>Quilmes</v>
      </c>
      <c r="B186" s="5" t="s">
        <v>9</v>
      </c>
      <c r="C186" s="5" t="s">
        <v>10</v>
      </c>
      <c r="D186" s="5" t="s">
        <v>1</v>
      </c>
      <c r="E186" s="7">
        <v>45717</v>
      </c>
      <c r="F186" s="6"/>
      <c r="G186" s="5" t="str">
        <f t="shared" si="11"/>
        <v>Gasto</v>
      </c>
      <c r="H186" s="4"/>
      <c r="I186" s="4"/>
    </row>
    <row r="187" spans="1:9" ht="13.95" customHeight="1" x14ac:dyDescent="0.2">
      <c r="A187" s="5" t="str">
        <f t="shared" si="10"/>
        <v>San Telmo</v>
      </c>
      <c r="B187" s="5" t="s">
        <v>9</v>
      </c>
      <c r="C187" s="5" t="s">
        <v>5</v>
      </c>
      <c r="D187" s="5" t="s">
        <v>1</v>
      </c>
      <c r="E187" s="7">
        <v>45717</v>
      </c>
      <c r="F187" s="6"/>
      <c r="G187" s="5" t="str">
        <f t="shared" si="11"/>
        <v>Gasto</v>
      </c>
      <c r="H187" s="4"/>
      <c r="I187" s="4"/>
    </row>
    <row r="188" spans="1:9" ht="13.95" customHeight="1" x14ac:dyDescent="0.2">
      <c r="A188" s="5" t="str">
        <f t="shared" si="10"/>
        <v>Centro</v>
      </c>
      <c r="B188" s="5" t="s">
        <v>3</v>
      </c>
      <c r="C188" s="5" t="s">
        <v>8</v>
      </c>
      <c r="D188" s="5" t="s">
        <v>1</v>
      </c>
      <c r="E188" s="7">
        <v>45717</v>
      </c>
      <c r="F188" s="6"/>
      <c r="G188" s="5" t="str">
        <f t="shared" si="11"/>
        <v>Gasto</v>
      </c>
      <c r="H188" s="4"/>
      <c r="I188" s="4"/>
    </row>
    <row r="189" spans="1:9" ht="13.95" customHeight="1" x14ac:dyDescent="0.2">
      <c r="A189" s="5" t="str">
        <f t="shared" si="10"/>
        <v>Centro</v>
      </c>
      <c r="B189" s="5" t="s">
        <v>3</v>
      </c>
      <c r="C189" s="5" t="s">
        <v>7</v>
      </c>
      <c r="D189" s="5" t="s">
        <v>1</v>
      </c>
      <c r="E189" s="7">
        <v>45717</v>
      </c>
      <c r="F189" s="6"/>
      <c r="G189" s="5" t="str">
        <f t="shared" si="11"/>
        <v>Gasto</v>
      </c>
      <c r="H189" s="4"/>
      <c r="I189" s="4"/>
    </row>
    <row r="190" spans="1:9" ht="13.95" customHeight="1" x14ac:dyDescent="0.2">
      <c r="A190" s="5" t="str">
        <f t="shared" si="10"/>
        <v>Centro</v>
      </c>
      <c r="B190" s="5" t="s">
        <v>3</v>
      </c>
      <c r="C190" s="5" t="s">
        <v>6</v>
      </c>
      <c r="D190" s="5" t="s">
        <v>1</v>
      </c>
      <c r="E190" s="7">
        <v>45717</v>
      </c>
      <c r="F190" s="6"/>
      <c r="G190" s="5" t="str">
        <f t="shared" si="11"/>
        <v>Gasto</v>
      </c>
      <c r="H190" s="4"/>
      <c r="I190" s="4"/>
    </row>
    <row r="191" spans="1:9" ht="13.95" customHeight="1" x14ac:dyDescent="0.2">
      <c r="A191" s="5" t="str">
        <f t="shared" si="10"/>
        <v>San Telmo</v>
      </c>
      <c r="B191" s="5" t="s">
        <v>3</v>
      </c>
      <c r="C191" s="5" t="s">
        <v>5</v>
      </c>
      <c r="D191" s="5" t="s">
        <v>1</v>
      </c>
      <c r="E191" s="7">
        <v>45717</v>
      </c>
      <c r="F191" s="6"/>
      <c r="G191" s="5" t="str">
        <f t="shared" si="11"/>
        <v>Gasto</v>
      </c>
      <c r="H191" s="4"/>
      <c r="I191" s="4"/>
    </row>
    <row r="192" spans="1:9" ht="13.95" customHeight="1" x14ac:dyDescent="0.2">
      <c r="A192" s="5" t="str">
        <f t="shared" si="10"/>
        <v>San Telmo</v>
      </c>
      <c r="B192" s="5" t="s">
        <v>3</v>
      </c>
      <c r="C192" s="5" t="s">
        <v>4</v>
      </c>
      <c r="D192" s="5" t="s">
        <v>1</v>
      </c>
      <c r="E192" s="7">
        <v>45717</v>
      </c>
      <c r="F192" s="6"/>
      <c r="G192" s="5" t="str">
        <f t="shared" si="11"/>
        <v>Gasto</v>
      </c>
      <c r="H192" s="4"/>
      <c r="I192" s="4"/>
    </row>
    <row r="193" spans="1:9" ht="13.95" customHeight="1" x14ac:dyDescent="0.2">
      <c r="A193" s="5" t="str">
        <f t="shared" si="10"/>
        <v>San Telmo</v>
      </c>
      <c r="B193" s="5" t="s">
        <v>3</v>
      </c>
      <c r="C193" s="5" t="s">
        <v>2</v>
      </c>
      <c r="D193" s="5" t="s">
        <v>1</v>
      </c>
      <c r="E193" s="7">
        <v>45717</v>
      </c>
      <c r="F193" s="6"/>
      <c r="G193" s="5" t="str">
        <f t="shared" si="11"/>
        <v>Gasto</v>
      </c>
      <c r="H193" s="4"/>
      <c r="I193" s="4"/>
    </row>
    <row r="197" spans="1:9" ht="13.95" customHeight="1" x14ac:dyDescent="0.2">
      <c r="A197" s="2" t="s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4D17-C72A-4058-8EEF-6E5383B3BAED}">
  <dimension ref="A1:H33"/>
  <sheetViews>
    <sheetView workbookViewId="0">
      <selection activeCell="I30" sqref="I30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11" bestFit="1" customWidth="1"/>
    <col min="4" max="6" width="12" bestFit="1" customWidth="1"/>
    <col min="7" max="7" width="7" bestFit="1" customWidth="1"/>
    <col min="8" max="10" width="12" bestFit="1" customWidth="1"/>
    <col min="11" max="11" width="11" bestFit="1" customWidth="1"/>
    <col min="12" max="12" width="13.77734375" bestFit="1" customWidth="1"/>
    <col min="13" max="15" width="12" bestFit="1" customWidth="1"/>
    <col min="16" max="16" width="13.77734375" bestFit="1" customWidth="1"/>
    <col min="17" max="19" width="12" bestFit="1" customWidth="1"/>
    <col min="20" max="20" width="13.77734375" bestFit="1" customWidth="1"/>
    <col min="21" max="21" width="12" bestFit="1" customWidth="1"/>
    <col min="22" max="22" width="9.5546875" bestFit="1" customWidth="1"/>
    <col min="23" max="23" width="10.88671875" bestFit="1" customWidth="1"/>
    <col min="24" max="24" width="13.77734375" bestFit="1" customWidth="1"/>
    <col min="25" max="25" width="11.44140625" bestFit="1" customWidth="1"/>
    <col min="26" max="27" width="12" bestFit="1" customWidth="1"/>
    <col min="28" max="28" width="7" bestFit="1" customWidth="1"/>
    <col min="29" max="29" width="14" bestFit="1" customWidth="1"/>
    <col min="30" max="30" width="12.5546875" bestFit="1" customWidth="1"/>
    <col min="31" max="31" width="12" bestFit="1" customWidth="1"/>
    <col min="32" max="32" width="11" bestFit="1" customWidth="1"/>
    <col min="33" max="34" width="12" bestFit="1" customWidth="1"/>
    <col min="35" max="35" width="7" bestFit="1" customWidth="1"/>
    <col min="36" max="36" width="15.33203125" bestFit="1" customWidth="1"/>
    <col min="37" max="37" width="15.44140625" bestFit="1" customWidth="1"/>
    <col min="38" max="41" width="12" bestFit="1" customWidth="1"/>
    <col min="42" max="42" width="7" bestFit="1" customWidth="1"/>
    <col min="43" max="43" width="18.33203125" bestFit="1" customWidth="1"/>
    <col min="44" max="48" width="12" bestFit="1" customWidth="1"/>
    <col min="49" max="49" width="7" bestFit="1" customWidth="1"/>
    <col min="50" max="50" width="18.33203125" bestFit="1" customWidth="1"/>
    <col min="51" max="51" width="12" bestFit="1" customWidth="1"/>
  </cols>
  <sheetData>
    <row r="1" spans="1:8" x14ac:dyDescent="0.3">
      <c r="A1" s="10" t="s">
        <v>22</v>
      </c>
      <c r="B1" t="s">
        <v>9</v>
      </c>
    </row>
    <row r="2" spans="1:8" x14ac:dyDescent="0.3">
      <c r="A2" s="10" t="s">
        <v>17</v>
      </c>
      <c r="B2" t="s">
        <v>25</v>
      </c>
    </row>
    <row r="3" spans="1:8" x14ac:dyDescent="0.3">
      <c r="A3" s="10" t="s">
        <v>20</v>
      </c>
      <c r="B3" t="s">
        <v>5</v>
      </c>
    </row>
    <row r="4" spans="1:8" x14ac:dyDescent="0.3">
      <c r="A4" s="10" t="s">
        <v>21</v>
      </c>
      <c r="B4" t="s">
        <v>25</v>
      </c>
    </row>
    <row r="6" spans="1:8" x14ac:dyDescent="0.3">
      <c r="A6" s="10" t="s">
        <v>28</v>
      </c>
      <c r="B6" s="10" t="s">
        <v>26</v>
      </c>
    </row>
    <row r="7" spans="1:8" x14ac:dyDescent="0.3">
      <c r="A7" s="10" t="s">
        <v>29</v>
      </c>
      <c r="B7" s="11">
        <v>45566</v>
      </c>
      <c r="C7" s="11">
        <v>45597</v>
      </c>
      <c r="D7" s="11">
        <v>45627</v>
      </c>
      <c r="E7" s="11">
        <v>45658</v>
      </c>
      <c r="F7" s="11">
        <v>45689</v>
      </c>
      <c r="G7" s="11">
        <v>45717</v>
      </c>
      <c r="H7" s="11" t="s">
        <v>27</v>
      </c>
    </row>
    <row r="8" spans="1:8" x14ac:dyDescent="0.3">
      <c r="A8" s="12" t="s">
        <v>12</v>
      </c>
      <c r="B8">
        <v>1630700.79</v>
      </c>
      <c r="C8">
        <v>2306662.44</v>
      </c>
      <c r="D8">
        <v>2095161</v>
      </c>
      <c r="E8">
        <v>2821199.27</v>
      </c>
      <c r="F8">
        <v>2145942.77</v>
      </c>
      <c r="H8">
        <v>10999666.27</v>
      </c>
    </row>
    <row r="9" spans="1:8" x14ac:dyDescent="0.3">
      <c r="A9" s="12" t="s">
        <v>1</v>
      </c>
      <c r="B9">
        <v>164655.38710742129</v>
      </c>
      <c r="C9">
        <v>0</v>
      </c>
      <c r="D9">
        <v>218161.16</v>
      </c>
      <c r="E9">
        <v>193861.83666666667</v>
      </c>
      <c r="F9">
        <v>271100.95</v>
      </c>
      <c r="H9">
        <v>847779.33377408795</v>
      </c>
    </row>
    <row r="10" spans="1:8" x14ac:dyDescent="0.3">
      <c r="A10" s="12" t="s">
        <v>11</v>
      </c>
      <c r="B10">
        <v>3601426.8515400002</v>
      </c>
      <c r="C10">
        <v>3650327.46</v>
      </c>
      <c r="D10">
        <v>3098824.7220000001</v>
      </c>
      <c r="E10">
        <v>3500002.3482900006</v>
      </c>
      <c r="F10">
        <v>3213838.2395699997</v>
      </c>
      <c r="H10">
        <v>17064419.621399999</v>
      </c>
    </row>
    <row r="11" spans="1:8" x14ac:dyDescent="0.3">
      <c r="A11" s="12" t="s">
        <v>13</v>
      </c>
      <c r="B11">
        <v>21228068.695652176</v>
      </c>
      <c r="C11">
        <v>17536740</v>
      </c>
      <c r="D11">
        <v>19509198</v>
      </c>
      <c r="E11">
        <v>14424775</v>
      </c>
      <c r="F11">
        <v>14999900</v>
      </c>
      <c r="H11">
        <v>87698681.695652172</v>
      </c>
    </row>
    <row r="12" spans="1:8" x14ac:dyDescent="0.3">
      <c r="A12" s="12" t="s">
        <v>27</v>
      </c>
      <c r="B12">
        <v>26624851.724299595</v>
      </c>
      <c r="C12">
        <v>23493729.899999999</v>
      </c>
      <c r="D12">
        <v>24921344.881999999</v>
      </c>
      <c r="E12">
        <v>20939838.454956666</v>
      </c>
      <c r="F12">
        <v>20630781.959569998</v>
      </c>
      <c r="H12">
        <v>116610546.92082626</v>
      </c>
    </row>
    <row r="31" spans="2:6" x14ac:dyDescent="0.3">
      <c r="B31" s="29"/>
      <c r="C31" s="29"/>
      <c r="D31" s="29"/>
      <c r="E31" s="29"/>
      <c r="F31" s="29"/>
    </row>
    <row r="32" spans="2:6" x14ac:dyDescent="0.3">
      <c r="B32" s="29"/>
      <c r="C32" s="29"/>
      <c r="D32" s="29"/>
      <c r="E32" s="29"/>
      <c r="F32" s="29"/>
    </row>
    <row r="33" spans="2:6" x14ac:dyDescent="0.3">
      <c r="B33" s="29"/>
      <c r="C33" s="29"/>
      <c r="D33" s="29"/>
      <c r="E33" s="29"/>
      <c r="F33" s="29"/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23BD-2926-4971-A8D1-7F642088949C}">
  <dimension ref="B1:Q20"/>
  <sheetViews>
    <sheetView showGridLines="0" workbookViewId="0">
      <selection activeCell="Q15" sqref="Q15"/>
    </sheetView>
  </sheetViews>
  <sheetFormatPr baseColWidth="10" defaultRowHeight="14.4" x14ac:dyDescent="0.3"/>
  <cols>
    <col min="1" max="1" width="10.6640625" customWidth="1"/>
    <col min="2" max="2" width="14.6640625" bestFit="1" customWidth="1"/>
    <col min="3" max="7" width="10.6640625" customWidth="1"/>
    <col min="8" max="8" width="5.33203125" bestFit="1" customWidth="1"/>
    <col min="9" max="9" width="5.6640625" bestFit="1" customWidth="1"/>
    <col min="10" max="10" width="14.6640625" bestFit="1" customWidth="1"/>
    <col min="16" max="16" width="12.109375" bestFit="1" customWidth="1"/>
  </cols>
  <sheetData>
    <row r="1" spans="2:17" ht="22.8" x14ac:dyDescent="0.4">
      <c r="B1" s="47" t="s">
        <v>31</v>
      </c>
      <c r="C1" s="47"/>
      <c r="D1" s="47"/>
      <c r="E1" s="47"/>
      <c r="F1" s="47"/>
      <c r="G1" s="47"/>
      <c r="H1" s="18"/>
      <c r="I1" s="15"/>
    </row>
    <row r="3" spans="2:17" x14ac:dyDescent="0.3">
      <c r="J3" s="7" t="s">
        <v>18</v>
      </c>
      <c r="K3" s="7">
        <v>45566</v>
      </c>
      <c r="L3" s="7">
        <v>45597</v>
      </c>
      <c r="M3" s="7">
        <v>45627</v>
      </c>
      <c r="N3" s="7">
        <v>45658</v>
      </c>
      <c r="O3" s="7">
        <v>45689</v>
      </c>
      <c r="P3" s="7">
        <v>45717</v>
      </c>
      <c r="Q3" s="7">
        <v>45748</v>
      </c>
    </row>
    <row r="4" spans="2:17" x14ac:dyDescent="0.3">
      <c r="B4" s="13"/>
      <c r="C4" s="13"/>
      <c r="D4" s="13"/>
      <c r="E4" s="13"/>
      <c r="J4" s="7" t="s">
        <v>30</v>
      </c>
      <c r="K4" s="6">
        <v>112911.37043478261</v>
      </c>
      <c r="L4" s="6">
        <v>154160.45800000001</v>
      </c>
      <c r="M4" s="6">
        <v>144976.42300000001</v>
      </c>
      <c r="N4" s="6">
        <v>121223.20699999999</v>
      </c>
      <c r="O4" s="6">
        <v>90410.479000000007</v>
      </c>
      <c r="P4" s="6">
        <f>139108894/1000</f>
        <v>139108.894</v>
      </c>
      <c r="Q4" s="6">
        <f>98895340/1000</f>
        <v>98895.34</v>
      </c>
    </row>
    <row r="5" spans="2:17" x14ac:dyDescent="0.3">
      <c r="J5" s="7" t="s">
        <v>12</v>
      </c>
      <c r="K5" s="14">
        <f t="shared" ref="K5:Q5" si="0">C18/K$4</f>
        <v>8.3374292453898199E-2</v>
      </c>
      <c r="L5" s="14">
        <f t="shared" si="0"/>
        <v>9.5021066945714439E-2</v>
      </c>
      <c r="M5" s="14">
        <f t="shared" si="0"/>
        <v>8.1861965928073696E-2</v>
      </c>
      <c r="N5" s="14">
        <f t="shared" si="0"/>
        <v>0.11961605429231055</v>
      </c>
      <c r="O5" s="14">
        <f t="shared" si="0"/>
        <v>0.1388586064232665</v>
      </c>
      <c r="P5" s="14">
        <f t="shared" si="0"/>
        <v>0</v>
      </c>
      <c r="Q5" s="14">
        <f t="shared" si="0"/>
        <v>0</v>
      </c>
    </row>
    <row r="6" spans="2:17" x14ac:dyDescent="0.3">
      <c r="J6" s="7" t="s">
        <v>11</v>
      </c>
      <c r="K6" s="14">
        <f t="shared" ref="K6:Q7" si="1">C19/K$4</f>
        <v>0.11945001159870094</v>
      </c>
      <c r="L6" s="14">
        <f t="shared" si="1"/>
        <v>9.6397386157220669E-2</v>
      </c>
      <c r="M6" s="14">
        <f t="shared" si="1"/>
        <v>8.0042413617488692E-2</v>
      </c>
      <c r="N6" s="14">
        <f t="shared" si="1"/>
        <v>0.13091561599092164</v>
      </c>
      <c r="O6" s="14">
        <f t="shared" si="1"/>
        <v>0.1772262123036645</v>
      </c>
      <c r="P6" s="14">
        <f t="shared" si="1"/>
        <v>0</v>
      </c>
      <c r="Q6" s="14">
        <f t="shared" si="1"/>
        <v>0</v>
      </c>
    </row>
    <row r="7" spans="2:17" x14ac:dyDescent="0.3">
      <c r="J7" s="7" t="s">
        <v>1</v>
      </c>
      <c r="K7" s="14">
        <f t="shared" si="1"/>
        <v>8.2984988901595846E-3</v>
      </c>
      <c r="L7" s="14">
        <f t="shared" si="1"/>
        <v>1.4250608349905134E-2</v>
      </c>
      <c r="M7" s="14">
        <f t="shared" si="1"/>
        <v>1.6835864752988147E-2</v>
      </c>
      <c r="N7" s="14">
        <f t="shared" si="1"/>
        <v>2.1035569341658043E-2</v>
      </c>
      <c r="O7" s="14">
        <f t="shared" si="1"/>
        <v>2.5398939872887962E-2</v>
      </c>
      <c r="P7" s="14">
        <f t="shared" si="1"/>
        <v>0</v>
      </c>
      <c r="Q7" s="14">
        <f t="shared" si="1"/>
        <v>0</v>
      </c>
    </row>
    <row r="10" spans="2:17" x14ac:dyDescent="0.3">
      <c r="F10" s="13"/>
      <c r="N10" s="38"/>
    </row>
    <row r="11" spans="2:17" x14ac:dyDescent="0.3">
      <c r="F11" s="13"/>
      <c r="N11" s="38"/>
    </row>
    <row r="12" spans="2:17" x14ac:dyDescent="0.3">
      <c r="N12" s="38"/>
    </row>
    <row r="17" spans="2:7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</row>
    <row r="18" spans="2:7" x14ac:dyDescent="0.3">
      <c r="B18" s="16" t="s">
        <v>12</v>
      </c>
      <c r="C18" s="17">
        <v>9413.9056199999995</v>
      </c>
      <c r="D18" s="17">
        <v>14648.4912</v>
      </c>
      <c r="E18" s="17">
        <v>11868.055</v>
      </c>
      <c r="F18" s="17">
        <v>14500.24171</v>
      </c>
      <c r="G18" s="17">
        <v>12554.273120000002</v>
      </c>
    </row>
    <row r="19" spans="2:7" x14ac:dyDescent="0.3">
      <c r="B19" s="16" t="s">
        <v>11</v>
      </c>
      <c r="C19" s="17">
        <v>13487.264508060001</v>
      </c>
      <c r="D19" s="17">
        <v>14860.665199999999</v>
      </c>
      <c r="E19" s="17">
        <v>11604.262814550002</v>
      </c>
      <c r="F19" s="17">
        <v>15870.010816800002</v>
      </c>
      <c r="G19" s="17">
        <v>16023.106745730001</v>
      </c>
    </row>
    <row r="20" spans="2:7" x14ac:dyDescent="0.3">
      <c r="B20" s="16" t="s">
        <v>1</v>
      </c>
      <c r="C20" s="17">
        <v>936.99488223944115</v>
      </c>
      <c r="D20" s="17">
        <v>2196.88031</v>
      </c>
      <c r="E20" s="17">
        <v>2440.8034500000003</v>
      </c>
      <c r="F20" s="17">
        <v>2549.9991766666667</v>
      </c>
      <c r="G20" s="17">
        <v>2296.33032</v>
      </c>
    </row>
  </sheetData>
  <mergeCells count="1">
    <mergeCell ref="B1:G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E152-1CDE-4CD6-B6C5-1B1F8F12E268}">
  <dimension ref="B1:O20"/>
  <sheetViews>
    <sheetView showGridLines="0" workbookViewId="0">
      <selection activeCell="K27" sqref="K27"/>
    </sheetView>
  </sheetViews>
  <sheetFormatPr baseColWidth="10" defaultRowHeight="14.4" x14ac:dyDescent="0.3"/>
  <cols>
    <col min="1" max="1" width="10.6640625" customWidth="1"/>
    <col min="2" max="2" width="14.6640625" bestFit="1" customWidth="1"/>
    <col min="3" max="7" width="10.6640625" customWidth="1"/>
    <col min="8" max="8" width="5.33203125" bestFit="1" customWidth="1"/>
    <col min="9" max="9" width="5.6640625" bestFit="1" customWidth="1"/>
    <col min="10" max="10" width="14.6640625" bestFit="1" customWidth="1"/>
  </cols>
  <sheetData>
    <row r="1" spans="2:15" ht="22.8" x14ac:dyDescent="0.4">
      <c r="B1" s="47" t="s">
        <v>33</v>
      </c>
      <c r="C1" s="47"/>
      <c r="D1" s="47"/>
      <c r="E1" s="47"/>
      <c r="F1" s="47"/>
      <c r="G1" s="47"/>
      <c r="H1" s="18"/>
      <c r="I1" s="15"/>
    </row>
    <row r="3" spans="2:15" x14ac:dyDescent="0.3">
      <c r="J3" s="7" t="s">
        <v>18</v>
      </c>
      <c r="K3" s="7">
        <v>45566</v>
      </c>
      <c r="L3" s="7">
        <v>45597</v>
      </c>
      <c r="M3" s="7">
        <v>45627</v>
      </c>
      <c r="N3" s="7">
        <v>45658</v>
      </c>
      <c r="O3" s="7">
        <v>45689</v>
      </c>
    </row>
    <row r="4" spans="2:15" x14ac:dyDescent="0.3">
      <c r="B4" s="13"/>
      <c r="C4" s="13"/>
      <c r="D4" s="13"/>
      <c r="E4" s="13"/>
      <c r="J4" s="7" t="s">
        <v>30</v>
      </c>
      <c r="K4" s="6">
        <v>57598.330434782612</v>
      </c>
      <c r="L4" s="6">
        <v>76280.38</v>
      </c>
      <c r="M4" s="6">
        <v>70223.12</v>
      </c>
      <c r="N4" s="6">
        <v>58020.599000000002</v>
      </c>
      <c r="O4" s="6">
        <v>47945.03</v>
      </c>
    </row>
    <row r="5" spans="2:15" x14ac:dyDescent="0.3">
      <c r="J5" s="7" t="s">
        <v>12</v>
      </c>
      <c r="K5" s="14">
        <f>C18/K$4</f>
        <v>5.383243536044522E-2</v>
      </c>
      <c r="L5" s="14">
        <f>D18/L$4</f>
        <v>7.8879926135659001E-2</v>
      </c>
      <c r="M5" s="14">
        <f>E18/M$4</f>
        <v>7.0162704248971003E-2</v>
      </c>
      <c r="N5" s="14">
        <f>F18/N$4</f>
        <v>9.8917661639446347E-2</v>
      </c>
      <c r="O5" s="14">
        <f>G18/O$4</f>
        <v>0.1121948258244911</v>
      </c>
    </row>
    <row r="6" spans="2:15" x14ac:dyDescent="0.3">
      <c r="J6" s="7" t="s">
        <v>11</v>
      </c>
      <c r="K6" s="14">
        <f t="shared" ref="K6:O7" si="0">C19/K$4</f>
        <v>0.1101812922418947</v>
      </c>
      <c r="L6" s="14">
        <f t="shared" si="0"/>
        <v>0.10365175842071053</v>
      </c>
      <c r="M6" s="14">
        <f t="shared" si="0"/>
        <v>8.494942248364927E-2</v>
      </c>
      <c r="N6" s="14">
        <f t="shared" si="0"/>
        <v>0.1240411484212702</v>
      </c>
      <c r="O6" s="14">
        <f t="shared" si="0"/>
        <v>0.17088701420585203</v>
      </c>
    </row>
    <row r="7" spans="2:15" x14ac:dyDescent="0.3">
      <c r="J7" s="7" t="s">
        <v>1</v>
      </c>
      <c r="K7" s="14">
        <f t="shared" si="0"/>
        <v>6.2472271132235956E-3</v>
      </c>
      <c r="L7" s="14">
        <f t="shared" si="0"/>
        <v>1.7007419076832075E-2</v>
      </c>
      <c r="M7" s="14">
        <f t="shared" si="0"/>
        <v>8.8252927241056801E-3</v>
      </c>
      <c r="N7" s="14">
        <f t="shared" si="0"/>
        <v>9.2252514777840661E-3</v>
      </c>
      <c r="O7" s="14">
        <f t="shared" si="0"/>
        <v>1.443237787107444E-2</v>
      </c>
    </row>
    <row r="10" spans="2:15" x14ac:dyDescent="0.3">
      <c r="F10" s="13"/>
    </row>
    <row r="11" spans="2:15" x14ac:dyDescent="0.3">
      <c r="F11" s="13"/>
    </row>
    <row r="17" spans="2:7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</row>
    <row r="18" spans="2:7" x14ac:dyDescent="0.3">
      <c r="B18" s="16" t="s">
        <v>12</v>
      </c>
      <c r="C18" s="17">
        <v>3100.6583999999998</v>
      </c>
      <c r="D18" s="17">
        <v>6016.9907400000002</v>
      </c>
      <c r="E18" s="17">
        <v>4927.0439999999999</v>
      </c>
      <c r="F18" s="17">
        <v>5739.2619799999993</v>
      </c>
      <c r="G18" s="17">
        <v>5379.1842900000001</v>
      </c>
    </row>
    <row r="19" spans="2:7" x14ac:dyDescent="0.3">
      <c r="B19" s="16" t="s">
        <v>11</v>
      </c>
      <c r="C19" s="17">
        <v>6346.2584782800004</v>
      </c>
      <c r="D19" s="17">
        <v>7906.5955199999999</v>
      </c>
      <c r="E19" s="17">
        <v>5965.4134890000005</v>
      </c>
      <c r="F19" s="17">
        <v>7196.9417320500015</v>
      </c>
      <c r="G19" s="17">
        <v>8193.1830227100018</v>
      </c>
    </row>
    <row r="20" spans="2:7" x14ac:dyDescent="0.3">
      <c r="B20" s="16" t="s">
        <v>1</v>
      </c>
      <c r="C20" s="17">
        <v>359.82985156858575</v>
      </c>
      <c r="D20" s="17">
        <v>1297.3323899999998</v>
      </c>
      <c r="E20" s="17">
        <v>619.73959000000002</v>
      </c>
      <c r="F20" s="17">
        <v>535.25461666666672</v>
      </c>
      <c r="G20" s="17">
        <v>691.96079000000009</v>
      </c>
    </row>
  </sheetData>
  <mergeCells count="1">
    <mergeCell ref="B1:G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2437-E428-4116-A17E-5DEA793F08F1}">
  <sheetPr>
    <pageSetUpPr fitToPage="1"/>
  </sheetPr>
  <dimension ref="B1:AB44"/>
  <sheetViews>
    <sheetView showGridLines="0" zoomScale="80" zoomScaleNormal="80" workbookViewId="0">
      <selection activeCell="B1" sqref="B1:G1"/>
    </sheetView>
  </sheetViews>
  <sheetFormatPr baseColWidth="10" defaultRowHeight="14.4" x14ac:dyDescent="0.3"/>
  <cols>
    <col min="1" max="1" width="10.6640625" customWidth="1"/>
    <col min="2" max="2" width="15.77734375" bestFit="1" customWidth="1"/>
    <col min="3" max="7" width="10.6640625" customWidth="1"/>
    <col min="8" max="8" width="5.77734375" customWidth="1"/>
    <col min="9" max="9" width="15.77734375" bestFit="1" customWidth="1"/>
    <col min="10" max="14" width="10.6640625" customWidth="1"/>
    <col min="15" max="15" width="5.77734375" customWidth="1"/>
    <col min="16" max="16" width="15.77734375" bestFit="1" customWidth="1"/>
    <col min="17" max="21" width="10.6640625" customWidth="1"/>
    <col min="22" max="22" width="5.77734375" customWidth="1"/>
    <col min="23" max="23" width="15.77734375" bestFit="1" customWidth="1"/>
    <col min="24" max="28" width="10.6640625" customWidth="1"/>
    <col min="29" max="29" width="5.77734375" customWidth="1"/>
  </cols>
  <sheetData>
    <row r="1" spans="2:28" ht="22.8" x14ac:dyDescent="0.4">
      <c r="B1" s="47" t="s">
        <v>34</v>
      </c>
      <c r="C1" s="47"/>
      <c r="D1" s="47"/>
      <c r="E1" s="47"/>
      <c r="F1" s="47"/>
      <c r="G1" s="47"/>
      <c r="I1" s="47" t="s">
        <v>36</v>
      </c>
      <c r="J1" s="47"/>
      <c r="K1" s="47"/>
      <c r="L1" s="47"/>
      <c r="M1" s="47"/>
      <c r="N1" s="47"/>
      <c r="P1" s="47" t="s">
        <v>35</v>
      </c>
      <c r="Q1" s="47"/>
      <c r="R1" s="47"/>
      <c r="S1" s="47"/>
      <c r="T1" s="47"/>
      <c r="U1" s="47"/>
      <c r="W1" s="47"/>
      <c r="X1" s="47"/>
      <c r="Y1" s="47"/>
      <c r="Z1" s="47"/>
      <c r="AA1" s="47"/>
      <c r="AB1" s="47"/>
    </row>
    <row r="4" spans="2:28" x14ac:dyDescent="0.3">
      <c r="B4" s="13"/>
      <c r="C4" s="13"/>
      <c r="D4" s="13"/>
      <c r="E4" s="13"/>
      <c r="I4" s="13"/>
      <c r="J4" s="13"/>
      <c r="K4" s="13"/>
      <c r="L4" s="13"/>
      <c r="P4" s="13"/>
      <c r="Q4" s="13"/>
      <c r="R4" s="13"/>
      <c r="S4" s="13"/>
      <c r="W4" s="13"/>
      <c r="X4" s="13"/>
      <c r="Y4" s="13"/>
      <c r="Z4" s="13"/>
    </row>
    <row r="10" spans="2:28" x14ac:dyDescent="0.3">
      <c r="F10" s="13"/>
      <c r="M10" s="13"/>
      <c r="T10" s="13"/>
      <c r="AA10" s="13"/>
    </row>
    <row r="11" spans="2:28" x14ac:dyDescent="0.3">
      <c r="F11" s="13"/>
      <c r="M11" s="13"/>
      <c r="T11" s="13"/>
      <c r="AA11" s="13"/>
    </row>
    <row r="17" spans="2:28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I17" s="16" t="s">
        <v>18</v>
      </c>
      <c r="J17" s="16">
        <v>45566</v>
      </c>
      <c r="K17" s="16">
        <v>45597</v>
      </c>
      <c r="L17" s="16">
        <v>45627</v>
      </c>
      <c r="M17" s="16">
        <v>45658</v>
      </c>
      <c r="N17" s="16">
        <v>45689</v>
      </c>
      <c r="P17" s="16" t="s">
        <v>18</v>
      </c>
      <c r="Q17" s="16">
        <v>45566</v>
      </c>
      <c r="R17" s="16">
        <v>45597</v>
      </c>
      <c r="S17" s="16">
        <v>45627</v>
      </c>
      <c r="T17" s="16">
        <v>45658</v>
      </c>
      <c r="U17" s="16">
        <v>45689</v>
      </c>
      <c r="W17" s="30"/>
      <c r="X17" s="30"/>
      <c r="Y17" s="30"/>
      <c r="Z17" s="30"/>
      <c r="AA17" s="30"/>
      <c r="AB17" s="30"/>
    </row>
    <row r="18" spans="2:28" x14ac:dyDescent="0.3">
      <c r="B18" s="16" t="s">
        <v>12</v>
      </c>
      <c r="C18" s="17">
        <v>2471.4584</v>
      </c>
      <c r="D18" s="17">
        <v>3799.7697499999999</v>
      </c>
      <c r="E18" s="17">
        <v>3026.7379999999998</v>
      </c>
      <c r="F18" s="17">
        <v>3533.0752199999997</v>
      </c>
      <c r="G18" s="17">
        <v>3010.40533</v>
      </c>
      <c r="I18" s="16" t="s">
        <v>12</v>
      </c>
      <c r="J18" s="17">
        <v>290.39999999999998</v>
      </c>
      <c r="K18" s="17">
        <v>689.7</v>
      </c>
      <c r="L18" s="17">
        <v>771.40599999999995</v>
      </c>
      <c r="M18" s="17">
        <v>868.34</v>
      </c>
      <c r="N18" s="17">
        <v>953.19399999999996</v>
      </c>
      <c r="P18" s="16" t="s">
        <v>12</v>
      </c>
      <c r="Q18" s="21" t="s">
        <v>14</v>
      </c>
      <c r="R18" s="17">
        <v>1527.52099</v>
      </c>
      <c r="S18" s="17">
        <v>1128.9000000000001</v>
      </c>
      <c r="T18" s="17">
        <v>1337.8467599999999</v>
      </c>
      <c r="U18" s="17">
        <v>1415.5849599999999</v>
      </c>
      <c r="W18" s="30"/>
      <c r="X18" s="31"/>
      <c r="Y18" s="32"/>
      <c r="Z18" s="32"/>
      <c r="AA18" s="32"/>
      <c r="AB18" s="32"/>
    </row>
    <row r="19" spans="2:28" x14ac:dyDescent="0.3">
      <c r="B19" s="16" t="s">
        <v>11</v>
      </c>
      <c r="C19" s="17">
        <v>3789.3844598400005</v>
      </c>
      <c r="D19" s="17">
        <v>3166.66957</v>
      </c>
      <c r="E19" s="17">
        <v>2193.4414530000004</v>
      </c>
      <c r="F19" s="17">
        <v>2433.2434774200005</v>
      </c>
      <c r="G19" s="17">
        <v>2525.0345725500001</v>
      </c>
      <c r="I19" s="16" t="s">
        <v>11</v>
      </c>
      <c r="J19" s="17">
        <v>2556.8740184400003</v>
      </c>
      <c r="K19" s="17">
        <v>2710.7146299999999</v>
      </c>
      <c r="L19" s="17">
        <v>2228.679936</v>
      </c>
      <c r="M19" s="17">
        <v>2954.2484525400005</v>
      </c>
      <c r="N19" s="17">
        <v>3743.5654185300004</v>
      </c>
      <c r="P19" s="16" t="s">
        <v>11</v>
      </c>
      <c r="Q19" s="21" t="s">
        <v>14</v>
      </c>
      <c r="R19" s="17">
        <v>2029.2113200000001</v>
      </c>
      <c r="S19" s="17">
        <v>1543.2921000000001</v>
      </c>
      <c r="T19" s="17">
        <v>1809.4498020900003</v>
      </c>
      <c r="U19" s="17">
        <v>1924.5830316300001</v>
      </c>
      <c r="W19" s="30"/>
      <c r="X19" s="31"/>
      <c r="Y19" s="32"/>
      <c r="Z19" s="32"/>
      <c r="AA19" s="32"/>
      <c r="AB19" s="32"/>
    </row>
    <row r="20" spans="2:28" x14ac:dyDescent="0.3">
      <c r="B20" s="16" t="s">
        <v>1</v>
      </c>
      <c r="C20" s="17">
        <v>210.54637080425931</v>
      </c>
      <c r="D20" s="17">
        <v>1055.3450500000001</v>
      </c>
      <c r="E20" s="17">
        <v>161.56842</v>
      </c>
      <c r="F20" s="17">
        <v>166.50455666666667</v>
      </c>
      <c r="G20" s="17">
        <v>237.51</v>
      </c>
      <c r="I20" s="16" t="s">
        <v>1</v>
      </c>
      <c r="J20" s="17">
        <v>149.28348076432644</v>
      </c>
      <c r="K20" s="17">
        <v>234.48770999999999</v>
      </c>
      <c r="L20" s="17">
        <v>345.40648999999996</v>
      </c>
      <c r="M20" s="17">
        <v>285.28901000000002</v>
      </c>
      <c r="N20" s="17">
        <v>336.25414000000001</v>
      </c>
      <c r="P20" s="16" t="s">
        <v>1</v>
      </c>
      <c r="Q20" s="21" t="s">
        <v>14</v>
      </c>
      <c r="R20" s="17">
        <v>7.4996299999999998</v>
      </c>
      <c r="S20" s="17">
        <v>112.76468</v>
      </c>
      <c r="T20" s="17">
        <v>83.46105</v>
      </c>
      <c r="U20" s="17">
        <v>118.19665000000001</v>
      </c>
      <c r="W20" s="30"/>
      <c r="X20" s="31"/>
      <c r="Y20" s="32"/>
      <c r="Z20" s="32"/>
      <c r="AA20" s="32"/>
      <c r="AB20" s="32"/>
    </row>
    <row r="40" spans="2:28" x14ac:dyDescent="0.3">
      <c r="B40" s="7" t="s">
        <v>18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I40" s="7" t="s">
        <v>18</v>
      </c>
      <c r="J40" s="7">
        <v>45566</v>
      </c>
      <c r="K40" s="7">
        <v>45597</v>
      </c>
      <c r="L40" s="7">
        <v>45627</v>
      </c>
      <c r="M40" s="7">
        <v>45658</v>
      </c>
      <c r="N40" s="7">
        <v>45689</v>
      </c>
      <c r="P40" s="7" t="s">
        <v>18</v>
      </c>
      <c r="Q40" s="7">
        <v>45566</v>
      </c>
      <c r="R40" s="7">
        <v>45597</v>
      </c>
      <c r="S40" s="7">
        <v>45627</v>
      </c>
      <c r="T40" s="7">
        <v>45658</v>
      </c>
      <c r="U40" s="7">
        <v>45689</v>
      </c>
      <c r="W40" s="30"/>
      <c r="X40" s="30"/>
      <c r="Y40" s="30"/>
      <c r="Z40" s="30"/>
      <c r="AA40" s="30"/>
      <c r="AB40" s="30"/>
    </row>
    <row r="41" spans="2:28" x14ac:dyDescent="0.3">
      <c r="B41" s="7" t="s">
        <v>30</v>
      </c>
      <c r="C41" s="6">
        <v>37017.71043478261</v>
      </c>
      <c r="D41" s="6">
        <v>43480.13</v>
      </c>
      <c r="E41" s="6">
        <v>41362.06</v>
      </c>
      <c r="F41" s="6">
        <v>40058.419000000002</v>
      </c>
      <c r="G41" s="6">
        <v>32509.360000000001</v>
      </c>
      <c r="I41" s="7" t="s">
        <v>30</v>
      </c>
      <c r="J41" s="6">
        <v>15939.080000000002</v>
      </c>
      <c r="K41" s="6">
        <v>20913.61</v>
      </c>
      <c r="L41" s="6">
        <v>21646.78</v>
      </c>
      <c r="M41" s="6">
        <v>15489.47</v>
      </c>
      <c r="N41" s="6">
        <v>10874.15</v>
      </c>
      <c r="P41" s="7" t="s">
        <v>30</v>
      </c>
      <c r="Q41" s="20" t="s">
        <v>14</v>
      </c>
      <c r="R41" s="6">
        <v>11886.64</v>
      </c>
      <c r="S41" s="6">
        <v>7214.28</v>
      </c>
      <c r="T41" s="6">
        <v>2472.71</v>
      </c>
      <c r="U41" s="6">
        <v>4561.5200000000004</v>
      </c>
      <c r="W41" s="30"/>
      <c r="X41" s="31"/>
      <c r="Y41" s="32"/>
      <c r="Z41" s="32"/>
      <c r="AA41" s="32"/>
      <c r="AB41" s="32"/>
    </row>
    <row r="42" spans="2:28" x14ac:dyDescent="0.3">
      <c r="B42" s="7" t="s">
        <v>12</v>
      </c>
      <c r="C42" s="14">
        <f>C18/C$41</f>
        <v>6.6764215586865863E-2</v>
      </c>
      <c r="D42" s="14">
        <f>D18/D$41</f>
        <v>8.739094731317501E-2</v>
      </c>
      <c r="E42" s="14">
        <f>E18/E$41</f>
        <v>7.3176674469308353E-2</v>
      </c>
      <c r="F42" s="14">
        <f>F18/F$41</f>
        <v>8.8198069424557157E-2</v>
      </c>
      <c r="G42" s="14">
        <f>G18/G$41</f>
        <v>9.2601187165788565E-2</v>
      </c>
      <c r="I42" s="7" t="s">
        <v>12</v>
      </c>
      <c r="J42" s="14">
        <f>J18/J$41</f>
        <v>1.8219370252235384E-2</v>
      </c>
      <c r="K42" s="14">
        <f>K18/K$41</f>
        <v>3.2978524511071979E-2</v>
      </c>
      <c r="L42" s="14">
        <f>L18/L$41</f>
        <v>3.5636062268845525E-2</v>
      </c>
      <c r="M42" s="14">
        <f>M18/M$41</f>
        <v>5.6060020129804315E-2</v>
      </c>
      <c r="N42" s="14">
        <f>N18/N$41</f>
        <v>8.7656874330407433E-2</v>
      </c>
      <c r="P42" s="7" t="s">
        <v>12</v>
      </c>
      <c r="Q42" s="20" t="s">
        <v>14</v>
      </c>
      <c r="R42" s="14">
        <f>R18/R$41</f>
        <v>0.12850738223753727</v>
      </c>
      <c r="S42" s="14">
        <f>S18/S$41</f>
        <v>0.1564813120644056</v>
      </c>
      <c r="T42" s="14">
        <f>T18/T$41</f>
        <v>0.54104474847434592</v>
      </c>
      <c r="U42" s="14">
        <f>U18/U$41</f>
        <v>0.31033185429418259</v>
      </c>
      <c r="W42" s="30"/>
      <c r="X42" s="31"/>
      <c r="Y42" s="33"/>
      <c r="Z42" s="33"/>
      <c r="AA42" s="33"/>
      <c r="AB42" s="33"/>
    </row>
    <row r="43" spans="2:28" x14ac:dyDescent="0.3">
      <c r="B43" s="7" t="s">
        <v>11</v>
      </c>
      <c r="C43" s="14">
        <f t="shared" ref="C43" si="0">C19/C$41</f>
        <v>0.10236679727980735</v>
      </c>
      <c r="D43" s="14">
        <f t="shared" ref="D43" si="1">D19/D$41</f>
        <v>7.2830269136729811E-2</v>
      </c>
      <c r="E43" s="14">
        <f t="shared" ref="E43" si="2">E19/E$41</f>
        <v>5.3030275885678817E-2</v>
      </c>
      <c r="F43" s="14">
        <f t="shared" ref="F43:G44" si="3">F19/F$41</f>
        <v>6.0742374216516147E-2</v>
      </c>
      <c r="G43" s="14">
        <f t="shared" si="3"/>
        <v>7.7671002214439164E-2</v>
      </c>
      <c r="I43" s="7" t="s">
        <v>11</v>
      </c>
      <c r="J43" s="14">
        <f t="shared" ref="J43:N43" si="4">J19/J$41</f>
        <v>0.16041540781776614</v>
      </c>
      <c r="K43" s="14">
        <f t="shared" si="4"/>
        <v>0.12961485989267277</v>
      </c>
      <c r="L43" s="14">
        <f t="shared" si="4"/>
        <v>0.10295664925684098</v>
      </c>
      <c r="M43" s="14">
        <f t="shared" si="4"/>
        <v>0.19072624515493433</v>
      </c>
      <c r="N43" s="14">
        <f t="shared" si="4"/>
        <v>0.34426280845215496</v>
      </c>
      <c r="P43" s="7" t="s">
        <v>11</v>
      </c>
      <c r="Q43" s="20" t="s">
        <v>14</v>
      </c>
      <c r="R43" s="14">
        <f t="shared" ref="R43:U43" si="5">R19/R$41</f>
        <v>0.17071361797783058</v>
      </c>
      <c r="S43" s="14">
        <f t="shared" si="5"/>
        <v>0.21392184667076966</v>
      </c>
      <c r="T43" s="14">
        <f t="shared" si="5"/>
        <v>0.73176789922392849</v>
      </c>
      <c r="U43" s="14">
        <f t="shared" si="5"/>
        <v>0.42191704336054647</v>
      </c>
      <c r="W43" s="30"/>
      <c r="X43" s="31"/>
      <c r="Y43" s="33"/>
      <c r="Z43" s="33"/>
      <c r="AA43" s="33"/>
      <c r="AB43" s="33"/>
    </row>
    <row r="44" spans="2:28" x14ac:dyDescent="0.3">
      <c r="B44" s="7" t="s">
        <v>1</v>
      </c>
      <c r="C44" s="14">
        <f t="shared" ref="C44" si="6">C20/C$41</f>
        <v>5.6877199678569412E-3</v>
      </c>
      <c r="D44" s="14">
        <f t="shared" ref="D44" si="7">D20/D$41</f>
        <v>2.4271892701332773E-2</v>
      </c>
      <c r="E44" s="14">
        <f t="shared" ref="E44" si="8">E20/E$41</f>
        <v>3.9061985790843109E-3</v>
      </c>
      <c r="F44" s="14">
        <f t="shared" si="3"/>
        <v>4.156543388960674E-3</v>
      </c>
      <c r="G44" s="14">
        <f t="shared" si="3"/>
        <v>7.305895901980229E-3</v>
      </c>
      <c r="I44" s="7" t="s">
        <v>1</v>
      </c>
      <c r="J44" s="14">
        <f t="shared" ref="J44:N44" si="9">J20/J$41</f>
        <v>9.3658781287456003E-3</v>
      </c>
      <c r="K44" s="14">
        <f t="shared" si="9"/>
        <v>1.1212206309671071E-2</v>
      </c>
      <c r="L44" s="14">
        <f t="shared" si="9"/>
        <v>1.5956483597098507E-2</v>
      </c>
      <c r="M44" s="14">
        <f t="shared" si="9"/>
        <v>1.8418255111375667E-2</v>
      </c>
      <c r="N44" s="14">
        <f t="shared" si="9"/>
        <v>3.0922337837899976E-2</v>
      </c>
      <c r="P44" s="7" t="s">
        <v>1</v>
      </c>
      <c r="Q44" s="20" t="s">
        <v>14</v>
      </c>
      <c r="R44" s="14">
        <f t="shared" ref="R44:U44" si="10">R20/R$41</f>
        <v>6.3092934588748382E-4</v>
      </c>
      <c r="S44" s="14">
        <f t="shared" si="10"/>
        <v>1.563076010357236E-2</v>
      </c>
      <c r="T44" s="14">
        <f t="shared" si="10"/>
        <v>3.3752866288404217E-2</v>
      </c>
      <c r="U44" s="14">
        <f t="shared" si="10"/>
        <v>2.5911680755537625E-2</v>
      </c>
      <c r="W44" s="30"/>
      <c r="X44" s="31"/>
      <c r="Y44" s="33"/>
      <c r="Z44" s="33"/>
      <c r="AA44" s="33"/>
      <c r="AB44" s="33"/>
    </row>
  </sheetData>
  <mergeCells count="4">
    <mergeCell ref="W1:AB1"/>
    <mergeCell ref="B1:G1"/>
    <mergeCell ref="I1:N1"/>
    <mergeCell ref="P1:U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E78B-74BA-4537-8054-9F3EBAB1CF6A}">
  <dimension ref="B1:O24"/>
  <sheetViews>
    <sheetView showGridLines="0" workbookViewId="0">
      <selection activeCell="N19" sqref="N19"/>
    </sheetView>
  </sheetViews>
  <sheetFormatPr baseColWidth="10" defaultRowHeight="14.4" x14ac:dyDescent="0.3"/>
  <cols>
    <col min="1" max="1" width="10.6640625" customWidth="1"/>
    <col min="2" max="2" width="14.6640625" bestFit="1" customWidth="1"/>
    <col min="3" max="7" width="10.6640625" customWidth="1"/>
    <col min="8" max="8" width="5.33203125" bestFit="1" customWidth="1"/>
    <col min="9" max="9" width="5.6640625" bestFit="1" customWidth="1"/>
    <col min="10" max="10" width="14.6640625" bestFit="1" customWidth="1"/>
  </cols>
  <sheetData>
    <row r="1" spans="2:15" ht="22.8" x14ac:dyDescent="0.4">
      <c r="B1" s="47" t="s">
        <v>32</v>
      </c>
      <c r="C1" s="47"/>
      <c r="D1" s="47"/>
      <c r="E1" s="47"/>
      <c r="F1" s="47"/>
      <c r="G1" s="47"/>
      <c r="H1" s="18"/>
      <c r="I1" s="15"/>
    </row>
    <row r="3" spans="2:15" x14ac:dyDescent="0.3">
      <c r="J3" s="7" t="s">
        <v>18</v>
      </c>
      <c r="K3" s="7">
        <v>45566</v>
      </c>
      <c r="L3" s="7">
        <v>45597</v>
      </c>
      <c r="M3" s="7">
        <v>45627</v>
      </c>
      <c r="N3" s="7">
        <v>45658</v>
      </c>
      <c r="O3" s="7">
        <v>45689</v>
      </c>
    </row>
    <row r="4" spans="2:15" x14ac:dyDescent="0.3">
      <c r="B4" s="13"/>
      <c r="C4" s="13"/>
      <c r="D4" s="13"/>
      <c r="E4" s="13"/>
      <c r="J4" s="7" t="s">
        <v>30</v>
      </c>
      <c r="K4" s="6">
        <v>55313.04</v>
      </c>
      <c r="L4" s="6">
        <v>77880.077999999994</v>
      </c>
      <c r="M4" s="6">
        <v>74753.303</v>
      </c>
      <c r="N4" s="6">
        <v>63202.608</v>
      </c>
      <c r="O4" s="6">
        <v>42465.449000000001</v>
      </c>
    </row>
    <row r="5" spans="2:15" x14ac:dyDescent="0.3">
      <c r="J5" s="7" t="s">
        <v>12</v>
      </c>
      <c r="K5" s="14">
        <f>C18/K$4</f>
        <v>0.11413668856385401</v>
      </c>
      <c r="L5" s="14">
        <f>D18/L$4</f>
        <v>0.11083066018500909</v>
      </c>
      <c r="M5" s="14">
        <f>E18/M$4</f>
        <v>9.2852231559587411E-2</v>
      </c>
      <c r="N5" s="14">
        <f>F18/N$4</f>
        <v>0.13861737683356359</v>
      </c>
      <c r="O5" s="14">
        <f>G18/O$4</f>
        <v>0.16896298046913386</v>
      </c>
    </row>
    <row r="6" spans="2:15" x14ac:dyDescent="0.3">
      <c r="J6" s="7" t="s">
        <v>11</v>
      </c>
      <c r="K6" s="14">
        <f t="shared" ref="K6:O7" si="0">C19/K$4</f>
        <v>0.12910167348928933</v>
      </c>
      <c r="L6" s="14">
        <f t="shared" si="0"/>
        <v>8.9292022537522373E-2</v>
      </c>
      <c r="M6" s="14">
        <f t="shared" si="0"/>
        <v>7.5432778208475951E-2</v>
      </c>
      <c r="N6" s="14">
        <f t="shared" si="0"/>
        <v>0.13722644300928216</v>
      </c>
      <c r="O6" s="14">
        <f t="shared" si="0"/>
        <v>0.1843833965589296</v>
      </c>
    </row>
    <row r="7" spans="2:15" x14ac:dyDescent="0.3">
      <c r="J7" s="7" t="s">
        <v>1</v>
      </c>
      <c r="K7" s="14">
        <f t="shared" si="0"/>
        <v>1.0434520154214186E-2</v>
      </c>
      <c r="L7" s="14">
        <f t="shared" si="0"/>
        <v>1.1550423973638035E-2</v>
      </c>
      <c r="M7" s="14">
        <f t="shared" si="0"/>
        <v>2.4360981881964471E-2</v>
      </c>
      <c r="N7" s="14">
        <f t="shared" si="0"/>
        <v>3.1877554166752108E-2</v>
      </c>
      <c r="O7" s="14">
        <f t="shared" si="0"/>
        <v>3.7780585576759118E-2</v>
      </c>
    </row>
    <row r="10" spans="2:15" x14ac:dyDescent="0.3">
      <c r="F10" s="13"/>
      <c r="O10" s="13"/>
    </row>
    <row r="11" spans="2:15" x14ac:dyDescent="0.3">
      <c r="F11" s="13"/>
    </row>
    <row r="17" spans="2:14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</row>
    <row r="18" spans="2:14" x14ac:dyDescent="0.3">
      <c r="B18" s="16" t="s">
        <v>12</v>
      </c>
      <c r="C18" s="17">
        <v>6313.2472199999993</v>
      </c>
      <c r="D18" s="17">
        <v>8631.5004600000011</v>
      </c>
      <c r="E18" s="17">
        <v>6941.0110000000004</v>
      </c>
      <c r="F18" s="17">
        <v>8760.9797300000009</v>
      </c>
      <c r="G18" s="17">
        <v>7175.0888299999997</v>
      </c>
    </row>
    <row r="19" spans="2:14" x14ac:dyDescent="0.3">
      <c r="B19" s="16" t="s">
        <v>11</v>
      </c>
      <c r="C19" s="17">
        <v>7141.0060297800001</v>
      </c>
      <c r="D19" s="17">
        <v>6954.0696799999996</v>
      </c>
      <c r="E19" s="17">
        <v>5638.8493255499998</v>
      </c>
      <c r="F19" s="17">
        <v>8673.0690847500009</v>
      </c>
      <c r="G19" s="17">
        <v>7829.9237230200006</v>
      </c>
    </row>
    <row r="20" spans="2:14" x14ac:dyDescent="0.3">
      <c r="B20" s="16" t="s">
        <v>1</v>
      </c>
      <c r="C20" s="17">
        <v>577.16503067085546</v>
      </c>
      <c r="D20" s="17">
        <v>899.54792000000009</v>
      </c>
      <c r="E20" s="17">
        <v>1821.0638600000002</v>
      </c>
      <c r="F20" s="17">
        <v>2014.7445600000001</v>
      </c>
      <c r="G20" s="17">
        <v>1604.3695299999999</v>
      </c>
      <c r="K20" s="19"/>
      <c r="L20" s="19"/>
      <c r="M20" s="19"/>
      <c r="N20" s="19"/>
    </row>
    <row r="22" spans="2:14" x14ac:dyDescent="0.3">
      <c r="K22" s="19"/>
      <c r="L22" s="19"/>
      <c r="M22" s="19"/>
      <c r="N22" s="19"/>
    </row>
    <row r="23" spans="2:14" x14ac:dyDescent="0.3">
      <c r="K23" s="19"/>
      <c r="L23" s="19"/>
      <c r="M23" s="19"/>
      <c r="N23" s="19"/>
    </row>
    <row r="24" spans="2:14" x14ac:dyDescent="0.3">
      <c r="K24" s="19"/>
      <c r="L24" s="19"/>
      <c r="M24" s="19"/>
      <c r="N24" s="19"/>
    </row>
  </sheetData>
  <mergeCells count="1">
    <mergeCell ref="B1:G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0195-CBFD-491F-A2E3-85E3E83272EC}">
  <sheetPr>
    <pageSetUpPr fitToPage="1"/>
  </sheetPr>
  <dimension ref="B1:AB52"/>
  <sheetViews>
    <sheetView showGridLines="0" topLeftCell="E1" zoomScaleNormal="100" workbookViewId="0">
      <selection activeCell="W20" sqref="W20"/>
    </sheetView>
  </sheetViews>
  <sheetFormatPr baseColWidth="10" defaultRowHeight="14.4" x14ac:dyDescent="0.3"/>
  <cols>
    <col min="1" max="1" width="10.6640625" customWidth="1"/>
    <col min="2" max="2" width="14.6640625" bestFit="1" customWidth="1"/>
    <col min="3" max="7" width="10.6640625" customWidth="1"/>
    <col min="8" max="8" width="5.77734375" customWidth="1"/>
    <col min="9" max="9" width="14.6640625" bestFit="1" customWidth="1"/>
    <col min="10" max="14" width="10.6640625" customWidth="1"/>
    <col min="15" max="15" width="5.77734375" customWidth="1"/>
    <col min="16" max="16" width="14.6640625" bestFit="1" customWidth="1"/>
    <col min="17" max="21" width="10.6640625" customWidth="1"/>
    <col min="22" max="22" width="7.21875" bestFit="1" customWidth="1"/>
    <col min="23" max="23" width="14.6640625" bestFit="1" customWidth="1"/>
    <col min="24" max="28" width="10.6640625" customWidth="1"/>
    <col min="29" max="29" width="5.77734375" customWidth="1"/>
  </cols>
  <sheetData>
    <row r="1" spans="2:28" ht="22.8" x14ac:dyDescent="0.4">
      <c r="B1" s="47" t="s">
        <v>37</v>
      </c>
      <c r="C1" s="47"/>
      <c r="D1" s="47"/>
      <c r="E1" s="47"/>
      <c r="F1" s="47"/>
      <c r="G1" s="47"/>
      <c r="I1" s="47" t="s">
        <v>38</v>
      </c>
      <c r="J1" s="47"/>
      <c r="K1" s="47"/>
      <c r="L1" s="47"/>
      <c r="M1" s="47"/>
      <c r="N1" s="47"/>
      <c r="P1" s="47" t="s">
        <v>39</v>
      </c>
      <c r="Q1" s="47"/>
      <c r="R1" s="47"/>
      <c r="S1" s="47"/>
      <c r="T1" s="47"/>
      <c r="U1" s="47"/>
      <c r="W1" s="47"/>
      <c r="X1" s="47"/>
      <c r="Y1" s="47"/>
      <c r="Z1" s="47"/>
      <c r="AA1" s="47"/>
      <c r="AB1" s="47"/>
    </row>
    <row r="4" spans="2:28" x14ac:dyDescent="0.3">
      <c r="B4" s="13"/>
      <c r="C4" s="13"/>
      <c r="D4" s="13"/>
      <c r="E4" s="13"/>
      <c r="I4" s="13"/>
      <c r="J4" s="13"/>
      <c r="K4" s="13"/>
      <c r="L4" s="13"/>
      <c r="P4" s="13"/>
      <c r="Q4" s="13"/>
      <c r="R4" s="13"/>
      <c r="S4" s="13"/>
      <c r="W4" s="13"/>
      <c r="X4" s="13"/>
      <c r="Y4" s="13"/>
      <c r="Z4" s="13"/>
    </row>
    <row r="10" spans="2:28" x14ac:dyDescent="0.3">
      <c r="F10" s="13"/>
      <c r="M10" s="13"/>
      <c r="T10" s="13"/>
      <c r="AA10" s="13"/>
    </row>
    <row r="11" spans="2:28" x14ac:dyDescent="0.3">
      <c r="F11" s="13"/>
      <c r="M11" s="13"/>
      <c r="T11" s="13"/>
      <c r="AA11" s="13"/>
    </row>
    <row r="17" spans="2:28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I17" s="16" t="s">
        <v>18</v>
      </c>
      <c r="J17" s="16">
        <v>45566</v>
      </c>
      <c r="K17" s="16">
        <v>45597</v>
      </c>
      <c r="L17" s="16">
        <v>45627</v>
      </c>
      <c r="M17" s="16">
        <v>45658</v>
      </c>
      <c r="N17" s="16">
        <v>45689</v>
      </c>
      <c r="P17" s="16" t="s">
        <v>18</v>
      </c>
      <c r="Q17" s="16">
        <v>45566</v>
      </c>
      <c r="R17" s="16">
        <v>45597</v>
      </c>
      <c r="S17" s="16">
        <v>45627</v>
      </c>
      <c r="T17" s="16">
        <v>45658</v>
      </c>
      <c r="U17" s="36">
        <v>45689</v>
      </c>
      <c r="W17" s="30"/>
      <c r="X17" s="30"/>
      <c r="Y17" s="30"/>
      <c r="Z17" s="30"/>
      <c r="AA17" s="30"/>
      <c r="AB17" s="30"/>
    </row>
    <row r="18" spans="2:28" x14ac:dyDescent="0.3">
      <c r="B18" s="16" t="s">
        <v>12</v>
      </c>
      <c r="C18" s="17">
        <v>2818.8159999999998</v>
      </c>
      <c r="D18" s="17">
        <v>4552.02898</v>
      </c>
      <c r="E18" s="17">
        <v>3222.9650000000001</v>
      </c>
      <c r="F18" s="17">
        <v>3772.4120800000001</v>
      </c>
      <c r="G18" s="17">
        <v>2402.0892000000003</v>
      </c>
      <c r="I18" s="16" t="s">
        <v>12</v>
      </c>
      <c r="J18" s="17">
        <v>3494.4312199999999</v>
      </c>
      <c r="K18" s="17">
        <v>4079.4714800000002</v>
      </c>
      <c r="L18" s="17">
        <v>3718.0459999999998</v>
      </c>
      <c r="M18" s="17">
        <v>3865.8588599999998</v>
      </c>
      <c r="N18" s="17">
        <v>3606.6129000000001</v>
      </c>
      <c r="P18" s="16" t="s">
        <v>12</v>
      </c>
      <c r="Q18" s="21" t="s">
        <v>14</v>
      </c>
      <c r="R18" s="21" t="s">
        <v>14</v>
      </c>
      <c r="S18" s="21" t="s">
        <v>14</v>
      </c>
      <c r="T18" s="17">
        <v>1122.7087900000001</v>
      </c>
      <c r="U18" s="37">
        <v>1166.3867299999999</v>
      </c>
      <c r="W18" s="30"/>
      <c r="X18" s="31"/>
      <c r="Y18" s="31"/>
      <c r="Z18" s="31"/>
      <c r="AA18" s="32"/>
      <c r="AB18" s="32"/>
    </row>
    <row r="19" spans="2:28" x14ac:dyDescent="0.3">
      <c r="B19" s="16" t="s">
        <v>11</v>
      </c>
      <c r="C19" s="17">
        <v>4652.9992996200008</v>
      </c>
      <c r="D19" s="17">
        <v>5145.0493499999993</v>
      </c>
      <c r="E19" s="17">
        <v>4223.3296140000002</v>
      </c>
      <c r="F19" s="17">
        <v>4472.0733002400002</v>
      </c>
      <c r="G19" s="17">
        <v>4562.9901903600003</v>
      </c>
      <c r="I19" s="16" t="s">
        <v>11</v>
      </c>
      <c r="J19" s="17">
        <v>2488.0067301600002</v>
      </c>
      <c r="K19" s="17">
        <v>1809.0203300000001</v>
      </c>
      <c r="L19" s="17">
        <v>1415.5197115499998</v>
      </c>
      <c r="M19" s="17">
        <v>2404.0088471700005</v>
      </c>
      <c r="N19" s="17">
        <v>2469.2441022900002</v>
      </c>
      <c r="P19" s="16" t="s">
        <v>11</v>
      </c>
      <c r="Q19" s="21" t="s">
        <v>14</v>
      </c>
      <c r="R19" s="21" t="s">
        <v>14</v>
      </c>
      <c r="S19" s="21" t="s">
        <v>14</v>
      </c>
      <c r="T19" s="17">
        <v>1796.9869373400002</v>
      </c>
      <c r="U19" s="37">
        <v>797.68943036999997</v>
      </c>
      <c r="W19" s="30"/>
      <c r="X19" s="31"/>
      <c r="Y19" s="31"/>
      <c r="Z19" s="31"/>
      <c r="AA19" s="32"/>
      <c r="AB19" s="32"/>
    </row>
    <row r="20" spans="2:28" x14ac:dyDescent="0.3">
      <c r="B20" s="16" t="s">
        <v>1</v>
      </c>
      <c r="C20" s="17">
        <v>465.61292398798395</v>
      </c>
      <c r="D20" s="17">
        <v>756.20258000000013</v>
      </c>
      <c r="E20" s="17">
        <v>1603.00109</v>
      </c>
      <c r="F20" s="17">
        <v>1727.7844300000002</v>
      </c>
      <c r="G20" s="17">
        <v>1353.6704399999999</v>
      </c>
      <c r="I20" s="16" t="s">
        <v>1</v>
      </c>
      <c r="J20" s="17">
        <v>111.55210668287141</v>
      </c>
      <c r="K20" s="17">
        <v>143.34533999999999</v>
      </c>
      <c r="L20" s="17">
        <v>218.06277</v>
      </c>
      <c r="M20" s="17">
        <v>185.58134000000001</v>
      </c>
      <c r="N20" s="17">
        <v>211.08492999999999</v>
      </c>
      <c r="P20" s="16" t="s">
        <v>1</v>
      </c>
      <c r="Q20" s="21" t="s">
        <v>14</v>
      </c>
      <c r="R20" s="21" t="s">
        <v>14</v>
      </c>
      <c r="S20" s="21" t="s">
        <v>14</v>
      </c>
      <c r="T20" s="17">
        <v>101.37879000000001</v>
      </c>
      <c r="U20" s="37">
        <v>39.614160000000005</v>
      </c>
      <c r="W20" s="30"/>
      <c r="X20" s="31"/>
      <c r="Y20" s="31"/>
      <c r="Z20" s="31"/>
      <c r="AA20" s="32"/>
      <c r="AB20" s="32"/>
    </row>
    <row r="40" spans="2:28" x14ac:dyDescent="0.3">
      <c r="B40" s="7" t="s">
        <v>18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I40" s="7" t="s">
        <v>18</v>
      </c>
      <c r="J40" s="7">
        <v>45566</v>
      </c>
      <c r="K40" s="7">
        <v>45597</v>
      </c>
      <c r="L40" s="7">
        <v>45627</v>
      </c>
      <c r="M40" s="7">
        <v>45658</v>
      </c>
      <c r="N40" s="7">
        <v>45689</v>
      </c>
      <c r="P40" s="7" t="s">
        <v>18</v>
      </c>
      <c r="Q40" s="7">
        <v>45566</v>
      </c>
      <c r="R40" s="7">
        <v>45597</v>
      </c>
      <c r="S40" s="7">
        <v>45627</v>
      </c>
      <c r="T40" s="7">
        <v>45658</v>
      </c>
      <c r="U40" s="7">
        <v>45689</v>
      </c>
      <c r="X40" s="30"/>
      <c r="Y40" s="30"/>
      <c r="Z40" s="30"/>
      <c r="AA40" s="30"/>
      <c r="AB40" s="30"/>
    </row>
    <row r="41" spans="2:28" x14ac:dyDescent="0.3">
      <c r="B41" s="7" t="s">
        <v>30</v>
      </c>
      <c r="C41" s="6">
        <v>35956.36</v>
      </c>
      <c r="D41" s="6">
        <v>53095.66</v>
      </c>
      <c r="E41" s="6">
        <v>45648.692999999999</v>
      </c>
      <c r="F41" s="6">
        <v>40118.678</v>
      </c>
      <c r="G41" s="6">
        <v>23978.278999999999</v>
      </c>
      <c r="I41" s="7" t="s">
        <v>30</v>
      </c>
      <c r="J41" s="6">
        <v>19356.68</v>
      </c>
      <c r="K41" s="6">
        <v>24784.418000000001</v>
      </c>
      <c r="L41" s="6">
        <v>29104.61</v>
      </c>
      <c r="M41" s="6">
        <v>20476.37</v>
      </c>
      <c r="N41" s="6">
        <v>15336.68</v>
      </c>
      <c r="P41" s="7" t="s">
        <v>30</v>
      </c>
      <c r="Q41" s="20" t="s">
        <v>14</v>
      </c>
      <c r="R41" s="20" t="s">
        <v>14</v>
      </c>
      <c r="S41" s="20" t="s">
        <v>14</v>
      </c>
      <c r="T41" s="6">
        <v>2607.56</v>
      </c>
      <c r="U41" s="6">
        <v>3150.49</v>
      </c>
      <c r="X41" s="31"/>
      <c r="Y41" s="31"/>
      <c r="Z41" s="31"/>
      <c r="AA41" s="32"/>
      <c r="AB41" s="32"/>
    </row>
    <row r="42" spans="2:28" x14ac:dyDescent="0.3">
      <c r="B42" s="7" t="s">
        <v>12</v>
      </c>
      <c r="C42" s="14">
        <f>C18/C$41</f>
        <v>7.8395477184008605E-2</v>
      </c>
      <c r="D42" s="14">
        <f>D18/D$41</f>
        <v>8.5732599990281683E-2</v>
      </c>
      <c r="E42" s="14">
        <f>E18/E$41</f>
        <v>7.0603664380927619E-2</v>
      </c>
      <c r="F42" s="14">
        <f>F18/F$41</f>
        <v>9.4031315787623915E-2</v>
      </c>
      <c r="G42" s="14">
        <f>G18/G$41</f>
        <v>0.10017771500615205</v>
      </c>
      <c r="I42" s="7" t="s">
        <v>12</v>
      </c>
      <c r="J42" s="14">
        <f>J18/J$41</f>
        <v>0.18052843876119251</v>
      </c>
      <c r="K42" s="14">
        <f>K18/K$41</f>
        <v>0.16459823587546013</v>
      </c>
      <c r="L42" s="14">
        <f>L18/L$41</f>
        <v>0.12774766609138552</v>
      </c>
      <c r="M42" s="14">
        <f>M18/M$41</f>
        <v>0.18879610302021305</v>
      </c>
      <c r="N42" s="14">
        <f>N18/N$41</f>
        <v>0.23516255799821081</v>
      </c>
      <c r="P42" s="7" t="s">
        <v>12</v>
      </c>
      <c r="Q42" s="20" t="s">
        <v>14</v>
      </c>
      <c r="R42" s="20" t="s">
        <v>14</v>
      </c>
      <c r="S42" s="20" t="s">
        <v>14</v>
      </c>
      <c r="T42" s="14">
        <f>T18/T$41</f>
        <v>0.43055913957876335</v>
      </c>
      <c r="U42" s="14">
        <f>U18/U$41</f>
        <v>0.37022391120111475</v>
      </c>
      <c r="X42" s="31"/>
      <c r="Y42" s="31"/>
      <c r="Z42" s="31"/>
      <c r="AA42" s="33"/>
      <c r="AB42" s="33"/>
    </row>
    <row r="43" spans="2:28" x14ac:dyDescent="0.3">
      <c r="B43" s="7" t="s">
        <v>11</v>
      </c>
      <c r="C43" s="14">
        <f t="shared" ref="C43" si="0">C19/C$41</f>
        <v>0.12940685040476846</v>
      </c>
      <c r="D43" s="14">
        <f t="shared" ref="D43" si="1">D19/D$41</f>
        <v>9.6901504755755916E-2</v>
      </c>
      <c r="E43" s="14">
        <f t="shared" ref="E43:F44" si="2">E19/E$41</f>
        <v>9.2518084011737209E-2</v>
      </c>
      <c r="F43" s="14">
        <f t="shared" si="2"/>
        <v>0.11147110331601655</v>
      </c>
      <c r="G43" s="14">
        <f t="shared" ref="G43" si="3">G19/G$41</f>
        <v>0.19029681781415592</v>
      </c>
      <c r="I43" s="7" t="s">
        <v>11</v>
      </c>
      <c r="J43" s="14">
        <f t="shared" ref="J43:L43" si="4">J19/J$41</f>
        <v>0.12853478644891583</v>
      </c>
      <c r="K43" s="14">
        <f t="shared" si="4"/>
        <v>7.2990228376554972E-2</v>
      </c>
      <c r="L43" s="14">
        <f t="shared" si="4"/>
        <v>4.8635584244214228E-2</v>
      </c>
      <c r="M43" s="14">
        <f t="shared" ref="M43:N43" si="5">M19/M$41</f>
        <v>0.11740405390066699</v>
      </c>
      <c r="N43" s="14">
        <f t="shared" si="5"/>
        <v>0.16100251829535467</v>
      </c>
      <c r="P43" s="7" t="s">
        <v>11</v>
      </c>
      <c r="Q43" s="20" t="s">
        <v>14</v>
      </c>
      <c r="R43" s="20" t="s">
        <v>14</v>
      </c>
      <c r="S43" s="20" t="s">
        <v>14</v>
      </c>
      <c r="T43" s="14">
        <f t="shared" ref="T43:U43" si="6">T19/T$41</f>
        <v>0.6891450004371904</v>
      </c>
      <c r="U43" s="14">
        <f t="shared" si="6"/>
        <v>0.25319535385606684</v>
      </c>
      <c r="X43" s="31"/>
      <c r="Y43" s="31"/>
      <c r="Z43" s="31"/>
      <c r="AA43" s="33"/>
      <c r="AB43" s="33"/>
    </row>
    <row r="44" spans="2:28" x14ac:dyDescent="0.3">
      <c r="B44" s="7" t="s">
        <v>1</v>
      </c>
      <c r="C44" s="14">
        <f t="shared" ref="C44" si="7">C20/C$41</f>
        <v>1.29493898711656E-2</v>
      </c>
      <c r="D44" s="14">
        <f t="shared" ref="D44" si="8">D20/D$41</f>
        <v>1.4242267258755237E-2</v>
      </c>
      <c r="E44" s="14">
        <f t="shared" si="2"/>
        <v>3.5116034757008266E-2</v>
      </c>
      <c r="F44" s="14">
        <f t="shared" si="2"/>
        <v>4.3066833608026669E-2</v>
      </c>
      <c r="G44" s="14">
        <f t="shared" ref="G44" si="9">G20/G$41</f>
        <v>5.6454028247815445E-2</v>
      </c>
      <c r="I44" s="7" t="s">
        <v>1</v>
      </c>
      <c r="J44" s="14">
        <f t="shared" ref="J44:L44" si="10">J20/J$41</f>
        <v>5.7629772607116206E-3</v>
      </c>
      <c r="K44" s="14">
        <f t="shared" si="10"/>
        <v>5.7836879607178985E-3</v>
      </c>
      <c r="L44" s="14">
        <f t="shared" si="10"/>
        <v>7.4923790423578945E-3</v>
      </c>
      <c r="M44" s="14">
        <f t="shared" ref="M44:N44" si="11">M20/M$41</f>
        <v>9.0631952831483325E-3</v>
      </c>
      <c r="N44" s="14">
        <f t="shared" si="11"/>
        <v>1.3763404465634021E-2</v>
      </c>
      <c r="P44" s="7" t="s">
        <v>1</v>
      </c>
      <c r="Q44" s="20" t="s">
        <v>14</v>
      </c>
      <c r="R44" s="20" t="s">
        <v>14</v>
      </c>
      <c r="S44" s="20" t="s">
        <v>14</v>
      </c>
      <c r="T44" s="14">
        <f t="shared" ref="T44:U44" si="12">T20/T$41</f>
        <v>3.8878794735308107E-2</v>
      </c>
      <c r="U44" s="14">
        <f t="shared" si="12"/>
        <v>1.2573967858967973E-2</v>
      </c>
      <c r="X44" s="31"/>
      <c r="Y44" s="31"/>
      <c r="Z44" s="31"/>
      <c r="AA44" s="33"/>
      <c r="AB44" s="33"/>
    </row>
    <row r="46" spans="2:28" x14ac:dyDescent="0.3">
      <c r="P46" s="12"/>
      <c r="W46" s="12"/>
    </row>
    <row r="47" spans="2:28" x14ac:dyDescent="0.3">
      <c r="P47" s="12"/>
      <c r="W47" s="12"/>
    </row>
    <row r="48" spans="2:28" x14ac:dyDescent="0.3">
      <c r="B48" s="12"/>
      <c r="I48" s="12"/>
      <c r="P48" s="12"/>
      <c r="W48" s="12"/>
    </row>
    <row r="49" spans="2:23" x14ac:dyDescent="0.3">
      <c r="B49" s="12"/>
      <c r="I49" s="12"/>
    </row>
    <row r="50" spans="2:23" x14ac:dyDescent="0.3">
      <c r="B50" s="12"/>
      <c r="I50" s="12"/>
      <c r="P50" s="12"/>
      <c r="W50" s="12"/>
    </row>
    <row r="52" spans="2:23" x14ac:dyDescent="0.3">
      <c r="B52" s="12"/>
    </row>
  </sheetData>
  <mergeCells count="4">
    <mergeCell ref="W1:AB1"/>
    <mergeCell ref="B1:G1"/>
    <mergeCell ref="I1:N1"/>
    <mergeCell ref="P1:U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571E-6070-4261-B9D0-DCBA1257AC4F}">
  <dimension ref="B1:O20"/>
  <sheetViews>
    <sheetView showGridLines="0" tabSelected="1" zoomScale="90" zoomScaleNormal="90" workbookViewId="0">
      <selection activeCell="K34" sqref="K34"/>
    </sheetView>
  </sheetViews>
  <sheetFormatPr baseColWidth="10" defaultRowHeight="14.4" x14ac:dyDescent="0.3"/>
  <cols>
    <col min="1" max="1" width="10.6640625" customWidth="1"/>
    <col min="2" max="2" width="14.6640625" bestFit="1" customWidth="1"/>
    <col min="3" max="7" width="10.6640625" customWidth="1"/>
    <col min="8" max="8" width="5.33203125" bestFit="1" customWidth="1"/>
    <col min="9" max="9" width="5.6640625" bestFit="1" customWidth="1"/>
    <col min="10" max="10" width="14.6640625" bestFit="1" customWidth="1"/>
  </cols>
  <sheetData>
    <row r="1" spans="2:15" ht="22.8" x14ac:dyDescent="0.4">
      <c r="B1" s="47" t="s">
        <v>40</v>
      </c>
      <c r="C1" s="47"/>
      <c r="D1" s="47"/>
      <c r="E1" s="47"/>
      <c r="F1" s="47"/>
      <c r="G1" s="47"/>
      <c r="H1" s="18"/>
      <c r="I1" s="15"/>
    </row>
    <row r="3" spans="2:15" x14ac:dyDescent="0.3">
      <c r="J3" s="7" t="s">
        <v>18</v>
      </c>
      <c r="K3" s="7">
        <v>45566</v>
      </c>
      <c r="L3" s="7">
        <v>45597</v>
      </c>
      <c r="M3" s="7">
        <v>45627</v>
      </c>
      <c r="N3" s="7">
        <v>45658</v>
      </c>
      <c r="O3" s="7">
        <v>45689</v>
      </c>
    </row>
    <row r="4" spans="2:15" x14ac:dyDescent="0.3">
      <c r="B4" s="13"/>
      <c r="C4" s="13"/>
      <c r="D4" s="13"/>
      <c r="E4" s="13"/>
      <c r="J4" s="7" t="s">
        <v>30</v>
      </c>
      <c r="K4" s="6">
        <v>21228.068695652175</v>
      </c>
      <c r="L4" s="6">
        <v>17536.740000000002</v>
      </c>
      <c r="M4" s="6">
        <v>19509.198</v>
      </c>
      <c r="N4" s="6">
        <v>14424.775</v>
      </c>
      <c r="O4" s="6">
        <v>14999.9</v>
      </c>
    </row>
    <row r="5" spans="2:15" x14ac:dyDescent="0.3">
      <c r="J5" s="7" t="s">
        <v>12</v>
      </c>
      <c r="K5" s="14">
        <f>C18/K$4</f>
        <v>7.6818141743341534E-2</v>
      </c>
      <c r="L5" s="14">
        <f>D18/L$4</f>
        <v>0.13153313785800552</v>
      </c>
      <c r="M5" s="14">
        <f>E18/M$4</f>
        <v>0.10739349715964747</v>
      </c>
      <c r="N5" s="14">
        <f>F18/N$4</f>
        <v>0.19558012308684192</v>
      </c>
      <c r="O5" s="14">
        <f>G18/O$4</f>
        <v>0.14306380509203395</v>
      </c>
    </row>
    <row r="6" spans="2:15" x14ac:dyDescent="0.3">
      <c r="J6" s="7" t="s">
        <v>11</v>
      </c>
      <c r="K6" s="14">
        <f t="shared" ref="K6:O7" si="0">C19/K$4</f>
        <v>0.16965400400638547</v>
      </c>
      <c r="L6" s="14">
        <f t="shared" si="0"/>
        <v>0.20815313792643328</v>
      </c>
      <c r="M6" s="14">
        <f t="shared" si="0"/>
        <v>0.15883916509535656</v>
      </c>
      <c r="N6" s="14">
        <f t="shared" si="0"/>
        <v>0.24263826286995815</v>
      </c>
      <c r="O6" s="14">
        <f t="shared" si="0"/>
        <v>0.21425731102007345</v>
      </c>
    </row>
    <row r="7" spans="2:15" x14ac:dyDescent="0.3">
      <c r="J7" s="7" t="s">
        <v>1</v>
      </c>
      <c r="K7" s="14">
        <f t="shared" si="0"/>
        <v>7.7564939829474532E-3</v>
      </c>
      <c r="L7" s="14">
        <f t="shared" si="0"/>
        <v>0</v>
      </c>
      <c r="M7" s="14">
        <f t="shared" si="0"/>
        <v>1.1182477106439742E-2</v>
      </c>
      <c r="N7" s="14">
        <f t="shared" si="0"/>
        <v>1.3439505064492631E-2</v>
      </c>
      <c r="O7" s="14">
        <f t="shared" si="0"/>
        <v>1.8073517156781047E-2</v>
      </c>
    </row>
    <row r="10" spans="2:15" x14ac:dyDescent="0.3">
      <c r="F10" s="13"/>
      <c r="O10" s="13"/>
    </row>
    <row r="11" spans="2:15" x14ac:dyDescent="0.3">
      <c r="F11" s="13"/>
    </row>
    <row r="17" spans="2:10" x14ac:dyDescent="0.3">
      <c r="B17" s="16" t="s">
        <v>18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</row>
    <row r="18" spans="2:10" x14ac:dyDescent="0.3">
      <c r="B18" s="16" t="s">
        <v>12</v>
      </c>
      <c r="C18" s="17">
        <v>1630.7007900000001</v>
      </c>
      <c r="D18" s="17">
        <v>2306.6624400000001</v>
      </c>
      <c r="E18" s="17">
        <v>2095.1610000000001</v>
      </c>
      <c r="F18" s="17">
        <v>2821.1992700000001</v>
      </c>
      <c r="G18" s="17">
        <v>2145.9427700000001</v>
      </c>
    </row>
    <row r="19" spans="2:10" x14ac:dyDescent="0.3">
      <c r="B19" s="16" t="s">
        <v>11</v>
      </c>
      <c r="C19" s="17">
        <v>3601.4268515400004</v>
      </c>
      <c r="D19" s="17">
        <v>3650.32746</v>
      </c>
      <c r="E19" s="17">
        <v>3098.8247220000003</v>
      </c>
      <c r="F19" s="17">
        <v>3500.0023482900006</v>
      </c>
      <c r="G19" s="17">
        <v>3213.8382395699996</v>
      </c>
      <c r="J19" s="35"/>
    </row>
    <row r="20" spans="2:10" x14ac:dyDescent="0.3">
      <c r="B20" s="16" t="s">
        <v>1</v>
      </c>
      <c r="C20" s="17">
        <v>164.65538710742129</v>
      </c>
      <c r="D20" s="17">
        <v>0</v>
      </c>
      <c r="E20" s="17">
        <v>218.16116</v>
      </c>
      <c r="F20" s="17">
        <v>193.86183666666668</v>
      </c>
      <c r="G20" s="17">
        <v>271.10095000000001</v>
      </c>
    </row>
  </sheetData>
  <mergeCells count="1">
    <mergeCell ref="B1:G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Sueldos febrero</vt:lpstr>
      <vt:lpstr>Sueldos marzo</vt:lpstr>
      <vt:lpstr>Base</vt:lpstr>
      <vt:lpstr>Tabla</vt:lpstr>
      <vt:lpstr>LUCERO</vt:lpstr>
      <vt:lpstr>LUCERO-SAN TELMO</vt:lpstr>
      <vt:lpstr>LUCERO-SAN TELMO (A)</vt:lpstr>
      <vt:lpstr>LUCERO-CENTRO</vt:lpstr>
      <vt:lpstr>LUCERO-CENTRO (A)</vt:lpstr>
      <vt:lpstr>AS-SAN TELMO</vt:lpstr>
      <vt:lpstr>'AS-SAN TELMO'!Área_de_impresión</vt:lpstr>
      <vt:lpstr>LUCERO!Área_de_impresión</vt:lpstr>
      <vt:lpstr>'LUCERO-CENTRO'!Área_de_impresión</vt:lpstr>
      <vt:lpstr>'LUCERO-SAN TELMO'!Área_de_impresión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2025-03-26T13:30:50Z</cp:lastPrinted>
  <dcterms:created xsi:type="dcterms:W3CDTF">2025-03-11T13:50:14Z</dcterms:created>
  <dcterms:modified xsi:type="dcterms:W3CDTF">2025-05-07T16:51:09Z</dcterms:modified>
</cp:coreProperties>
</file>