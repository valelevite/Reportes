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"/>
    </mc:Choice>
  </mc:AlternateContent>
  <bookViews>
    <workbookView xWindow="0" yWindow="0" windowWidth="19176" windowHeight="1956"/>
  </bookViews>
  <sheets>
    <sheet name="junio 2026" sheetId="17" r:id="rId1"/>
    <sheet name="mayo 2026" sheetId="16" r:id="rId2"/>
    <sheet name="abril 2026" sheetId="15" r:id="rId3"/>
    <sheet name="marzo 2026" sheetId="12" r:id="rId4"/>
    <sheet name="febrero 2026" sheetId="14" r:id="rId5"/>
    <sheet name="enero 2026" sheetId="13" r:id="rId6"/>
    <sheet name="Diciembre 2025" sheetId="11" r:id="rId7"/>
    <sheet name="Noviembre 2025_real" sheetId="10" r:id="rId8"/>
    <sheet name="Noviembre 2025_proy" sheetId="8" r:id="rId9"/>
    <sheet name="Octubre 2025_proy" sheetId="6" r:id="rId10"/>
    <sheet name="Octubre 2025_real" sheetId="9" r:id="rId11"/>
    <sheet name="Septiembre 2025_real" sheetId="7" r:id="rId12"/>
    <sheet name="Septiembre 2025_proy" sheetId="5" r:id="rId13"/>
    <sheet name="Agosto 2025-real" sheetId="1" r:id="rId14"/>
    <sheet name="Tablas" sheetId="3" r:id="rId1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7" l="1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C19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G32" i="17"/>
  <c r="F32" i="17"/>
  <c r="E32" i="17"/>
  <c r="G31" i="17"/>
  <c r="F31" i="17"/>
  <c r="E31" i="17"/>
  <c r="G30" i="17"/>
  <c r="F30" i="17"/>
  <c r="E30" i="17"/>
  <c r="G29" i="17"/>
  <c r="F29" i="17"/>
  <c r="E29" i="17"/>
  <c r="G28" i="17"/>
  <c r="F28" i="17"/>
  <c r="E28" i="17"/>
  <c r="G27" i="17"/>
  <c r="F27" i="17"/>
  <c r="E27" i="17"/>
  <c r="G26" i="17"/>
  <c r="F26" i="17"/>
  <c r="E26" i="17"/>
  <c r="G25" i="17"/>
  <c r="F25" i="17"/>
  <c r="E25" i="17"/>
  <c r="G24" i="17"/>
  <c r="F24" i="17"/>
  <c r="E24" i="17"/>
  <c r="G23" i="17"/>
  <c r="F23" i="17"/>
  <c r="E23" i="17"/>
  <c r="G22" i="17"/>
  <c r="F22" i="17"/>
  <c r="E22" i="17"/>
  <c r="G21" i="17"/>
  <c r="F21" i="17"/>
  <c r="E21" i="17"/>
  <c r="G20" i="17"/>
  <c r="F20" i="17"/>
  <c r="E20" i="17"/>
  <c r="G19" i="17"/>
  <c r="F19" i="17"/>
  <c r="E19" i="17"/>
  <c r="G32" i="16" l="1"/>
  <c r="F32" i="16"/>
  <c r="E32" i="16"/>
  <c r="D32" i="16"/>
  <c r="C32" i="16"/>
  <c r="G31" i="16"/>
  <c r="F31" i="16"/>
  <c r="E31" i="16"/>
  <c r="D31" i="16"/>
  <c r="C31" i="16"/>
  <c r="G30" i="16"/>
  <c r="F30" i="16"/>
  <c r="E30" i="16"/>
  <c r="D30" i="16"/>
  <c r="C30" i="16"/>
  <c r="G29" i="16"/>
  <c r="F29" i="16"/>
  <c r="E29" i="16"/>
  <c r="D29" i="16"/>
  <c r="C29" i="16"/>
  <c r="G28" i="16"/>
  <c r="F28" i="16"/>
  <c r="E28" i="16"/>
  <c r="D28" i="16"/>
  <c r="C28" i="16"/>
  <c r="G27" i="16"/>
  <c r="F27" i="16"/>
  <c r="E27" i="16"/>
  <c r="D27" i="16"/>
  <c r="C27" i="16"/>
  <c r="G26" i="16"/>
  <c r="F26" i="16"/>
  <c r="E26" i="16"/>
  <c r="D26" i="16"/>
  <c r="C26" i="16"/>
  <c r="G25" i="16"/>
  <c r="F25" i="16"/>
  <c r="E25" i="16"/>
  <c r="D25" i="16"/>
  <c r="C25" i="16"/>
  <c r="G24" i="16"/>
  <c r="F24" i="16"/>
  <c r="E24" i="16"/>
  <c r="D24" i="16"/>
  <c r="C24" i="16"/>
  <c r="G23" i="16"/>
  <c r="F23" i="16"/>
  <c r="E23" i="16"/>
  <c r="D23" i="16"/>
  <c r="C23" i="16"/>
  <c r="G22" i="16"/>
  <c r="F22" i="16"/>
  <c r="E22" i="16"/>
  <c r="D22" i="16"/>
  <c r="C22" i="16"/>
  <c r="G21" i="16"/>
  <c r="F21" i="16"/>
  <c r="E21" i="16"/>
  <c r="D21" i="16"/>
  <c r="C21" i="16"/>
  <c r="G20" i="16"/>
  <c r="F20" i="16"/>
  <c r="E20" i="16"/>
  <c r="D20" i="16"/>
  <c r="C20" i="16"/>
  <c r="G19" i="16"/>
  <c r="F19" i="16"/>
  <c r="E19" i="16"/>
  <c r="D19" i="16"/>
  <c r="C19" i="16"/>
  <c r="D19" i="15" l="1"/>
  <c r="G32" i="15"/>
  <c r="F32" i="15"/>
  <c r="E32" i="15"/>
  <c r="D32" i="15"/>
  <c r="C32" i="15"/>
  <c r="G31" i="15"/>
  <c r="F31" i="15"/>
  <c r="E31" i="15"/>
  <c r="D31" i="15"/>
  <c r="C31" i="15"/>
  <c r="G30" i="15"/>
  <c r="F30" i="15"/>
  <c r="E30" i="15"/>
  <c r="D30" i="15"/>
  <c r="C30" i="15"/>
  <c r="G29" i="15"/>
  <c r="F29" i="15"/>
  <c r="E29" i="15"/>
  <c r="D29" i="15"/>
  <c r="C29" i="15"/>
  <c r="G28" i="15"/>
  <c r="F28" i="15"/>
  <c r="E28" i="15"/>
  <c r="D28" i="15"/>
  <c r="C28" i="15"/>
  <c r="G27" i="15"/>
  <c r="F27" i="15"/>
  <c r="E27" i="15"/>
  <c r="D27" i="15"/>
  <c r="C27" i="15"/>
  <c r="G26" i="15"/>
  <c r="F26" i="15"/>
  <c r="E26" i="15"/>
  <c r="D26" i="15"/>
  <c r="C26" i="15"/>
  <c r="G25" i="15"/>
  <c r="F25" i="15"/>
  <c r="E25" i="15"/>
  <c r="D25" i="15"/>
  <c r="C25" i="15"/>
  <c r="G24" i="15"/>
  <c r="F24" i="15"/>
  <c r="E24" i="15"/>
  <c r="D24" i="15"/>
  <c r="C24" i="15"/>
  <c r="G23" i="15"/>
  <c r="F23" i="15"/>
  <c r="E23" i="15"/>
  <c r="D23" i="15"/>
  <c r="C23" i="15"/>
  <c r="G22" i="15"/>
  <c r="F22" i="15"/>
  <c r="E22" i="15"/>
  <c r="D22" i="15"/>
  <c r="C22" i="15"/>
  <c r="G21" i="15"/>
  <c r="F21" i="15"/>
  <c r="E21" i="15"/>
  <c r="D21" i="15"/>
  <c r="C21" i="15"/>
  <c r="G20" i="15"/>
  <c r="F20" i="15"/>
  <c r="E20" i="15"/>
  <c r="D20" i="15"/>
  <c r="C20" i="15"/>
  <c r="G19" i="15"/>
  <c r="F19" i="15"/>
  <c r="E19" i="15"/>
  <c r="C19" i="15"/>
  <c r="G31" i="14" l="1"/>
  <c r="E31" i="14"/>
  <c r="D31" i="14"/>
  <c r="C31" i="14"/>
  <c r="G29" i="14"/>
  <c r="E29" i="14"/>
  <c r="D29" i="14"/>
  <c r="C29" i="14"/>
  <c r="G28" i="14"/>
  <c r="E28" i="14"/>
  <c r="D28" i="14"/>
  <c r="C28" i="14"/>
  <c r="G26" i="14"/>
  <c r="E26" i="14"/>
  <c r="D26" i="14"/>
  <c r="C26" i="14"/>
  <c r="G25" i="14"/>
  <c r="E25" i="14"/>
  <c r="D25" i="14"/>
  <c r="C25" i="14"/>
  <c r="G23" i="14"/>
  <c r="E23" i="14"/>
  <c r="D23" i="14"/>
  <c r="C23" i="14"/>
  <c r="G22" i="14"/>
  <c r="E22" i="14"/>
  <c r="D22" i="14"/>
  <c r="C22" i="14"/>
  <c r="G20" i="14"/>
  <c r="E20" i="14"/>
  <c r="D20" i="14"/>
  <c r="C20" i="14"/>
  <c r="G19" i="14"/>
  <c r="E19" i="14"/>
  <c r="D19" i="14"/>
  <c r="C19" i="14"/>
  <c r="F31" i="14"/>
  <c r="F29" i="14"/>
  <c r="F26" i="14"/>
  <c r="F25" i="14"/>
  <c r="F23" i="14"/>
  <c r="F22" i="14"/>
  <c r="F20" i="14"/>
  <c r="F19" i="14"/>
  <c r="C1" i="14"/>
  <c r="G31" i="13"/>
  <c r="E31" i="13"/>
  <c r="D31" i="13"/>
  <c r="C31" i="13"/>
  <c r="G29" i="13"/>
  <c r="E29" i="13"/>
  <c r="D29" i="13"/>
  <c r="C29" i="13"/>
  <c r="G28" i="13"/>
  <c r="E28" i="13"/>
  <c r="D28" i="13"/>
  <c r="C28" i="13"/>
  <c r="G26" i="13"/>
  <c r="E26" i="13"/>
  <c r="D26" i="13"/>
  <c r="C26" i="13"/>
  <c r="G25" i="13"/>
  <c r="E25" i="13"/>
  <c r="D25" i="13"/>
  <c r="C25" i="13"/>
  <c r="G23" i="13"/>
  <c r="F23" i="13"/>
  <c r="E23" i="13"/>
  <c r="D23" i="13"/>
  <c r="C23" i="13"/>
  <c r="G22" i="13"/>
  <c r="E22" i="13"/>
  <c r="D22" i="13"/>
  <c r="C22" i="13"/>
  <c r="G20" i="13"/>
  <c r="E20" i="13"/>
  <c r="D20" i="13"/>
  <c r="C20" i="13"/>
  <c r="G19" i="13"/>
  <c r="E19" i="13"/>
  <c r="D19" i="13"/>
  <c r="C19" i="13"/>
  <c r="F31" i="13"/>
  <c r="F29" i="13"/>
  <c r="F28" i="13"/>
  <c r="E27" i="13"/>
  <c r="F26" i="13"/>
  <c r="F25" i="13"/>
  <c r="F22" i="13"/>
  <c r="F20" i="13"/>
  <c r="F19" i="13"/>
  <c r="C1" i="13"/>
  <c r="G31" i="11"/>
  <c r="E31" i="11"/>
  <c r="D31" i="11"/>
  <c r="C31" i="11"/>
  <c r="H14" i="11"/>
  <c r="F14" i="11"/>
  <c r="E14" i="11"/>
  <c r="D14" i="11"/>
  <c r="C14" i="11"/>
  <c r="G15" i="11"/>
  <c r="F31" i="11" s="1"/>
  <c r="G31" i="12"/>
  <c r="F31" i="12"/>
  <c r="E31" i="12"/>
  <c r="D31" i="12"/>
  <c r="C31" i="12"/>
  <c r="D30" i="12"/>
  <c r="G29" i="12"/>
  <c r="E29" i="12"/>
  <c r="D29" i="12"/>
  <c r="C29" i="12"/>
  <c r="G28" i="12"/>
  <c r="F28" i="12"/>
  <c r="E28" i="12"/>
  <c r="D28" i="12"/>
  <c r="C28" i="12"/>
  <c r="D27" i="12"/>
  <c r="G26" i="12"/>
  <c r="F26" i="12"/>
  <c r="E26" i="12"/>
  <c r="D26" i="12"/>
  <c r="C26" i="12"/>
  <c r="G25" i="12"/>
  <c r="E25" i="12"/>
  <c r="D25" i="12"/>
  <c r="C25" i="12"/>
  <c r="D24" i="12"/>
  <c r="G23" i="12"/>
  <c r="F23" i="12"/>
  <c r="E23" i="12"/>
  <c r="D23" i="12"/>
  <c r="C23" i="12"/>
  <c r="G22" i="12"/>
  <c r="E22" i="12"/>
  <c r="D22" i="12"/>
  <c r="C22" i="12"/>
  <c r="G21" i="12"/>
  <c r="G20" i="12"/>
  <c r="F20" i="12"/>
  <c r="E20" i="12"/>
  <c r="D20" i="12"/>
  <c r="C20" i="12"/>
  <c r="G19" i="12"/>
  <c r="E19" i="12"/>
  <c r="D19" i="12"/>
  <c r="C19" i="12"/>
  <c r="F32" i="12"/>
  <c r="G30" i="12"/>
  <c r="F30" i="12"/>
  <c r="E30" i="12"/>
  <c r="C30" i="12"/>
  <c r="F29" i="12"/>
  <c r="G27" i="12"/>
  <c r="F27" i="12"/>
  <c r="E27" i="12"/>
  <c r="C27" i="12"/>
  <c r="F25" i="12"/>
  <c r="G24" i="12"/>
  <c r="F24" i="12"/>
  <c r="E24" i="12"/>
  <c r="C24" i="12"/>
  <c r="F22" i="12"/>
  <c r="F21" i="12"/>
  <c r="E32" i="12"/>
  <c r="D32" i="12"/>
  <c r="C21" i="12"/>
  <c r="D21" i="12"/>
  <c r="F19" i="12"/>
  <c r="C1" i="12"/>
  <c r="E30" i="11" l="1"/>
  <c r="C30" i="11"/>
  <c r="G30" i="11"/>
  <c r="D30" i="11"/>
  <c r="D27" i="14"/>
  <c r="E24" i="14"/>
  <c r="E27" i="14"/>
  <c r="G27" i="14"/>
  <c r="C27" i="14"/>
  <c r="C24" i="14"/>
  <c r="D24" i="14"/>
  <c r="C30" i="14"/>
  <c r="F30" i="14"/>
  <c r="F24" i="13"/>
  <c r="G27" i="13"/>
  <c r="C27" i="13"/>
  <c r="D27" i="13"/>
  <c r="G24" i="13"/>
  <c r="C24" i="13"/>
  <c r="D24" i="13"/>
  <c r="C30" i="13"/>
  <c r="C21" i="13"/>
  <c r="C32" i="12"/>
  <c r="D30" i="14"/>
  <c r="D30" i="13"/>
  <c r="E30" i="14"/>
  <c r="G30" i="14"/>
  <c r="F28" i="14"/>
  <c r="G24" i="14"/>
  <c r="C21" i="14"/>
  <c r="E24" i="13"/>
  <c r="F27" i="13"/>
  <c r="E30" i="13"/>
  <c r="F30" i="13"/>
  <c r="G30" i="13"/>
  <c r="G21" i="13"/>
  <c r="G21" i="14"/>
  <c r="F24" i="14"/>
  <c r="F27" i="14"/>
  <c r="D21" i="14"/>
  <c r="E21" i="14"/>
  <c r="D21" i="13"/>
  <c r="E21" i="13"/>
  <c r="G32" i="12"/>
  <c r="E21" i="12"/>
  <c r="E32" i="13" l="1"/>
  <c r="D32" i="14"/>
  <c r="G32" i="13"/>
  <c r="D32" i="13"/>
  <c r="C32" i="13"/>
  <c r="C32" i="14"/>
  <c r="G32" i="14"/>
  <c r="E32" i="14"/>
  <c r="F21" i="13"/>
  <c r="F32" i="13"/>
  <c r="F21" i="14"/>
  <c r="F32" i="14"/>
  <c r="H16" i="10" l="1"/>
  <c r="H11" i="10"/>
  <c r="H8" i="10"/>
  <c r="H5" i="10"/>
  <c r="C16" i="10"/>
  <c r="C11" i="10"/>
  <c r="C8" i="10"/>
  <c r="C5" i="10"/>
  <c r="H141" i="3" l="1"/>
  <c r="G141" i="3"/>
  <c r="F141" i="3"/>
  <c r="E141" i="3"/>
  <c r="D141" i="3"/>
  <c r="C141" i="3"/>
  <c r="B141" i="3"/>
  <c r="H140" i="3"/>
  <c r="G140" i="3"/>
  <c r="F140" i="3"/>
  <c r="E140" i="3"/>
  <c r="D140" i="3"/>
  <c r="C140" i="3"/>
  <c r="B140" i="3"/>
  <c r="H139" i="3"/>
  <c r="G139" i="3"/>
  <c r="F139" i="3"/>
  <c r="E139" i="3"/>
  <c r="D139" i="3"/>
  <c r="C139" i="3"/>
  <c r="B139" i="3"/>
  <c r="M138" i="3"/>
  <c r="L138" i="3"/>
  <c r="M137" i="3"/>
  <c r="L137" i="3"/>
  <c r="M136" i="3"/>
  <c r="L136" i="3"/>
  <c r="M135" i="3"/>
  <c r="L135" i="3"/>
  <c r="H130" i="3"/>
  <c r="G130" i="3"/>
  <c r="F130" i="3"/>
  <c r="E130" i="3"/>
  <c r="D130" i="3"/>
  <c r="C130" i="3"/>
  <c r="B130" i="3"/>
  <c r="H129" i="3"/>
  <c r="G129" i="3"/>
  <c r="F129" i="3"/>
  <c r="E129" i="3"/>
  <c r="D129" i="3"/>
  <c r="C129" i="3"/>
  <c r="B129" i="3"/>
  <c r="H128" i="3"/>
  <c r="G128" i="3"/>
  <c r="F128" i="3"/>
  <c r="E128" i="3"/>
  <c r="D128" i="3"/>
  <c r="C128" i="3"/>
  <c r="B128" i="3"/>
  <c r="M127" i="3"/>
  <c r="L127" i="3"/>
  <c r="G15" i="10"/>
  <c r="F31" i="10" s="1"/>
  <c r="G14" i="10"/>
  <c r="F30" i="10" s="1"/>
  <c r="M28" i="10"/>
  <c r="M27" i="10"/>
  <c r="G31" i="10"/>
  <c r="E31" i="10"/>
  <c r="D31" i="10"/>
  <c r="C31" i="10"/>
  <c r="G30" i="10"/>
  <c r="E30" i="10"/>
  <c r="D30" i="10"/>
  <c r="C30" i="10"/>
  <c r="M26" i="11" l="1"/>
  <c r="M26" i="10"/>
  <c r="M25" i="11"/>
  <c r="M24" i="11"/>
  <c r="M23" i="11"/>
  <c r="M22" i="11"/>
  <c r="M21" i="11"/>
  <c r="M24" i="10"/>
  <c r="M6" i="3"/>
  <c r="M4" i="3"/>
  <c r="M3" i="3"/>
  <c r="M116" i="3"/>
  <c r="M114" i="3"/>
  <c r="M113" i="3"/>
  <c r="M105" i="3"/>
  <c r="M103" i="3"/>
  <c r="M102" i="3"/>
  <c r="M140" i="3" s="1"/>
  <c r="M83" i="3"/>
  <c r="M81" i="3"/>
  <c r="M80" i="3"/>
  <c r="M72" i="3"/>
  <c r="M70" i="3"/>
  <c r="M69" i="3"/>
  <c r="M50" i="3"/>
  <c r="M48" i="3"/>
  <c r="M47" i="3"/>
  <c r="M39" i="3"/>
  <c r="M37" i="3"/>
  <c r="M36" i="3"/>
  <c r="M17" i="3"/>
  <c r="M15" i="3"/>
  <c r="M14" i="3"/>
  <c r="G29" i="11"/>
  <c r="C29" i="11"/>
  <c r="G28" i="11"/>
  <c r="E28" i="11"/>
  <c r="D28" i="11"/>
  <c r="C28" i="11"/>
  <c r="G26" i="11"/>
  <c r="M126" i="3" s="1"/>
  <c r="E26" i="11"/>
  <c r="D26" i="11"/>
  <c r="M125" i="3" s="1"/>
  <c r="C26" i="11"/>
  <c r="M124" i="3" s="1"/>
  <c r="G25" i="11"/>
  <c r="E25" i="11"/>
  <c r="D25" i="11"/>
  <c r="C25" i="11"/>
  <c r="G23" i="11"/>
  <c r="E23" i="11"/>
  <c r="D23" i="11"/>
  <c r="C23" i="11"/>
  <c r="G22" i="11"/>
  <c r="E22" i="11"/>
  <c r="D22" i="11"/>
  <c r="C22" i="11"/>
  <c r="G20" i="11"/>
  <c r="C20" i="11"/>
  <c r="G19" i="11"/>
  <c r="E19" i="11"/>
  <c r="D19" i="11"/>
  <c r="C19" i="11"/>
  <c r="G12" i="11"/>
  <c r="F28" i="11" s="1"/>
  <c r="H11" i="11"/>
  <c r="F11" i="11"/>
  <c r="E11" i="11"/>
  <c r="D11" i="11"/>
  <c r="C11" i="11"/>
  <c r="G10" i="11"/>
  <c r="F26" i="11" s="1"/>
  <c r="G9" i="11"/>
  <c r="G11" i="11" s="1"/>
  <c r="H8" i="11"/>
  <c r="F8" i="11"/>
  <c r="E8" i="11"/>
  <c r="D8" i="11"/>
  <c r="C8" i="11"/>
  <c r="G7" i="11"/>
  <c r="F23" i="11" s="1"/>
  <c r="G6" i="11"/>
  <c r="M38" i="3" s="1"/>
  <c r="H5" i="11"/>
  <c r="D5" i="11"/>
  <c r="C5" i="11"/>
  <c r="G3" i="11"/>
  <c r="M5" i="3" s="1"/>
  <c r="C1" i="11"/>
  <c r="L116" i="3"/>
  <c r="L114" i="3"/>
  <c r="L105" i="3"/>
  <c r="L103" i="3"/>
  <c r="L102" i="3"/>
  <c r="L130" i="3" s="1"/>
  <c r="L83" i="3"/>
  <c r="L81" i="3"/>
  <c r="L80" i="3"/>
  <c r="L72" i="3"/>
  <c r="L70" i="3"/>
  <c r="L69" i="3"/>
  <c r="L50" i="3"/>
  <c r="L48" i="3"/>
  <c r="L47" i="3"/>
  <c r="L39" i="3"/>
  <c r="L37" i="3"/>
  <c r="L36" i="3"/>
  <c r="L17" i="3"/>
  <c r="L15" i="3"/>
  <c r="L14" i="3"/>
  <c r="L6" i="3"/>
  <c r="L4" i="3"/>
  <c r="L3" i="3"/>
  <c r="C27" i="11" l="1"/>
  <c r="M71" i="3"/>
  <c r="M104" i="3"/>
  <c r="F27" i="11"/>
  <c r="D27" i="11"/>
  <c r="E27" i="11"/>
  <c r="G27" i="11"/>
  <c r="C24" i="11"/>
  <c r="D24" i="11"/>
  <c r="G24" i="11"/>
  <c r="C16" i="11"/>
  <c r="D16" i="11"/>
  <c r="H16" i="11"/>
  <c r="E24" i="11"/>
  <c r="L140" i="3"/>
  <c r="M7" i="3"/>
  <c r="M139" i="3"/>
  <c r="M8" i="3"/>
  <c r="L139" i="3"/>
  <c r="M128" i="3"/>
  <c r="M141" i="3"/>
  <c r="M130" i="3"/>
  <c r="L117" i="3"/>
  <c r="L141" i="3"/>
  <c r="M129" i="3"/>
  <c r="L7" i="3"/>
  <c r="L51" i="3"/>
  <c r="L119" i="3"/>
  <c r="L53" i="3"/>
  <c r="L42" i="3"/>
  <c r="L91" i="3"/>
  <c r="L84" i="3"/>
  <c r="L26" i="3"/>
  <c r="L86" i="3"/>
  <c r="L25" i="3"/>
  <c r="L106" i="3"/>
  <c r="L61" i="3"/>
  <c r="L9" i="3"/>
  <c r="L18" i="3"/>
  <c r="L58" i="3"/>
  <c r="L28" i="3"/>
  <c r="L59" i="3"/>
  <c r="L73" i="3"/>
  <c r="L20" i="3"/>
  <c r="L92" i="3"/>
  <c r="L94" i="3"/>
  <c r="L40" i="3"/>
  <c r="M82" i="3"/>
  <c r="F25" i="11"/>
  <c r="M49" i="3"/>
  <c r="G8" i="11"/>
  <c r="F24" i="11" s="1"/>
  <c r="C21" i="11"/>
  <c r="E29" i="11"/>
  <c r="D29" i="11"/>
  <c r="G13" i="11"/>
  <c r="G14" i="11" s="1"/>
  <c r="G4" i="11"/>
  <c r="D20" i="11"/>
  <c r="E5" i="11"/>
  <c r="E16" i="11" s="1"/>
  <c r="F5" i="11"/>
  <c r="F16" i="11" s="1"/>
  <c r="E20" i="11"/>
  <c r="F19" i="11"/>
  <c r="F22" i="11"/>
  <c r="G21" i="11"/>
  <c r="L108" i="3"/>
  <c r="L75" i="3"/>
  <c r="K21" i="9"/>
  <c r="L22" i="9"/>
  <c r="K22" i="9"/>
  <c r="L23" i="9"/>
  <c r="K23" i="9"/>
  <c r="C32" i="11" l="1"/>
  <c r="G32" i="11"/>
  <c r="F30" i="11"/>
  <c r="L29" i="3"/>
  <c r="L31" i="3"/>
  <c r="L95" i="3"/>
  <c r="L64" i="3"/>
  <c r="L147" i="3"/>
  <c r="L149" i="3"/>
  <c r="L146" i="3"/>
  <c r="L62" i="3"/>
  <c r="L97" i="3"/>
  <c r="F29" i="11"/>
  <c r="M115" i="3"/>
  <c r="F20" i="11"/>
  <c r="M16" i="3"/>
  <c r="G5" i="11"/>
  <c r="F21" i="11" s="1"/>
  <c r="E21" i="11"/>
  <c r="E32" i="11"/>
  <c r="D32" i="11"/>
  <c r="D21" i="11"/>
  <c r="M23" i="9"/>
  <c r="G29" i="10"/>
  <c r="C29" i="10"/>
  <c r="G28" i="10"/>
  <c r="E28" i="10"/>
  <c r="D28" i="10"/>
  <c r="C28" i="10"/>
  <c r="G26" i="10"/>
  <c r="E26" i="10"/>
  <c r="D26" i="10"/>
  <c r="C26" i="10"/>
  <c r="G25" i="10"/>
  <c r="E25" i="10"/>
  <c r="C25" i="10"/>
  <c r="M25" i="10"/>
  <c r="G23" i="10"/>
  <c r="E23" i="10"/>
  <c r="D23" i="10"/>
  <c r="C23" i="10"/>
  <c r="M22" i="10"/>
  <c r="G22" i="10"/>
  <c r="E22" i="10"/>
  <c r="D22" i="10"/>
  <c r="C22" i="10"/>
  <c r="G20" i="10"/>
  <c r="C20" i="10"/>
  <c r="G19" i="10"/>
  <c r="E19" i="10"/>
  <c r="D19" i="10"/>
  <c r="C19" i="10"/>
  <c r="G12" i="10"/>
  <c r="F11" i="10"/>
  <c r="D11" i="10"/>
  <c r="G10" i="10"/>
  <c r="D25" i="10"/>
  <c r="F8" i="10"/>
  <c r="E8" i="10"/>
  <c r="D8" i="10"/>
  <c r="M23" i="10" s="1"/>
  <c r="G24" i="10"/>
  <c r="L126" i="3" s="1"/>
  <c r="L129" i="3" s="1"/>
  <c r="G7" i="10"/>
  <c r="G6" i="10"/>
  <c r="D5" i="10"/>
  <c r="G3" i="10"/>
  <c r="C1" i="10"/>
  <c r="E13" i="8"/>
  <c r="F13" i="8" s="1"/>
  <c r="H5" i="8"/>
  <c r="G5" i="8"/>
  <c r="D5" i="8"/>
  <c r="C5" i="8"/>
  <c r="E13" i="9"/>
  <c r="E9" i="9"/>
  <c r="E13" i="10"/>
  <c r="E4" i="10"/>
  <c r="F4" i="10"/>
  <c r="G16" i="11" l="1"/>
  <c r="F32" i="11" s="1"/>
  <c r="L150" i="3"/>
  <c r="C27" i="10"/>
  <c r="E27" i="10"/>
  <c r="F22" i="10"/>
  <c r="L38" i="3"/>
  <c r="G27" i="10"/>
  <c r="F28" i="10"/>
  <c r="L104" i="3"/>
  <c r="L107" i="3" s="1"/>
  <c r="F26" i="10"/>
  <c r="L71" i="3"/>
  <c r="D16" i="10"/>
  <c r="F23" i="10"/>
  <c r="L49" i="3"/>
  <c r="L52" i="3" s="1"/>
  <c r="G21" i="10"/>
  <c r="G32" i="10"/>
  <c r="L152" i="3"/>
  <c r="F19" i="10"/>
  <c r="L5" i="3"/>
  <c r="L8" i="3" s="1"/>
  <c r="D29" i="10"/>
  <c r="E29" i="10"/>
  <c r="D20" i="10"/>
  <c r="G4" i="10"/>
  <c r="L16" i="3" s="1"/>
  <c r="E5" i="10"/>
  <c r="E20" i="10"/>
  <c r="F5" i="10"/>
  <c r="M21" i="10"/>
  <c r="D24" i="10"/>
  <c r="L125" i="3" s="1"/>
  <c r="L128" i="3" s="1"/>
  <c r="G8" i="10"/>
  <c r="F24" i="10" s="1"/>
  <c r="E24" i="10"/>
  <c r="G13" i="10"/>
  <c r="L115" i="3" s="1"/>
  <c r="C21" i="10"/>
  <c r="C24" i="10"/>
  <c r="L124" i="3" s="1"/>
  <c r="G9" i="10"/>
  <c r="L82" i="3" s="1"/>
  <c r="L85" i="3" s="1"/>
  <c r="E11" i="10"/>
  <c r="D27" i="10" s="1"/>
  <c r="L41" i="3" l="1"/>
  <c r="L60" i="3"/>
  <c r="L63" i="3" s="1"/>
  <c r="L74" i="3"/>
  <c r="L93" i="3"/>
  <c r="L96" i="3" s="1"/>
  <c r="F16" i="10"/>
  <c r="E32" i="10" s="1"/>
  <c r="D21" i="10"/>
  <c r="E16" i="10"/>
  <c r="D32" i="10" s="1"/>
  <c r="L19" i="3"/>
  <c r="L27" i="3"/>
  <c r="L30" i="3" s="1"/>
  <c r="L118" i="3"/>
  <c r="E21" i="10"/>
  <c r="F29" i="10"/>
  <c r="F20" i="10"/>
  <c r="G5" i="10"/>
  <c r="G16" i="10" s="1"/>
  <c r="C32" i="10"/>
  <c r="F25" i="10"/>
  <c r="G11" i="10"/>
  <c r="F27" i="10" s="1"/>
  <c r="L148" i="3" l="1"/>
  <c r="L151" i="3" s="1"/>
  <c r="F21" i="10"/>
  <c r="F32" i="10" l="1"/>
  <c r="L19" i="9"/>
  <c r="L21" i="9"/>
  <c r="L20" i="9"/>
  <c r="K20" i="9"/>
  <c r="M19" i="9"/>
  <c r="K19" i="9"/>
  <c r="M22" i="9"/>
  <c r="M21" i="9"/>
  <c r="K116" i="3"/>
  <c r="K114" i="3"/>
  <c r="K105" i="3"/>
  <c r="K103" i="3"/>
  <c r="K102" i="3"/>
  <c r="K83" i="3"/>
  <c r="K81" i="3"/>
  <c r="K80" i="3"/>
  <c r="K72" i="3"/>
  <c r="K70" i="3"/>
  <c r="K69" i="3"/>
  <c r="K50" i="3"/>
  <c r="K48" i="3"/>
  <c r="K47" i="3"/>
  <c r="K39" i="3"/>
  <c r="K37" i="3"/>
  <c r="K36" i="3"/>
  <c r="K17" i="3"/>
  <c r="K15" i="3"/>
  <c r="K14" i="3"/>
  <c r="K6" i="3"/>
  <c r="K4" i="3"/>
  <c r="K3" i="3"/>
  <c r="M119" i="3"/>
  <c r="H119" i="3"/>
  <c r="G119" i="3"/>
  <c r="F119" i="3"/>
  <c r="E119" i="3"/>
  <c r="D119" i="3"/>
  <c r="C119" i="3"/>
  <c r="B119" i="3"/>
  <c r="M118" i="3"/>
  <c r="H118" i="3"/>
  <c r="G118" i="3"/>
  <c r="F118" i="3"/>
  <c r="E118" i="3"/>
  <c r="D118" i="3"/>
  <c r="C118" i="3"/>
  <c r="B118" i="3"/>
  <c r="M117" i="3"/>
  <c r="H117" i="3"/>
  <c r="G117" i="3"/>
  <c r="F117" i="3"/>
  <c r="E117" i="3"/>
  <c r="D117" i="3"/>
  <c r="C117" i="3"/>
  <c r="B117" i="3"/>
  <c r="M94" i="3"/>
  <c r="H94" i="3"/>
  <c r="G94" i="3"/>
  <c r="F94" i="3"/>
  <c r="E94" i="3"/>
  <c r="D94" i="3"/>
  <c r="C94" i="3"/>
  <c r="B94" i="3"/>
  <c r="M93" i="3"/>
  <c r="H93" i="3"/>
  <c r="G93" i="3"/>
  <c r="F93" i="3"/>
  <c r="E93" i="3"/>
  <c r="D93" i="3"/>
  <c r="D148" i="3" s="1"/>
  <c r="C93" i="3"/>
  <c r="B93" i="3"/>
  <c r="M92" i="3"/>
  <c r="H92" i="3"/>
  <c r="G92" i="3"/>
  <c r="F92" i="3"/>
  <c r="E92" i="3"/>
  <c r="E147" i="3" s="1"/>
  <c r="D92" i="3"/>
  <c r="C92" i="3"/>
  <c r="B92" i="3"/>
  <c r="M91" i="3"/>
  <c r="H91" i="3"/>
  <c r="G91" i="3"/>
  <c r="F91" i="3"/>
  <c r="F95" i="3" s="1"/>
  <c r="E91" i="3"/>
  <c r="E146" i="3" s="1"/>
  <c r="D91" i="3"/>
  <c r="C91" i="3"/>
  <c r="B91" i="3"/>
  <c r="B96" i="3" s="1"/>
  <c r="J105" i="3"/>
  <c r="J104" i="3"/>
  <c r="J103" i="3"/>
  <c r="J102" i="3"/>
  <c r="J72" i="3"/>
  <c r="J71" i="3"/>
  <c r="J70" i="3"/>
  <c r="J69" i="3"/>
  <c r="M61" i="3"/>
  <c r="H61" i="3"/>
  <c r="G61" i="3"/>
  <c r="F61" i="3"/>
  <c r="E61" i="3"/>
  <c r="D61" i="3"/>
  <c r="C61" i="3"/>
  <c r="M60" i="3"/>
  <c r="H60" i="3"/>
  <c r="G60" i="3"/>
  <c r="F60" i="3"/>
  <c r="E60" i="3"/>
  <c r="D60" i="3"/>
  <c r="C60" i="3"/>
  <c r="M59" i="3"/>
  <c r="H59" i="3"/>
  <c r="G59" i="3"/>
  <c r="F59" i="3"/>
  <c r="E59" i="3"/>
  <c r="D59" i="3"/>
  <c r="C59" i="3"/>
  <c r="M58" i="3"/>
  <c r="H58" i="3"/>
  <c r="G58" i="3"/>
  <c r="F58" i="3"/>
  <c r="E58" i="3"/>
  <c r="D58" i="3"/>
  <c r="C58" i="3"/>
  <c r="B61" i="3"/>
  <c r="B60" i="3"/>
  <c r="B59" i="3"/>
  <c r="B58" i="3"/>
  <c r="J50" i="3"/>
  <c r="J49" i="3"/>
  <c r="J48" i="3"/>
  <c r="J47" i="3"/>
  <c r="J39" i="3"/>
  <c r="J38" i="3"/>
  <c r="J60" i="3" s="1"/>
  <c r="J37" i="3"/>
  <c r="J59" i="3" s="1"/>
  <c r="J36" i="3"/>
  <c r="M28" i="3"/>
  <c r="H28" i="3"/>
  <c r="G28" i="3"/>
  <c r="F28" i="3"/>
  <c r="E28" i="3"/>
  <c r="E149" i="3" s="1"/>
  <c r="D28" i="3"/>
  <c r="C28" i="3"/>
  <c r="M27" i="3"/>
  <c r="H27" i="3"/>
  <c r="G27" i="3"/>
  <c r="F27" i="3"/>
  <c r="E27" i="3"/>
  <c r="D27" i="3"/>
  <c r="C27" i="3"/>
  <c r="M26" i="3"/>
  <c r="H26" i="3"/>
  <c r="G26" i="3"/>
  <c r="F26" i="3"/>
  <c r="E26" i="3"/>
  <c r="D26" i="3"/>
  <c r="C26" i="3"/>
  <c r="M25" i="3"/>
  <c r="H25" i="3"/>
  <c r="G25" i="3"/>
  <c r="F25" i="3"/>
  <c r="E25" i="3"/>
  <c r="D25" i="3"/>
  <c r="C25" i="3"/>
  <c r="B28" i="3"/>
  <c r="B27" i="3"/>
  <c r="B26" i="3"/>
  <c r="B25" i="3"/>
  <c r="K128" i="3" l="1"/>
  <c r="K129" i="3"/>
  <c r="K141" i="3"/>
  <c r="K139" i="3"/>
  <c r="K140" i="3"/>
  <c r="K130" i="3"/>
  <c r="J119" i="3"/>
  <c r="J129" i="3"/>
  <c r="J128" i="3"/>
  <c r="J141" i="3"/>
  <c r="J139" i="3"/>
  <c r="J130" i="3"/>
  <c r="J140" i="3"/>
  <c r="J58" i="3"/>
  <c r="G147" i="3"/>
  <c r="J61" i="3"/>
  <c r="F146" i="3"/>
  <c r="C96" i="3"/>
  <c r="K119" i="3"/>
  <c r="C147" i="3"/>
  <c r="H148" i="3"/>
  <c r="M20" i="9"/>
  <c r="K25" i="3"/>
  <c r="K61" i="3"/>
  <c r="K91" i="3"/>
  <c r="K28" i="3"/>
  <c r="M146" i="3"/>
  <c r="C149" i="3"/>
  <c r="G149" i="3"/>
  <c r="C146" i="3"/>
  <c r="B147" i="3"/>
  <c r="F147" i="3"/>
  <c r="M147" i="3"/>
  <c r="D149" i="3"/>
  <c r="H149" i="3"/>
  <c r="H152" i="3" s="1"/>
  <c r="D146" i="3"/>
  <c r="D151" i="3" s="1"/>
  <c r="H146" i="3"/>
  <c r="B148" i="3"/>
  <c r="F148" i="3"/>
  <c r="M148" i="3"/>
  <c r="D147" i="3"/>
  <c r="H147" i="3"/>
  <c r="G148" i="3"/>
  <c r="B149" i="3"/>
  <c r="F149" i="3"/>
  <c r="F152" i="3" s="1"/>
  <c r="M149" i="3"/>
  <c r="K26" i="3"/>
  <c r="C148" i="3"/>
  <c r="G96" i="3"/>
  <c r="E96" i="3"/>
  <c r="E148" i="3"/>
  <c r="E151" i="3" s="1"/>
  <c r="G146" i="3"/>
  <c r="G152" i="3" s="1"/>
  <c r="B146" i="3"/>
  <c r="K92" i="3"/>
  <c r="K58" i="3"/>
  <c r="K94" i="3"/>
  <c r="K59" i="3"/>
  <c r="B95" i="3"/>
  <c r="M95" i="3"/>
  <c r="G97" i="3"/>
  <c r="H151" i="3"/>
  <c r="C97" i="3"/>
  <c r="M97" i="3"/>
  <c r="H96" i="3"/>
  <c r="E97" i="3"/>
  <c r="C95" i="3"/>
  <c r="G95" i="3"/>
  <c r="F96" i="3"/>
  <c r="D97" i="3"/>
  <c r="H97" i="3"/>
  <c r="D95" i="3"/>
  <c r="H95" i="3"/>
  <c r="D96" i="3"/>
  <c r="M96" i="3"/>
  <c r="G151" i="3"/>
  <c r="E152" i="3"/>
  <c r="E150" i="3"/>
  <c r="C150" i="3"/>
  <c r="G150" i="3"/>
  <c r="E95" i="3"/>
  <c r="H150" i="3"/>
  <c r="B97" i="3"/>
  <c r="F97" i="3"/>
  <c r="K117" i="3"/>
  <c r="J118" i="3"/>
  <c r="J117" i="3"/>
  <c r="G27" i="9"/>
  <c r="E27" i="9"/>
  <c r="D27" i="9"/>
  <c r="C27" i="9"/>
  <c r="H5" i="9"/>
  <c r="F5" i="9"/>
  <c r="E5" i="9"/>
  <c r="D5" i="9"/>
  <c r="C5" i="9"/>
  <c r="J83" i="3"/>
  <c r="J94" i="3" s="1"/>
  <c r="J82" i="3"/>
  <c r="J93" i="3" s="1"/>
  <c r="J81" i="3"/>
  <c r="J92" i="3" s="1"/>
  <c r="J80" i="3"/>
  <c r="J91" i="3" s="1"/>
  <c r="J17" i="3"/>
  <c r="J16" i="3"/>
  <c r="J15" i="3"/>
  <c r="J14" i="3"/>
  <c r="J6" i="3"/>
  <c r="J5" i="3"/>
  <c r="J27" i="3" s="1"/>
  <c r="J4" i="3"/>
  <c r="J3" i="3"/>
  <c r="J25" i="3" s="1"/>
  <c r="K95" i="3" l="1"/>
  <c r="J26" i="3"/>
  <c r="C151" i="3"/>
  <c r="B152" i="3"/>
  <c r="J95" i="3"/>
  <c r="J28" i="3"/>
  <c r="M151" i="3"/>
  <c r="M150" i="3"/>
  <c r="M152" i="3"/>
  <c r="K97" i="3"/>
  <c r="K146" i="3"/>
  <c r="K149" i="3"/>
  <c r="J148" i="3"/>
  <c r="B150" i="3"/>
  <c r="J149" i="3"/>
  <c r="J146" i="3"/>
  <c r="J152" i="3" s="1"/>
  <c r="K147" i="3"/>
  <c r="J147" i="3"/>
  <c r="D150" i="3"/>
  <c r="C152" i="3"/>
  <c r="B151" i="3"/>
  <c r="D152" i="3"/>
  <c r="F150" i="3"/>
  <c r="J96" i="3"/>
  <c r="J151" i="3"/>
  <c r="J97" i="3"/>
  <c r="F151" i="3"/>
  <c r="G26" i="9"/>
  <c r="G24" i="9"/>
  <c r="G23" i="9"/>
  <c r="G21" i="9"/>
  <c r="G20" i="9"/>
  <c r="G18" i="9"/>
  <c r="G17" i="9"/>
  <c r="H8" i="9"/>
  <c r="H11" i="9"/>
  <c r="K150" i="3" l="1"/>
  <c r="K152" i="3"/>
  <c r="H14" i="9"/>
  <c r="J150" i="3"/>
  <c r="G27" i="8"/>
  <c r="E27" i="8"/>
  <c r="D27" i="8"/>
  <c r="C27" i="8"/>
  <c r="G13" i="9"/>
  <c r="E26" i="9"/>
  <c r="D26" i="9"/>
  <c r="C26" i="9"/>
  <c r="E24" i="9"/>
  <c r="D24" i="9"/>
  <c r="C24" i="9"/>
  <c r="E23" i="9"/>
  <c r="D23" i="9"/>
  <c r="C23" i="9"/>
  <c r="E21" i="9"/>
  <c r="D21" i="9"/>
  <c r="C21" i="9"/>
  <c r="E20" i="9"/>
  <c r="D20" i="9"/>
  <c r="C20" i="9"/>
  <c r="E18" i="9"/>
  <c r="D18" i="9"/>
  <c r="C18" i="9"/>
  <c r="E17" i="9"/>
  <c r="D17" i="9"/>
  <c r="C17" i="9"/>
  <c r="G12" i="9"/>
  <c r="F11" i="9"/>
  <c r="E11" i="9"/>
  <c r="D11" i="9"/>
  <c r="C11" i="9"/>
  <c r="G25" i="9" s="1"/>
  <c r="G10" i="9"/>
  <c r="G9" i="9"/>
  <c r="F8" i="9"/>
  <c r="F14" i="9" s="1"/>
  <c r="E8" i="9"/>
  <c r="D8" i="9"/>
  <c r="C8" i="9"/>
  <c r="C14" i="9" s="1"/>
  <c r="G7" i="9"/>
  <c r="G6" i="9"/>
  <c r="K38" i="3" s="1"/>
  <c r="G4" i="9"/>
  <c r="G3" i="9"/>
  <c r="C1" i="9"/>
  <c r="G13" i="8"/>
  <c r="F27" i="8" s="1"/>
  <c r="G26" i="8"/>
  <c r="F26" i="8"/>
  <c r="C26" i="8"/>
  <c r="G24" i="8"/>
  <c r="F24" i="8"/>
  <c r="C24" i="8"/>
  <c r="G23" i="8"/>
  <c r="F23" i="8"/>
  <c r="C23" i="8"/>
  <c r="G21" i="8"/>
  <c r="F21" i="8"/>
  <c r="C21" i="8"/>
  <c r="G20" i="8"/>
  <c r="F20" i="8"/>
  <c r="C20" i="8"/>
  <c r="G18" i="8"/>
  <c r="F18" i="8"/>
  <c r="C18" i="8"/>
  <c r="G17" i="8"/>
  <c r="F17" i="8"/>
  <c r="C17" i="8"/>
  <c r="I12" i="8"/>
  <c r="H26" i="8" s="1"/>
  <c r="E12" i="8"/>
  <c r="D26" i="8" s="1"/>
  <c r="H11" i="8"/>
  <c r="G11" i="8"/>
  <c r="D11" i="8"/>
  <c r="C11" i="8"/>
  <c r="I10" i="8"/>
  <c r="H24" i="8" s="1"/>
  <c r="E10" i="8"/>
  <c r="F10" i="8" s="1"/>
  <c r="E24" i="8" s="1"/>
  <c r="I9" i="8"/>
  <c r="H23" i="8" s="1"/>
  <c r="E9" i="8"/>
  <c r="D23" i="8" s="1"/>
  <c r="H8" i="8"/>
  <c r="H14" i="8" s="1"/>
  <c r="G8" i="8"/>
  <c r="G14" i="8" s="1"/>
  <c r="D8" i="8"/>
  <c r="D14" i="8" s="1"/>
  <c r="C8" i="8"/>
  <c r="C14" i="8" s="1"/>
  <c r="I7" i="8"/>
  <c r="H21" i="8" s="1"/>
  <c r="E7" i="8"/>
  <c r="D21" i="8" s="1"/>
  <c r="I6" i="8"/>
  <c r="E6" i="8"/>
  <c r="F6" i="8" s="1"/>
  <c r="I4" i="8"/>
  <c r="H18" i="8" s="1"/>
  <c r="E4" i="8"/>
  <c r="D18" i="8" s="1"/>
  <c r="I3" i="8"/>
  <c r="E3" i="8"/>
  <c r="C1" i="8"/>
  <c r="D17" i="8" l="1"/>
  <c r="E5" i="8"/>
  <c r="H17" i="8"/>
  <c r="I5" i="8"/>
  <c r="G25" i="8"/>
  <c r="I13" i="8"/>
  <c r="H27" i="8" s="1"/>
  <c r="D14" i="9"/>
  <c r="E14" i="9"/>
  <c r="F17" i="9"/>
  <c r="K5" i="3"/>
  <c r="G5" i="9"/>
  <c r="G22" i="9"/>
  <c r="F23" i="9"/>
  <c r="K82" i="3"/>
  <c r="K115" i="3"/>
  <c r="K118" i="3" s="1"/>
  <c r="F27" i="9"/>
  <c r="F18" i="9"/>
  <c r="K16" i="3"/>
  <c r="F24" i="9"/>
  <c r="K71" i="3"/>
  <c r="F26" i="9"/>
  <c r="K104" i="3"/>
  <c r="F21" i="9"/>
  <c r="K49" i="3"/>
  <c r="K60" i="3" s="1"/>
  <c r="C25" i="9"/>
  <c r="E25" i="9"/>
  <c r="E22" i="9"/>
  <c r="G8" i="9"/>
  <c r="F22" i="9" s="1"/>
  <c r="D25" i="9"/>
  <c r="D22" i="9"/>
  <c r="C22" i="9"/>
  <c r="F20" i="9"/>
  <c r="G11" i="9"/>
  <c r="F25" i="9" s="1"/>
  <c r="G22" i="8"/>
  <c r="I8" i="8"/>
  <c r="H22" i="8" s="1"/>
  <c r="F9" i="8"/>
  <c r="E23" i="8" s="1"/>
  <c r="C25" i="8"/>
  <c r="F25" i="8"/>
  <c r="F7" i="8"/>
  <c r="E21" i="8" s="1"/>
  <c r="F22" i="8"/>
  <c r="F3" i="8"/>
  <c r="E20" i="8"/>
  <c r="C22" i="8"/>
  <c r="F4" i="8"/>
  <c r="E18" i="8" s="1"/>
  <c r="F12" i="8"/>
  <c r="E26" i="8" s="1"/>
  <c r="D20" i="8"/>
  <c r="H20" i="8"/>
  <c r="D24" i="8"/>
  <c r="E8" i="8"/>
  <c r="D22" i="8" s="1"/>
  <c r="E11" i="8"/>
  <c r="D25" i="8" s="1"/>
  <c r="I11" i="8"/>
  <c r="H25" i="8" s="1"/>
  <c r="F5" i="8" l="1"/>
  <c r="I14" i="8"/>
  <c r="F11" i="8"/>
  <c r="E25" i="8" s="1"/>
  <c r="E14" i="8"/>
  <c r="E17" i="8"/>
  <c r="K93" i="3"/>
  <c r="K96" i="3" s="1"/>
  <c r="K27" i="3"/>
  <c r="G14" i="9"/>
  <c r="F8" i="8"/>
  <c r="E22" i="8" s="1"/>
  <c r="F14" i="8" l="1"/>
  <c r="K148" i="3"/>
  <c r="K151" i="3" s="1"/>
  <c r="G8" i="7" l="1"/>
  <c r="G5" i="7"/>
  <c r="C18" i="7"/>
  <c r="C17" i="7"/>
  <c r="C16" i="7"/>
  <c r="K108" i="3" l="1"/>
  <c r="K107" i="3"/>
  <c r="K106" i="3"/>
  <c r="K64" i="3"/>
  <c r="K63" i="3"/>
  <c r="K62" i="3"/>
  <c r="K75" i="3"/>
  <c r="K74" i="3"/>
  <c r="K73" i="3"/>
  <c r="K53" i="3"/>
  <c r="K52" i="3"/>
  <c r="K51" i="3"/>
  <c r="K42" i="3"/>
  <c r="K41" i="3"/>
  <c r="K40" i="3"/>
  <c r="K31" i="3"/>
  <c r="K30" i="3"/>
  <c r="K29" i="3"/>
  <c r="K86" i="3"/>
  <c r="K85" i="3"/>
  <c r="K84" i="3"/>
  <c r="K20" i="3"/>
  <c r="K19" i="3"/>
  <c r="K18" i="3"/>
  <c r="K9" i="3"/>
  <c r="K8" i="3"/>
  <c r="K7" i="3"/>
  <c r="M108" i="3"/>
  <c r="M107" i="3"/>
  <c r="M106" i="3"/>
  <c r="M64" i="3"/>
  <c r="M63" i="3"/>
  <c r="M62" i="3"/>
  <c r="M75" i="3"/>
  <c r="M74" i="3"/>
  <c r="M73" i="3"/>
  <c r="M53" i="3"/>
  <c r="M52" i="3"/>
  <c r="M51" i="3"/>
  <c r="M42" i="3"/>
  <c r="M41" i="3"/>
  <c r="M40" i="3"/>
  <c r="M31" i="3"/>
  <c r="M30" i="3"/>
  <c r="M29" i="3"/>
  <c r="M86" i="3"/>
  <c r="M85" i="3"/>
  <c r="M84" i="3"/>
  <c r="M20" i="3"/>
  <c r="M19" i="3"/>
  <c r="M18" i="3"/>
  <c r="M9" i="3"/>
  <c r="J106" i="3"/>
  <c r="J108" i="3"/>
  <c r="J107" i="3"/>
  <c r="J64" i="3"/>
  <c r="J63" i="3"/>
  <c r="J62" i="3"/>
  <c r="J75" i="3"/>
  <c r="J74" i="3"/>
  <c r="J73" i="3"/>
  <c r="J52" i="3"/>
  <c r="J51" i="3"/>
  <c r="J53" i="3"/>
  <c r="J42" i="3"/>
  <c r="J41" i="3"/>
  <c r="J40" i="3"/>
  <c r="J31" i="3"/>
  <c r="J30" i="3"/>
  <c r="J29" i="3"/>
  <c r="J85" i="3"/>
  <c r="J84" i="3"/>
  <c r="J86" i="3"/>
  <c r="J18" i="3"/>
  <c r="J20" i="3"/>
  <c r="J19" i="3"/>
  <c r="J9" i="3"/>
  <c r="J8" i="3"/>
  <c r="J7" i="3"/>
  <c r="G25" i="7" l="1"/>
  <c r="G23" i="7"/>
  <c r="G22" i="7"/>
  <c r="G20" i="7"/>
  <c r="G19" i="7"/>
  <c r="G17" i="7"/>
  <c r="G16" i="7"/>
  <c r="H11" i="7"/>
  <c r="H8" i="7"/>
  <c r="H5" i="7"/>
  <c r="H13" i="7" l="1"/>
  <c r="E25" i="7" l="1"/>
  <c r="D25" i="7"/>
  <c r="E23" i="7"/>
  <c r="D23" i="7"/>
  <c r="E22" i="7"/>
  <c r="D22" i="7"/>
  <c r="E20" i="7"/>
  <c r="D20" i="7"/>
  <c r="E19" i="7"/>
  <c r="D19" i="7"/>
  <c r="E17" i="7"/>
  <c r="D17" i="7"/>
  <c r="E16" i="7"/>
  <c r="D16" i="7"/>
  <c r="G12" i="7"/>
  <c r="F25" i="7" s="1"/>
  <c r="F11" i="7"/>
  <c r="E11" i="7"/>
  <c r="C11" i="7"/>
  <c r="G24" i="7" s="1"/>
  <c r="G10" i="7"/>
  <c r="F23" i="7" s="1"/>
  <c r="C23" i="7"/>
  <c r="G9" i="7"/>
  <c r="F22" i="7" s="1"/>
  <c r="C22" i="7"/>
  <c r="F8" i="7"/>
  <c r="E8" i="7"/>
  <c r="C8" i="7"/>
  <c r="G7" i="7"/>
  <c r="F20" i="7" s="1"/>
  <c r="G6" i="7"/>
  <c r="F5" i="7"/>
  <c r="E5" i="7"/>
  <c r="C5" i="7"/>
  <c r="G18" i="7" s="1"/>
  <c r="G4" i="7"/>
  <c r="F17" i="7" s="1"/>
  <c r="G3" i="7"/>
  <c r="F16" i="7" s="1"/>
  <c r="C1" i="7"/>
  <c r="C17" i="5"/>
  <c r="D17" i="5"/>
  <c r="E17" i="5"/>
  <c r="F17" i="5"/>
  <c r="G17" i="5"/>
  <c r="H17" i="5"/>
  <c r="C18" i="5"/>
  <c r="D18" i="5"/>
  <c r="E18" i="5"/>
  <c r="F18" i="5"/>
  <c r="G18" i="5"/>
  <c r="H18" i="5"/>
  <c r="C19" i="5"/>
  <c r="D19" i="5"/>
  <c r="E19" i="5"/>
  <c r="F19" i="5"/>
  <c r="G19" i="5"/>
  <c r="H19" i="5"/>
  <c r="C20" i="5"/>
  <c r="D20" i="5"/>
  <c r="E20" i="5"/>
  <c r="F20" i="5"/>
  <c r="G20" i="5"/>
  <c r="H20" i="5"/>
  <c r="C21" i="5"/>
  <c r="D21" i="5"/>
  <c r="E21" i="5"/>
  <c r="F21" i="5"/>
  <c r="G21" i="5"/>
  <c r="H21" i="5"/>
  <c r="C22" i="5"/>
  <c r="F22" i="5"/>
  <c r="G22" i="5"/>
  <c r="H22" i="5"/>
  <c r="C23" i="5"/>
  <c r="F23" i="5"/>
  <c r="G23" i="5"/>
  <c r="C25" i="5"/>
  <c r="D25" i="5"/>
  <c r="E25" i="5"/>
  <c r="F25" i="5"/>
  <c r="G25" i="5"/>
  <c r="H25" i="5"/>
  <c r="I11" i="5"/>
  <c r="H24" i="5" s="1"/>
  <c r="H11" i="5"/>
  <c r="G24" i="5" s="1"/>
  <c r="G11" i="5"/>
  <c r="F24" i="5" s="1"/>
  <c r="D11" i="5"/>
  <c r="C24" i="5" s="1"/>
  <c r="C11" i="5"/>
  <c r="I10" i="5"/>
  <c r="H23" i="5" s="1"/>
  <c r="E10" i="5"/>
  <c r="F10" i="5" s="1"/>
  <c r="E23" i="5" s="1"/>
  <c r="I9" i="5"/>
  <c r="E9" i="5"/>
  <c r="F9" i="5" s="1"/>
  <c r="F11" i="5" s="1"/>
  <c r="E24" i="5" s="1"/>
  <c r="G25" i="6"/>
  <c r="F25" i="6"/>
  <c r="C25" i="6"/>
  <c r="G23" i="6"/>
  <c r="F23" i="6"/>
  <c r="C23" i="6"/>
  <c r="G22" i="6"/>
  <c r="F22" i="6"/>
  <c r="D22" i="6"/>
  <c r="C22" i="6"/>
  <c r="C21" i="6"/>
  <c r="G20" i="6"/>
  <c r="F20" i="6"/>
  <c r="C20" i="6"/>
  <c r="G19" i="6"/>
  <c r="F19" i="6"/>
  <c r="E19" i="6"/>
  <c r="D19" i="6"/>
  <c r="C19" i="6"/>
  <c r="C18" i="6"/>
  <c r="G17" i="6"/>
  <c r="F17" i="6"/>
  <c r="C17" i="6"/>
  <c r="G16" i="6"/>
  <c r="F16" i="6"/>
  <c r="C16" i="6"/>
  <c r="D13" i="6"/>
  <c r="C26" i="6" s="1"/>
  <c r="I12" i="6"/>
  <c r="H25" i="6" s="1"/>
  <c r="E12" i="6"/>
  <c r="D25" i="6" s="1"/>
  <c r="H11" i="6"/>
  <c r="G24" i="6" s="1"/>
  <c r="G11" i="6"/>
  <c r="F24" i="6" s="1"/>
  <c r="D11" i="6"/>
  <c r="C24" i="6" s="1"/>
  <c r="C11" i="6"/>
  <c r="I10" i="6"/>
  <c r="E10" i="6"/>
  <c r="D23" i="6" s="1"/>
  <c r="I9" i="6"/>
  <c r="H22" i="6" s="1"/>
  <c r="E9" i="6"/>
  <c r="E11" i="6" s="1"/>
  <c r="D24" i="6" s="1"/>
  <c r="H8" i="6"/>
  <c r="G21" i="6" s="1"/>
  <c r="G8" i="6"/>
  <c r="F21" i="6" s="1"/>
  <c r="D8" i="6"/>
  <c r="C8" i="6"/>
  <c r="I7" i="6"/>
  <c r="E7" i="6"/>
  <c r="D20" i="6" s="1"/>
  <c r="I6" i="6"/>
  <c r="H19" i="6" s="1"/>
  <c r="F6" i="6"/>
  <c r="E6" i="6"/>
  <c r="E8" i="6" s="1"/>
  <c r="D21" i="6" s="1"/>
  <c r="H5" i="6"/>
  <c r="G18" i="6" s="1"/>
  <c r="G5" i="6"/>
  <c r="F18" i="6" s="1"/>
  <c r="E5" i="6"/>
  <c r="D18" i="6" s="1"/>
  <c r="D5" i="6"/>
  <c r="C5" i="6"/>
  <c r="C13" i="6" s="1"/>
  <c r="I4" i="6"/>
  <c r="H17" i="6" s="1"/>
  <c r="E4" i="6"/>
  <c r="F4" i="6" s="1"/>
  <c r="E17" i="6" s="1"/>
  <c r="I3" i="6"/>
  <c r="E3" i="6"/>
  <c r="D16" i="6" s="1"/>
  <c r="C1" i="6"/>
  <c r="E21" i="7" l="1"/>
  <c r="G21" i="7"/>
  <c r="E13" i="7"/>
  <c r="I11" i="6"/>
  <c r="H24" i="6" s="1"/>
  <c r="I8" i="6"/>
  <c r="H21" i="6" s="1"/>
  <c r="I5" i="6"/>
  <c r="F21" i="7"/>
  <c r="E22" i="5"/>
  <c r="D22" i="5"/>
  <c r="D23" i="5"/>
  <c r="C13" i="7"/>
  <c r="G26" i="7" s="1"/>
  <c r="C20" i="7"/>
  <c r="D21" i="7"/>
  <c r="E24" i="7"/>
  <c r="D18" i="7"/>
  <c r="F18" i="7"/>
  <c r="E18" i="7"/>
  <c r="C19" i="7"/>
  <c r="C25" i="7"/>
  <c r="F19" i="7"/>
  <c r="D24" i="7"/>
  <c r="F13" i="7"/>
  <c r="D11" i="7"/>
  <c r="C24" i="7" s="1"/>
  <c r="G11" i="7"/>
  <c r="F24" i="7" s="1"/>
  <c r="E11" i="5"/>
  <c r="D24" i="5" s="1"/>
  <c r="H18" i="6"/>
  <c r="F10" i="6"/>
  <c r="E23" i="6" s="1"/>
  <c r="G13" i="6"/>
  <c r="F26" i="6" s="1"/>
  <c r="H20" i="6"/>
  <c r="F7" i="6"/>
  <c r="H16" i="6"/>
  <c r="F12" i="6"/>
  <c r="E25" i="6" s="1"/>
  <c r="F9" i="6"/>
  <c r="D17" i="6"/>
  <c r="H23" i="6"/>
  <c r="H13" i="6"/>
  <c r="G26" i="6" s="1"/>
  <c r="E13" i="6"/>
  <c r="D26" i="6" s="1"/>
  <c r="F3" i="6"/>
  <c r="G13" i="7" l="1"/>
  <c r="F26" i="7" s="1"/>
  <c r="D26" i="7"/>
  <c r="I13" i="6"/>
  <c r="H26" i="6" s="1"/>
  <c r="D8" i="7"/>
  <c r="C21" i="7" s="1"/>
  <c r="E26" i="7"/>
  <c r="D5" i="7"/>
  <c r="F8" i="6"/>
  <c r="E21" i="6" s="1"/>
  <c r="E20" i="6"/>
  <c r="F5" i="6"/>
  <c r="E16" i="6"/>
  <c r="F11" i="6"/>
  <c r="E24" i="6" s="1"/>
  <c r="E22" i="6"/>
  <c r="D13" i="7" l="1"/>
  <c r="C26" i="7" s="1"/>
  <c r="E18" i="6"/>
  <c r="F13" i="6"/>
  <c r="E26" i="6" s="1"/>
  <c r="C1" i="5" l="1"/>
  <c r="E3" i="5"/>
  <c r="D16" i="5" s="1"/>
  <c r="F3" i="5"/>
  <c r="E16" i="5" s="1"/>
  <c r="I3" i="5"/>
  <c r="E4" i="5"/>
  <c r="I4" i="5"/>
  <c r="C5" i="5"/>
  <c r="D5" i="5"/>
  <c r="G5" i="5"/>
  <c r="G13" i="5" s="1"/>
  <c r="H5" i="5"/>
  <c r="H13" i="5" s="1"/>
  <c r="E6" i="5"/>
  <c r="F6" i="5" s="1"/>
  <c r="I6" i="5"/>
  <c r="E7" i="5"/>
  <c r="F7" i="5"/>
  <c r="I7" i="5"/>
  <c r="C8" i="5"/>
  <c r="D8" i="5"/>
  <c r="G8" i="5"/>
  <c r="H8" i="5"/>
  <c r="E12" i="5"/>
  <c r="F12" i="5"/>
  <c r="I12" i="5"/>
  <c r="C16" i="5"/>
  <c r="F16" i="5"/>
  <c r="G16" i="5"/>
  <c r="L14" i="1"/>
  <c r="M15" i="1"/>
  <c r="M16" i="1"/>
  <c r="M17" i="1"/>
  <c r="D13" i="5" l="1"/>
  <c r="C13" i="5"/>
  <c r="G26" i="5" s="1"/>
  <c r="F4" i="5"/>
  <c r="I8" i="5"/>
  <c r="I5" i="5"/>
  <c r="F8" i="5"/>
  <c r="E8" i="5"/>
  <c r="H16" i="5"/>
  <c r="E5" i="5"/>
  <c r="K14" i="1"/>
  <c r="M14" i="1" s="1"/>
  <c r="F26" i="5" l="1"/>
  <c r="C26" i="5"/>
  <c r="E13" i="5"/>
  <c r="D26" i="5" s="1"/>
  <c r="I13" i="5"/>
  <c r="H26" i="5" s="1"/>
  <c r="F5" i="5"/>
  <c r="F13" i="5" s="1"/>
  <c r="E26" i="5" s="1"/>
  <c r="I105" i="3" l="1"/>
  <c r="I103" i="3"/>
  <c r="I102" i="3"/>
  <c r="I72" i="3"/>
  <c r="I70" i="3"/>
  <c r="I69" i="3"/>
  <c r="I50" i="3"/>
  <c r="I48" i="3"/>
  <c r="I47" i="3"/>
  <c r="I39" i="3"/>
  <c r="I37" i="3"/>
  <c r="I36" i="3"/>
  <c r="I58" i="3" s="1"/>
  <c r="I83" i="3"/>
  <c r="I81" i="3"/>
  <c r="I80" i="3"/>
  <c r="I17" i="3"/>
  <c r="I15" i="3"/>
  <c r="I14" i="3"/>
  <c r="I6" i="3"/>
  <c r="I4" i="3"/>
  <c r="I26" i="3" s="1"/>
  <c r="I3" i="3"/>
  <c r="B19" i="3"/>
  <c r="I140" i="3" l="1"/>
  <c r="I130" i="3"/>
  <c r="I129" i="3"/>
  <c r="I128" i="3"/>
  <c r="I141" i="3"/>
  <c r="I139" i="3"/>
  <c r="I94" i="3"/>
  <c r="I119" i="3"/>
  <c r="I118" i="3"/>
  <c r="I117" i="3"/>
  <c r="I91" i="3"/>
  <c r="I92" i="3"/>
  <c r="I59" i="3"/>
  <c r="I61" i="3"/>
  <c r="I25" i="3"/>
  <c r="I28" i="3"/>
  <c r="I106" i="3"/>
  <c r="H106" i="3"/>
  <c r="G106" i="3"/>
  <c r="F106" i="3"/>
  <c r="E106" i="3"/>
  <c r="D106" i="3"/>
  <c r="C106" i="3"/>
  <c r="I108" i="3"/>
  <c r="H108" i="3"/>
  <c r="G108" i="3"/>
  <c r="F108" i="3"/>
  <c r="E108" i="3"/>
  <c r="D108" i="3"/>
  <c r="C108" i="3"/>
  <c r="H107" i="3"/>
  <c r="G107" i="3"/>
  <c r="F107" i="3"/>
  <c r="E107" i="3"/>
  <c r="D107" i="3"/>
  <c r="C107" i="3"/>
  <c r="B106" i="3"/>
  <c r="B108" i="3"/>
  <c r="B107" i="3"/>
  <c r="H62" i="3"/>
  <c r="G62" i="3"/>
  <c r="F62" i="3"/>
  <c r="E62" i="3"/>
  <c r="D62" i="3"/>
  <c r="C62" i="3"/>
  <c r="H64" i="3"/>
  <c r="G64" i="3"/>
  <c r="F64" i="3"/>
  <c r="E64" i="3"/>
  <c r="D64" i="3"/>
  <c r="C64" i="3"/>
  <c r="H63" i="3"/>
  <c r="G63" i="3"/>
  <c r="F63" i="3"/>
  <c r="E63" i="3"/>
  <c r="D63" i="3"/>
  <c r="C63" i="3"/>
  <c r="B62" i="3"/>
  <c r="B64" i="3"/>
  <c r="B63" i="3"/>
  <c r="I51" i="3"/>
  <c r="H51" i="3"/>
  <c r="G51" i="3"/>
  <c r="F51" i="3"/>
  <c r="E51" i="3"/>
  <c r="D51" i="3"/>
  <c r="C51" i="3"/>
  <c r="I53" i="3"/>
  <c r="H53" i="3"/>
  <c r="G53" i="3"/>
  <c r="F53" i="3"/>
  <c r="E53" i="3"/>
  <c r="D53" i="3"/>
  <c r="C53" i="3"/>
  <c r="H52" i="3"/>
  <c r="G52" i="3"/>
  <c r="F52" i="3"/>
  <c r="E52" i="3"/>
  <c r="D52" i="3"/>
  <c r="C52" i="3"/>
  <c r="B51" i="3"/>
  <c r="B53" i="3"/>
  <c r="B52" i="3"/>
  <c r="I73" i="3"/>
  <c r="H73" i="3"/>
  <c r="G73" i="3"/>
  <c r="F73" i="3"/>
  <c r="E73" i="3"/>
  <c r="D73" i="3"/>
  <c r="C73" i="3"/>
  <c r="I75" i="3"/>
  <c r="H75" i="3"/>
  <c r="G75" i="3"/>
  <c r="F75" i="3"/>
  <c r="E75" i="3"/>
  <c r="D75" i="3"/>
  <c r="C75" i="3"/>
  <c r="H74" i="3"/>
  <c r="G74" i="3"/>
  <c r="F74" i="3"/>
  <c r="E74" i="3"/>
  <c r="D74" i="3"/>
  <c r="C74" i="3"/>
  <c r="B73" i="3"/>
  <c r="B75" i="3"/>
  <c r="B74" i="3"/>
  <c r="I40" i="3"/>
  <c r="H40" i="3"/>
  <c r="G40" i="3"/>
  <c r="F40" i="3"/>
  <c r="E40" i="3"/>
  <c r="D40" i="3"/>
  <c r="C40" i="3"/>
  <c r="I42" i="3"/>
  <c r="H42" i="3"/>
  <c r="G42" i="3"/>
  <c r="F42" i="3"/>
  <c r="E42" i="3"/>
  <c r="D42" i="3"/>
  <c r="C42" i="3"/>
  <c r="H41" i="3"/>
  <c r="G41" i="3"/>
  <c r="F41" i="3"/>
  <c r="E41" i="3"/>
  <c r="D41" i="3"/>
  <c r="C41" i="3"/>
  <c r="B40" i="3"/>
  <c r="B42" i="3"/>
  <c r="B41" i="3"/>
  <c r="H29" i="3"/>
  <c r="G29" i="3"/>
  <c r="F29" i="3"/>
  <c r="E29" i="3"/>
  <c r="D29" i="3"/>
  <c r="C29" i="3"/>
  <c r="H31" i="3"/>
  <c r="G31" i="3"/>
  <c r="F31" i="3"/>
  <c r="E31" i="3"/>
  <c r="D31" i="3"/>
  <c r="C31" i="3"/>
  <c r="H30" i="3"/>
  <c r="G30" i="3"/>
  <c r="F30" i="3"/>
  <c r="E30" i="3"/>
  <c r="D30" i="3"/>
  <c r="C30" i="3"/>
  <c r="B29" i="3"/>
  <c r="B31" i="3"/>
  <c r="B30" i="3"/>
  <c r="I18" i="3"/>
  <c r="H18" i="3"/>
  <c r="G18" i="3"/>
  <c r="F18" i="3"/>
  <c r="E18" i="3"/>
  <c r="D18" i="3"/>
  <c r="C18" i="3"/>
  <c r="I20" i="3"/>
  <c r="H20" i="3"/>
  <c r="G20" i="3"/>
  <c r="F20" i="3"/>
  <c r="E20" i="3"/>
  <c r="D20" i="3"/>
  <c r="C20" i="3"/>
  <c r="H19" i="3"/>
  <c r="G19" i="3"/>
  <c r="F19" i="3"/>
  <c r="E19" i="3"/>
  <c r="D19" i="3"/>
  <c r="C19" i="3"/>
  <c r="B18" i="3"/>
  <c r="B20" i="3"/>
  <c r="I84" i="3"/>
  <c r="H84" i="3"/>
  <c r="G84" i="3"/>
  <c r="F84" i="3"/>
  <c r="E84" i="3"/>
  <c r="D84" i="3"/>
  <c r="C84" i="3"/>
  <c r="I86" i="3"/>
  <c r="H86" i="3"/>
  <c r="G86" i="3"/>
  <c r="F86" i="3"/>
  <c r="E86" i="3"/>
  <c r="D86" i="3"/>
  <c r="C86" i="3"/>
  <c r="H85" i="3"/>
  <c r="G85" i="3"/>
  <c r="F85" i="3"/>
  <c r="E85" i="3"/>
  <c r="D85" i="3"/>
  <c r="C85" i="3"/>
  <c r="B84" i="3"/>
  <c r="B86" i="3"/>
  <c r="B85" i="3"/>
  <c r="I7" i="3"/>
  <c r="H7" i="3"/>
  <c r="G7" i="3"/>
  <c r="F7" i="3"/>
  <c r="E7" i="3"/>
  <c r="D7" i="3"/>
  <c r="C7" i="3"/>
  <c r="I9" i="3"/>
  <c r="H9" i="3"/>
  <c r="G9" i="3"/>
  <c r="F9" i="3"/>
  <c r="E9" i="3"/>
  <c r="D9" i="3"/>
  <c r="C9" i="3"/>
  <c r="H8" i="3"/>
  <c r="G8" i="3"/>
  <c r="F8" i="3"/>
  <c r="E8" i="3"/>
  <c r="D8" i="3"/>
  <c r="C8" i="3"/>
  <c r="B7" i="3"/>
  <c r="B9" i="3"/>
  <c r="B8" i="3"/>
  <c r="I149" i="3" l="1"/>
  <c r="I97" i="3"/>
  <c r="I147" i="3"/>
  <c r="I146" i="3"/>
  <c r="I152" i="3" s="1"/>
  <c r="I95" i="3"/>
  <c r="G22" i="1"/>
  <c r="G20" i="1"/>
  <c r="G19" i="1"/>
  <c r="G18" i="1"/>
  <c r="G16" i="1"/>
  <c r="G15" i="1"/>
  <c r="G14" i="1"/>
  <c r="H10" i="1"/>
  <c r="I64" i="3" s="1"/>
  <c r="H6" i="1"/>
  <c r="C6" i="1"/>
  <c r="C10" i="1"/>
  <c r="I150" i="3" l="1"/>
  <c r="I31" i="3"/>
  <c r="G17" i="1"/>
  <c r="G21" i="1"/>
  <c r="E22" i="1"/>
  <c r="D22" i="1"/>
  <c r="C22" i="1"/>
  <c r="E20" i="1"/>
  <c r="D20" i="1"/>
  <c r="C20" i="1"/>
  <c r="E19" i="1"/>
  <c r="D19" i="1"/>
  <c r="C19" i="1"/>
  <c r="E18" i="1"/>
  <c r="D18" i="1"/>
  <c r="C18" i="1"/>
  <c r="E16" i="1"/>
  <c r="D16" i="1"/>
  <c r="C16" i="1"/>
  <c r="E15" i="1"/>
  <c r="D15" i="1"/>
  <c r="C15" i="1"/>
  <c r="E14" i="1"/>
  <c r="D14" i="1"/>
  <c r="C14" i="1"/>
  <c r="G11" i="1"/>
  <c r="F10" i="1"/>
  <c r="E21" i="1" s="1"/>
  <c r="E10" i="1"/>
  <c r="D21" i="1" s="1"/>
  <c r="D10" i="1"/>
  <c r="G9" i="1"/>
  <c r="G8" i="1"/>
  <c r="G7" i="1"/>
  <c r="F6" i="1"/>
  <c r="E17" i="1" s="1"/>
  <c r="E6" i="1"/>
  <c r="D17" i="1" s="1"/>
  <c r="D6" i="1"/>
  <c r="G5" i="1"/>
  <c r="G4" i="1"/>
  <c r="G3" i="1"/>
  <c r="C1" i="1"/>
  <c r="F18" i="1" l="1"/>
  <c r="I38" i="3"/>
  <c r="F22" i="1"/>
  <c r="I104" i="3"/>
  <c r="F19" i="1"/>
  <c r="I49" i="3"/>
  <c r="I52" i="3" s="1"/>
  <c r="F14" i="1"/>
  <c r="I5" i="3"/>
  <c r="F20" i="1"/>
  <c r="I71" i="3"/>
  <c r="F15" i="1"/>
  <c r="I16" i="3"/>
  <c r="I19" i="3" s="1"/>
  <c r="F16" i="1"/>
  <c r="I82" i="3"/>
  <c r="I85" i="3" s="1"/>
  <c r="C21" i="1"/>
  <c r="I62" i="3"/>
  <c r="C17" i="1"/>
  <c r="I29" i="3"/>
  <c r="G6" i="1"/>
  <c r="G10" i="1"/>
  <c r="I107" i="3" l="1"/>
  <c r="I74" i="3"/>
  <c r="I93" i="3"/>
  <c r="I96" i="3" s="1"/>
  <c r="I41" i="3"/>
  <c r="I60" i="3"/>
  <c r="I63" i="3" s="1"/>
  <c r="I8" i="3"/>
  <c r="I27" i="3"/>
  <c r="I30" i="3" s="1"/>
  <c r="F17" i="1"/>
  <c r="F21" i="1"/>
  <c r="I148" i="3" l="1"/>
  <c r="I151" i="3" s="1"/>
  <c r="F19" i="9"/>
  <c r="E28" i="9"/>
  <c r="F28" i="9"/>
  <c r="C19" i="9"/>
  <c r="C28" i="9"/>
  <c r="E19" i="9"/>
  <c r="D19" i="9"/>
  <c r="D28" i="9"/>
  <c r="G19" i="9"/>
  <c r="G28" i="9"/>
  <c r="C19" i="8"/>
  <c r="D19" i="8"/>
  <c r="G28" i="8"/>
  <c r="H19" i="8"/>
  <c r="G19" i="8"/>
  <c r="H28" i="8"/>
  <c r="F19" i="8"/>
  <c r="F28" i="8"/>
  <c r="C28" i="8"/>
  <c r="D28" i="8"/>
  <c r="E19" i="8"/>
  <c r="E28" i="8"/>
</calcChain>
</file>

<file path=xl/sharedStrings.xml><?xml version="1.0" encoding="utf-8"?>
<sst xmlns="http://schemas.openxmlformats.org/spreadsheetml/2006/main" count="890" uniqueCount="60">
  <si>
    <t>Tienda_Zona</t>
  </si>
  <si>
    <t>Sueldos</t>
  </si>
  <si>
    <t>Alquileres</t>
  </si>
  <si>
    <t>Expensas</t>
  </si>
  <si>
    <t>Total alquileres + expensas</t>
  </si>
  <si>
    <t>Florida</t>
  </si>
  <si>
    <t>Recoleta</t>
  </si>
  <si>
    <t>Güemes</t>
  </si>
  <si>
    <t>Lucero_Zona Centro</t>
  </si>
  <si>
    <t>San Telmo</t>
  </si>
  <si>
    <t>French</t>
  </si>
  <si>
    <t>San Telmo 2</t>
  </si>
  <si>
    <t>Lucero_Zona San Telmo</t>
  </si>
  <si>
    <t>AS San Telmo</t>
  </si>
  <si>
    <t>Venta</t>
  </si>
  <si>
    <t>Otros gastos</t>
  </si>
  <si>
    <t>Alquiler y expensas</t>
  </si>
  <si>
    <t>Concepto</t>
  </si>
  <si>
    <t>1-ene</t>
  </si>
  <si>
    <t>1-feb</t>
  </si>
  <si>
    <t>1-mar</t>
  </si>
  <si>
    <t>1-abr</t>
  </si>
  <si>
    <t>1-may</t>
  </si>
  <si>
    <t>1-jun</t>
  </si>
  <si>
    <t>1-jul</t>
  </si>
  <si>
    <t>1-ago</t>
  </si>
  <si>
    <t>FLORIDA</t>
  </si>
  <si>
    <t>GÜEMES</t>
  </si>
  <si>
    <t>RECOLETA</t>
  </si>
  <si>
    <t>SAN TELMO</t>
  </si>
  <si>
    <t>FRENCH</t>
  </si>
  <si>
    <t>SAN TELMO 2</t>
  </si>
  <si>
    <t>AS SAN TELMO</t>
  </si>
  <si>
    <t>ZONA CENTRO</t>
  </si>
  <si>
    <t>ZONA SAN TELMO</t>
  </si>
  <si>
    <t>Alquileres + expensas</t>
  </si>
  <si>
    <t>Evolución del porcentaje de los gastos en relación con las ventas desde enero 2025</t>
  </si>
  <si>
    <t xml:space="preserve">Sueldos </t>
  </si>
  <si>
    <t>Proyectado</t>
  </si>
  <si>
    <t>Real</t>
  </si>
  <si>
    <t>Desvío</t>
  </si>
  <si>
    <t>Total gasto de personal</t>
  </si>
  <si>
    <t>Incentivos por venta</t>
  </si>
  <si>
    <t>Venta proyectada</t>
  </si>
  <si>
    <t>Lucero_Güemes+San Telmo 2</t>
  </si>
  <si>
    <t>Total general</t>
  </si>
  <si>
    <t>Venta real</t>
  </si>
  <si>
    <t>El Solar</t>
  </si>
  <si>
    <t>GÜEMES+SAN TELMO 2</t>
  </si>
  <si>
    <t>EL SOLAR</t>
  </si>
  <si>
    <t>TOTAL GENERAL</t>
  </si>
  <si>
    <t>% Sueldos</t>
  </si>
  <si>
    <t>% Alquileres + expensas</t>
  </si>
  <si>
    <t>% Otros gastos</t>
  </si>
  <si>
    <t>AS Güemes</t>
  </si>
  <si>
    <t>Güemes 2</t>
  </si>
  <si>
    <t>Lucero Joyería</t>
  </si>
  <si>
    <t>TIENDA</t>
  </si>
  <si>
    <t>Total_alquileres+expensas</t>
  </si>
  <si>
    <t>Otros_gastos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</si>
</sst>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&quot;$&quot;\ #,##0"/>
    <numFmt numFmtId="165" formatCode="0.0%"/>
    <numFmt numFmtId="166" formatCode="0.000%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sz val="10"/>
      <color rgb="FF000000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3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3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4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" fontId="5" fillId="2" borderId="1" xfId="3" applyNumberFormat="1" applyFont="1" applyFill="1" applyBorder="1" applyAlignment="1">
      <alignment horizontal="center" vertical="center"/>
    </xf>
    <xf numFmtId="16" fontId="6" fillId="2" borderId="1" xfId="3" applyNumberFormat="1" applyFont="1" applyFill="1" applyBorder="1" applyAlignment="1">
      <alignment horizontal="center" vertical="center" wrapText="1"/>
    </xf>
    <xf numFmtId="16" fontId="6" fillId="2" borderId="1" xfId="3" applyNumberFormat="1" applyFont="1" applyFill="1" applyBorder="1" applyAlignment="1">
      <alignment horizontal="center" vertical="center"/>
    </xf>
    <xf numFmtId="16" fontId="5" fillId="2" borderId="1" xfId="3" applyNumberFormat="1" applyFont="1" applyFill="1" applyBorder="1" applyAlignment="1">
      <alignment horizontal="center" vertical="center" wrapText="1"/>
    </xf>
    <xf numFmtId="164" fontId="7" fillId="2" borderId="2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6" fillId="2" borderId="1" xfId="3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5" fillId="2" borderId="1" xfId="3" applyNumberFormat="1" applyFont="1" applyFill="1" applyBorder="1" applyAlignment="1">
      <alignment horizontal="center" vertical="center"/>
    </xf>
    <xf numFmtId="0" fontId="8" fillId="0" borderId="0" xfId="0" applyFont="1"/>
    <xf numFmtId="164" fontId="6" fillId="0" borderId="3" xfId="1" applyNumberFormat="1" applyFont="1" applyFill="1" applyBorder="1" applyAlignment="1">
      <alignment horizontal="center" vertical="center"/>
    </xf>
    <xf numFmtId="16" fontId="7" fillId="2" borderId="1" xfId="3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165" fontId="6" fillId="2" borderId="1" xfId="2" applyNumberFormat="1" applyFont="1" applyFill="1" applyBorder="1" applyAlignment="1">
      <alignment horizontal="center" vertical="center"/>
    </xf>
    <xf numFmtId="165" fontId="5" fillId="2" borderId="1" xfId="2" applyNumberFormat="1" applyFont="1" applyFill="1" applyBorder="1" applyAlignment="1">
      <alignment horizontal="center" vertical="center"/>
    </xf>
    <xf numFmtId="165" fontId="6" fillId="0" borderId="3" xfId="2" applyNumberFormat="1" applyFont="1" applyFill="1" applyBorder="1" applyAlignment="1">
      <alignment horizontal="center" vertical="center"/>
    </xf>
    <xf numFmtId="165" fontId="7" fillId="2" borderId="2" xfId="2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44" fontId="12" fillId="0" borderId="0" xfId="1" applyFont="1"/>
    <xf numFmtId="165" fontId="0" fillId="0" borderId="0" xfId="2" applyNumberFormat="1" applyFont="1"/>
    <xf numFmtId="165" fontId="7" fillId="2" borderId="1" xfId="2" applyNumberFormat="1" applyFont="1" applyFill="1" applyBorder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9" fontId="2" fillId="0" borderId="0" xfId="2" applyFont="1" applyAlignment="1">
      <alignment horizontal="center" vertical="center"/>
    </xf>
    <xf numFmtId="164" fontId="6" fillId="0" borderId="4" xfId="1" applyNumberFormat="1" applyFont="1" applyFill="1" applyBorder="1" applyAlignment="1">
      <alignment horizontal="center" vertical="center"/>
    </xf>
    <xf numFmtId="9" fontId="7" fillId="2" borderId="1" xfId="2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9" fillId="0" borderId="0" xfId="0" applyNumberFormat="1" applyFont="1"/>
    <xf numFmtId="1" fontId="13" fillId="0" borderId="0" xfId="0" applyNumberFormat="1" applyFont="1"/>
    <xf numFmtId="165" fontId="5" fillId="0" borderId="1" xfId="2" applyNumberFormat="1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16" fontId="5" fillId="2" borderId="2" xfId="3" applyNumberFormat="1" applyFont="1" applyFill="1" applyBorder="1" applyAlignment="1">
      <alignment horizontal="center" vertical="center" wrapText="1"/>
    </xf>
    <xf numFmtId="164" fontId="6" fillId="2" borderId="2" xfId="3" applyNumberFormat="1" applyFont="1" applyFill="1" applyBorder="1" applyAlignment="1">
      <alignment horizontal="center" vertical="center"/>
    </xf>
    <xf numFmtId="164" fontId="5" fillId="2" borderId="2" xfId="3" applyNumberFormat="1" applyFont="1" applyFill="1" applyBorder="1" applyAlignment="1">
      <alignment horizontal="center" vertical="center"/>
    </xf>
    <xf numFmtId="164" fontId="7" fillId="2" borderId="2" xfId="3" applyNumberFormat="1" applyFont="1" applyFill="1" applyBorder="1" applyAlignment="1">
      <alignment horizontal="center" vertical="center"/>
    </xf>
    <xf numFmtId="16" fontId="12" fillId="0" borderId="0" xfId="1" applyNumberFormat="1" applyFont="1" applyAlignment="1">
      <alignment horizontal="left"/>
    </xf>
    <xf numFmtId="164" fontId="6" fillId="0" borderId="1" xfId="3" applyNumberFormat="1" applyFont="1" applyFill="1" applyBorder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/>
    </xf>
    <xf numFmtId="164" fontId="7" fillId="0" borderId="1" xfId="3" applyNumberFormat="1" applyFont="1" applyFill="1" applyBorder="1" applyAlignment="1">
      <alignment horizontal="center" vertical="center"/>
    </xf>
    <xf numFmtId="0" fontId="12" fillId="3" borderId="0" xfId="0" applyFont="1" applyFill="1"/>
    <xf numFmtId="9" fontId="10" fillId="2" borderId="1" xfId="2" applyFont="1" applyFill="1" applyBorder="1" applyAlignment="1">
      <alignment horizontal="center" vertical="center"/>
    </xf>
    <xf numFmtId="16" fontId="5" fillId="2" borderId="1" xfId="3" applyNumberFormat="1" applyFont="1" applyFill="1" applyBorder="1" applyAlignment="1">
      <alignment horizontal="left" vertical="center"/>
    </xf>
    <xf numFmtId="16" fontId="6" fillId="2" borderId="1" xfId="3" applyNumberFormat="1" applyFont="1" applyFill="1" applyBorder="1" applyAlignment="1">
      <alignment horizontal="left" vertical="center"/>
    </xf>
    <xf numFmtId="16" fontId="7" fillId="2" borderId="1" xfId="3" applyNumberFormat="1" applyFont="1" applyFill="1" applyBorder="1" applyAlignment="1">
      <alignment horizontal="left" vertical="center"/>
    </xf>
    <xf numFmtId="0" fontId="14" fillId="0" borderId="0" xfId="4"/>
    <xf numFmtId="164" fontId="14" fillId="0" borderId="0" xfId="4" applyNumberFormat="1"/>
    <xf numFmtId="166" fontId="14" fillId="0" borderId="0" xfId="2" applyNumberFormat="1" applyFont="1"/>
  </cellXfs>
  <cellStyles count="5">
    <cellStyle name="Moneda" xfId="1" builtinId="4"/>
    <cellStyle name="Normal" xfId="0" builtinId="0"/>
    <cellStyle name="Normal 2" xfId="4"/>
    <cellStyle name="Normal 2 2" xfId="3"/>
    <cellStyle name="Porcentaje" xfId="2" builtinId="5"/>
  </cellStyles>
  <dxfs count="195"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FF6161"/>
        </patternFill>
      </fill>
    </dxf>
    <dxf>
      <fill>
        <patternFill>
          <bgColor rgb="FF80D6AB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  <dxf>
      <fill>
        <patternFill>
          <bgColor rgb="FF80D6AB"/>
        </patternFill>
      </fill>
    </dxf>
    <dxf>
      <fill>
        <patternFill>
          <bgColor rgb="FFFF6161"/>
        </patternFill>
      </fill>
    </dxf>
    <dxf>
      <fill>
        <patternFill>
          <bgColor rgb="FFF6ED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tabSelected="1" workbookViewId="0">
      <selection activeCell="C3" sqref="C3"/>
    </sheetView>
  </sheetViews>
  <sheetFormatPr baseColWidth="10" defaultColWidth="10.69921875" defaultRowHeight="13.8"/>
  <cols>
    <col min="1" max="1" width="10.69921875" style="57"/>
    <col min="2" max="2" width="22.8984375" style="57" bestFit="1" customWidth="1"/>
    <col min="3" max="16384" width="10.69921875" style="57"/>
  </cols>
  <sheetData>
    <row r="2" spans="2:8" ht="24">
      <c r="B2" s="54" t="s">
        <v>57</v>
      </c>
      <c r="C2" s="6" t="s">
        <v>14</v>
      </c>
      <c r="D2" s="7" t="s">
        <v>1</v>
      </c>
      <c r="E2" s="7" t="s">
        <v>2</v>
      </c>
      <c r="F2" s="6" t="s">
        <v>3</v>
      </c>
      <c r="G2" s="8" t="s">
        <v>58</v>
      </c>
      <c r="H2" s="8" t="s">
        <v>59</v>
      </c>
    </row>
    <row r="3" spans="2:8">
      <c r="B3" s="55" t="s">
        <v>5</v>
      </c>
      <c r="C3" s="9">
        <v>34652652.270000003</v>
      </c>
      <c r="D3" s="12">
        <v>5097043.9083353402</v>
      </c>
      <c r="E3" s="12">
        <v>7325000</v>
      </c>
      <c r="F3" s="11">
        <v>482850.5</v>
      </c>
      <c r="G3" s="12">
        <v>7807850.5</v>
      </c>
      <c r="H3" s="11">
        <v>2955396.76</v>
      </c>
    </row>
    <row r="4" spans="2:8">
      <c r="B4" s="55" t="s">
        <v>6</v>
      </c>
      <c r="C4" s="9">
        <v>20340885.969999999</v>
      </c>
      <c r="D4" s="12">
        <v>5697753.3027149998</v>
      </c>
      <c r="E4" s="15">
        <v>2504086.52</v>
      </c>
      <c r="F4" s="11">
        <v>2407649.61</v>
      </c>
      <c r="G4" s="12">
        <v>4911736.13</v>
      </c>
      <c r="H4" s="11">
        <v>369356.47</v>
      </c>
    </row>
    <row r="5" spans="2:8">
      <c r="B5" s="54" t="s">
        <v>8</v>
      </c>
      <c r="C5" s="13">
        <v>54993538.240000002</v>
      </c>
      <c r="D5" s="13">
        <v>10794797.2110503</v>
      </c>
      <c r="E5" s="13">
        <v>9829086.5199999996</v>
      </c>
      <c r="F5" s="13">
        <v>2890500.11</v>
      </c>
      <c r="G5" s="13">
        <v>12719586.630000001</v>
      </c>
      <c r="H5" s="13">
        <v>3324753.23</v>
      </c>
    </row>
    <row r="6" spans="2:8">
      <c r="B6" s="55" t="s">
        <v>9</v>
      </c>
      <c r="C6" s="9">
        <v>24815646.09</v>
      </c>
      <c r="D6" s="12">
        <v>3798819.6534207398</v>
      </c>
      <c r="E6" s="15">
        <v>2204956.64</v>
      </c>
      <c r="F6" s="11">
        <v>672700.36</v>
      </c>
      <c r="G6" s="10">
        <v>2877657</v>
      </c>
      <c r="H6" s="11">
        <v>298106.64</v>
      </c>
    </row>
    <row r="7" spans="2:8">
      <c r="B7" s="55" t="s">
        <v>10</v>
      </c>
      <c r="C7" s="9">
        <v>16141613.82</v>
      </c>
      <c r="D7" s="12">
        <v>3364928.1132806898</v>
      </c>
      <c r="E7" s="15">
        <v>1002486.6</v>
      </c>
      <c r="F7" s="11">
        <v>300750</v>
      </c>
      <c r="G7" s="10">
        <v>1303236.6000000001</v>
      </c>
      <c r="H7" s="11">
        <v>561863.97</v>
      </c>
    </row>
    <row r="8" spans="2:8">
      <c r="B8" s="54" t="s">
        <v>12</v>
      </c>
      <c r="C8" s="13">
        <v>40957259.909999996</v>
      </c>
      <c r="D8" s="13">
        <v>7163747.7667014301</v>
      </c>
      <c r="E8" s="13">
        <v>3207443.24</v>
      </c>
      <c r="F8" s="13">
        <v>973450.36</v>
      </c>
      <c r="G8" s="13">
        <v>4180893.6</v>
      </c>
      <c r="H8" s="13">
        <v>859970.61</v>
      </c>
    </row>
    <row r="9" spans="2:8">
      <c r="B9" s="55" t="s">
        <v>7</v>
      </c>
      <c r="C9" s="9">
        <v>2753095.34</v>
      </c>
      <c r="D9" s="12">
        <v>1800413.8799077601</v>
      </c>
      <c r="E9" s="12">
        <v>798015.19</v>
      </c>
      <c r="F9" s="11">
        <v>372568.23</v>
      </c>
      <c r="G9" s="12">
        <v>1170583.42</v>
      </c>
      <c r="H9" s="11">
        <v>311502</v>
      </c>
    </row>
    <row r="10" spans="2:8">
      <c r="B10" s="55" t="s">
        <v>11</v>
      </c>
      <c r="C10" s="9">
        <v>2768399.94</v>
      </c>
      <c r="D10" s="12">
        <v>3634013.0679185698</v>
      </c>
      <c r="E10" s="15">
        <v>1079060</v>
      </c>
      <c r="F10" s="11">
        <v>672700.36</v>
      </c>
      <c r="G10" s="10">
        <v>1751760.36</v>
      </c>
      <c r="H10" s="11">
        <v>310276.84999999998</v>
      </c>
    </row>
    <row r="11" spans="2:8">
      <c r="B11" s="54" t="s">
        <v>44</v>
      </c>
      <c r="C11" s="13">
        <v>5521495.2800000003</v>
      </c>
      <c r="D11" s="13">
        <v>5434426.9478263296</v>
      </c>
      <c r="E11" s="13">
        <v>1877075.19</v>
      </c>
      <c r="F11" s="13">
        <v>1045268.59</v>
      </c>
      <c r="G11" s="13">
        <v>2922343.78</v>
      </c>
      <c r="H11" s="13">
        <v>621778.85</v>
      </c>
    </row>
    <row r="12" spans="2:8">
      <c r="B12" s="55" t="s">
        <v>55</v>
      </c>
      <c r="C12" s="9">
        <v>7504369.8499999996</v>
      </c>
      <c r="D12" s="9">
        <v>3681519.0583656998</v>
      </c>
      <c r="E12" s="9">
        <v>589066.89</v>
      </c>
      <c r="F12" s="18">
        <v>57000.46</v>
      </c>
      <c r="G12" s="25">
        <v>646067.35</v>
      </c>
      <c r="H12" s="18">
        <v>81624.850000000006</v>
      </c>
    </row>
    <row r="13" spans="2:8">
      <c r="B13" s="55" t="s">
        <v>47</v>
      </c>
      <c r="C13" s="9">
        <v>7338710.3399999999</v>
      </c>
      <c r="D13" s="9">
        <v>4333806.4710961897</v>
      </c>
      <c r="E13" s="9">
        <v>1822860.48</v>
      </c>
      <c r="F13" s="11">
        <v>184127.32</v>
      </c>
      <c r="G13" s="12">
        <v>2006987.8</v>
      </c>
      <c r="H13" s="11">
        <v>47124.76</v>
      </c>
    </row>
    <row r="14" spans="2:8">
      <c r="B14" s="54" t="s">
        <v>56</v>
      </c>
      <c r="C14" s="13">
        <v>14843080.189999999</v>
      </c>
      <c r="D14" s="13">
        <v>8015325.5294618905</v>
      </c>
      <c r="E14" s="13">
        <v>2411927.37</v>
      </c>
      <c r="F14" s="13">
        <v>241127.78</v>
      </c>
      <c r="G14" s="13">
        <v>2653055.15</v>
      </c>
      <c r="H14" s="13">
        <v>128749.61</v>
      </c>
    </row>
    <row r="15" spans="2:8">
      <c r="B15" s="55" t="s">
        <v>13</v>
      </c>
      <c r="C15" s="9">
        <v>11790137.050000001</v>
      </c>
      <c r="D15" s="9">
        <v>3565026.08103</v>
      </c>
      <c r="E15" s="9">
        <v>1241904.8700000001</v>
      </c>
      <c r="F15" s="18">
        <v>1345400.72</v>
      </c>
      <c r="G15" s="25">
        <v>2587305.59</v>
      </c>
      <c r="H15" s="18">
        <v>432719.97</v>
      </c>
    </row>
    <row r="16" spans="2:8">
      <c r="B16" s="54" t="s">
        <v>45</v>
      </c>
      <c r="C16" s="13">
        <v>128105510.67</v>
      </c>
      <c r="D16" s="13">
        <v>34973323.536069997</v>
      </c>
      <c r="E16" s="13">
        <v>18567437.190000001</v>
      </c>
      <c r="F16" s="13">
        <v>6495747.5599999996</v>
      </c>
      <c r="G16" s="13">
        <v>25063184.75</v>
      </c>
      <c r="H16" s="13">
        <v>5367972.2699999996</v>
      </c>
    </row>
    <row r="18" spans="2:9" ht="36">
      <c r="B18" s="54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</row>
    <row r="19" spans="2:9">
      <c r="B19" s="55" t="s">
        <v>5</v>
      </c>
      <c r="C19" s="37">
        <f>D3/$C3</f>
        <v>0.14708957538433579</v>
      </c>
      <c r="D19" s="38">
        <f>E3/$C3</f>
        <v>0.21138353113425332</v>
      </c>
      <c r="E19" s="38">
        <f>D3/$C3</f>
        <v>0.14708957538433579</v>
      </c>
      <c r="F19" s="37">
        <f>E3/$C3</f>
        <v>0.21138353113425332</v>
      </c>
      <c r="G19" s="37">
        <f>F3/$C3</f>
        <v>1.3934012791800654E-2</v>
      </c>
    </row>
    <row r="20" spans="2:9">
      <c r="B20" s="55" t="s">
        <v>6</v>
      </c>
      <c r="C20" s="37">
        <f>D4/$C4</f>
        <v>0.28011332992665117</v>
      </c>
      <c r="D20" s="38">
        <f t="shared" ref="D20:D32" si="0">E4/$C4</f>
        <v>0.12310606940588439</v>
      </c>
      <c r="E20" s="38">
        <f>D4/$C4</f>
        <v>0.28011332992665117</v>
      </c>
      <c r="F20" s="37">
        <f>E4/$C4</f>
        <v>0.12310606940588439</v>
      </c>
      <c r="G20" s="37">
        <f>F4/$C4</f>
        <v>0.11836503156995969</v>
      </c>
    </row>
    <row r="21" spans="2:9">
      <c r="B21" s="54" t="s">
        <v>8</v>
      </c>
      <c r="C21" s="37">
        <f>D5/$C5</f>
        <v>0.19629210188186466</v>
      </c>
      <c r="D21" s="42">
        <f t="shared" si="0"/>
        <v>0.17873166256559817</v>
      </c>
      <c r="E21" s="42">
        <f>D5/$C5</f>
        <v>0.19629210188186466</v>
      </c>
      <c r="F21" s="53">
        <f>E5/$C5</f>
        <v>0.17873166256559817</v>
      </c>
      <c r="G21" s="53">
        <f>F5/$C5</f>
        <v>5.2560722632274112E-2</v>
      </c>
      <c r="I21" s="59"/>
    </row>
    <row r="22" spans="2:9">
      <c r="B22" s="55" t="s">
        <v>9</v>
      </c>
      <c r="C22" s="37">
        <f>D6/$C6</f>
        <v>0.15308163404826911</v>
      </c>
      <c r="D22" s="38">
        <f t="shared" si="0"/>
        <v>8.8853485095781365E-2</v>
      </c>
      <c r="E22" s="38">
        <f>D6/$C6</f>
        <v>0.15308163404826911</v>
      </c>
      <c r="F22" s="37">
        <f>E6/$C6</f>
        <v>8.8853485095781365E-2</v>
      </c>
      <c r="G22" s="37">
        <f>F6/$C6</f>
        <v>2.7107912385608977E-2</v>
      </c>
    </row>
    <row r="23" spans="2:9">
      <c r="B23" s="55" t="s">
        <v>10</v>
      </c>
      <c r="C23" s="37">
        <f>D7/$C7</f>
        <v>0.20846293008890049</v>
      </c>
      <c r="D23" s="38">
        <f t="shared" si="0"/>
        <v>6.2105723205810155E-2</v>
      </c>
      <c r="E23" s="38">
        <f>D7/$C7</f>
        <v>0.20846293008890049</v>
      </c>
      <c r="F23" s="37">
        <f>E7/$C7</f>
        <v>6.2105723205810155E-2</v>
      </c>
      <c r="G23" s="37">
        <f>F7/$C7</f>
        <v>1.8631966007473223E-2</v>
      </c>
    </row>
    <row r="24" spans="2:9">
      <c r="B24" s="54" t="s">
        <v>12</v>
      </c>
      <c r="C24" s="37">
        <f>D8/$C8</f>
        <v>0.17490788647588096</v>
      </c>
      <c r="D24" s="42">
        <f t="shared" si="0"/>
        <v>7.8311958540392509E-2</v>
      </c>
      <c r="E24" s="42">
        <f>D8/$C8</f>
        <v>0.17490788647588096</v>
      </c>
      <c r="F24" s="53">
        <f>E8/$C8</f>
        <v>7.8311958540392509E-2</v>
      </c>
      <c r="G24" s="53">
        <f>F8/$C8</f>
        <v>2.3767467895534813E-2</v>
      </c>
    </row>
    <row r="25" spans="2:9">
      <c r="B25" s="55" t="s">
        <v>7</v>
      </c>
      <c r="C25" s="37">
        <f>D9/$C9</f>
        <v>0.65395987336485051</v>
      </c>
      <c r="D25" s="38">
        <f t="shared" si="0"/>
        <v>0.28986108051020126</v>
      </c>
      <c r="E25" s="38">
        <f>D9/$C9</f>
        <v>0.65395987336485051</v>
      </c>
      <c r="F25" s="37">
        <f>E9/$C9</f>
        <v>0.28986108051020126</v>
      </c>
      <c r="G25" s="37">
        <f>F9/$C9</f>
        <v>0.13532703520539902</v>
      </c>
    </row>
    <row r="26" spans="2:9">
      <c r="B26" s="55" t="s">
        <v>11</v>
      </c>
      <c r="C26" s="37">
        <f>D10/$C10</f>
        <v>1.3126763280881193</v>
      </c>
      <c r="D26" s="38">
        <f t="shared" si="0"/>
        <v>0.38977749724990962</v>
      </c>
      <c r="E26" s="38">
        <f>D10/$C10</f>
        <v>1.3126763280881193</v>
      </c>
      <c r="F26" s="37">
        <f>E10/$C10</f>
        <v>0.38977749724990962</v>
      </c>
      <c r="G26" s="37">
        <f>F10/$C10</f>
        <v>0.2429924774525172</v>
      </c>
    </row>
    <row r="27" spans="2:9">
      <c r="B27" s="54" t="s">
        <v>44</v>
      </c>
      <c r="C27" s="37">
        <f>D11/$C11</f>
        <v>0.98423102298229792</v>
      </c>
      <c r="D27" s="42">
        <f t="shared" si="0"/>
        <v>0.33995776412218537</v>
      </c>
      <c r="E27" s="42">
        <f>D11/$C11</f>
        <v>0.98423102298229792</v>
      </c>
      <c r="F27" s="53">
        <f>E11/$C11</f>
        <v>0.33995776412218537</v>
      </c>
      <c r="G27" s="53">
        <f>F11/$C11</f>
        <v>0.18930897102931146</v>
      </c>
    </row>
    <row r="28" spans="2:9">
      <c r="B28" s="55" t="s">
        <v>55</v>
      </c>
      <c r="C28" s="37">
        <f>D12/$C12</f>
        <v>0.4905833710162486</v>
      </c>
      <c r="D28" s="38">
        <f t="shared" si="0"/>
        <v>7.8496516266452418E-2</v>
      </c>
      <c r="E28" s="38">
        <f>D12/$C12</f>
        <v>0.4905833710162486</v>
      </c>
      <c r="F28" s="37">
        <f>E12/$C12</f>
        <v>7.8496516266452418E-2</v>
      </c>
      <c r="G28" s="37">
        <f>F12/$C12</f>
        <v>7.5956357614756958E-3</v>
      </c>
    </row>
    <row r="29" spans="2:9">
      <c r="B29" s="55" t="s">
        <v>47</v>
      </c>
      <c r="C29" s="37">
        <f>D13/$C13</f>
        <v>0.59054060867814406</v>
      </c>
      <c r="D29" s="38">
        <f t="shared" si="0"/>
        <v>0.24838975726626103</v>
      </c>
      <c r="E29" s="38">
        <f>D13/$C13</f>
        <v>0.59054060867814406</v>
      </c>
      <c r="F29" s="37">
        <f>E13/$C13</f>
        <v>0.24838975726626103</v>
      </c>
      <c r="G29" s="37">
        <f>F13/$C13</f>
        <v>2.508987430617135E-2</v>
      </c>
    </row>
    <row r="30" spans="2:9">
      <c r="B30" s="54" t="s">
        <v>56</v>
      </c>
      <c r="C30" s="37">
        <f>D14/$C14</f>
        <v>0.54000419231460683</v>
      </c>
      <c r="D30" s="42">
        <f t="shared" si="0"/>
        <v>0.16249507104495406</v>
      </c>
      <c r="E30" s="42">
        <f>D14/$C14</f>
        <v>0.54000419231460683</v>
      </c>
      <c r="F30" s="53">
        <f>E14/$C14</f>
        <v>0.16249507104495406</v>
      </c>
      <c r="G30" s="53">
        <f>F14/$C14</f>
        <v>1.624513085649509E-2</v>
      </c>
    </row>
    <row r="31" spans="2:9">
      <c r="B31" s="56" t="s">
        <v>13</v>
      </c>
      <c r="C31" s="37">
        <f>D15/$C15</f>
        <v>0.30237359124082447</v>
      </c>
      <c r="D31" s="38">
        <f t="shared" si="0"/>
        <v>0.10533421831597793</v>
      </c>
      <c r="E31" s="38">
        <f>D15/$C15</f>
        <v>0.30237359124082447</v>
      </c>
      <c r="F31" s="37">
        <f>E15/$C15</f>
        <v>0.10533421831597793</v>
      </c>
      <c r="G31" s="37">
        <f>F15/$C15</f>
        <v>0.11411239023722798</v>
      </c>
    </row>
    <row r="32" spans="2:9">
      <c r="B32" s="54" t="s">
        <v>45</v>
      </c>
      <c r="C32" s="37">
        <f>D16/$C16</f>
        <v>0.27300405230936031</v>
      </c>
      <c r="D32" s="42">
        <f t="shared" si="0"/>
        <v>0.14493862982857739</v>
      </c>
      <c r="E32" s="42">
        <f>D16/$C16</f>
        <v>0.27300405230936031</v>
      </c>
      <c r="F32" s="53">
        <f>E16/$C16</f>
        <v>0.14493862982857739</v>
      </c>
      <c r="G32" s="53">
        <f>F16/$C16</f>
        <v>5.0706230559691187E-2</v>
      </c>
    </row>
  </sheetData>
  <conditionalFormatting sqref="F19:F27">
    <cfRule type="cellIs" dxfId="194" priority="16" operator="between">
      <formula>10.5%</formula>
      <formula>15.49%</formula>
    </cfRule>
    <cfRule type="cellIs" dxfId="193" priority="17" operator="between">
      <formula>15.5%</formula>
      <formula>200%</formula>
    </cfRule>
    <cfRule type="cellIs" dxfId="192" priority="18" operator="between">
      <formula>0</formula>
      <formula>0.10499</formula>
    </cfRule>
  </conditionalFormatting>
  <conditionalFormatting sqref="G19:G27">
    <cfRule type="cellIs" dxfId="191" priority="13" operator="between">
      <formula>10.5%</formula>
      <formula>15.49%</formula>
    </cfRule>
    <cfRule type="cellIs" dxfId="190" priority="14" operator="between">
      <formula>15.5%</formula>
      <formula>200%</formula>
    </cfRule>
    <cfRule type="cellIs" dxfId="189" priority="15" operator="between">
      <formula>0</formula>
      <formula>0.10499</formula>
    </cfRule>
  </conditionalFormatting>
  <conditionalFormatting sqref="F28:F32">
    <cfRule type="cellIs" dxfId="188" priority="7" operator="between">
      <formula>10.5%</formula>
      <formula>15.49%</formula>
    </cfRule>
    <cfRule type="cellIs" dxfId="187" priority="8" operator="between">
      <formula>15.5%</formula>
      <formula>200%</formula>
    </cfRule>
    <cfRule type="cellIs" dxfId="186" priority="9" operator="between">
      <formula>0</formula>
      <formula>0.10499</formula>
    </cfRule>
  </conditionalFormatting>
  <conditionalFormatting sqref="G28:G32">
    <cfRule type="cellIs" dxfId="185" priority="4" operator="between">
      <formula>10.5%</formula>
      <formula>15.49%</formula>
    </cfRule>
    <cfRule type="cellIs" dxfId="184" priority="5" operator="between">
      <formula>15.5%</formula>
      <formula>200%</formula>
    </cfRule>
    <cfRule type="cellIs" dxfId="183" priority="6" operator="between">
      <formula>0</formula>
      <formula>0.10499</formula>
    </cfRule>
  </conditionalFormatting>
  <conditionalFormatting sqref="C19:C32">
    <cfRule type="cellIs" dxfId="182" priority="10" stopIfTrue="1" operator="between">
      <formula>10.5%</formula>
      <formula>15.499999%</formula>
    </cfRule>
    <cfRule type="cellIs" dxfId="181" priority="11" stopIfTrue="1" operator="between">
      <formula>15.5%</formula>
      <formula>200%</formula>
    </cfRule>
    <cfRule type="cellIs" dxfId="180" priority="12" operator="between">
      <formula>0</formula>
      <formula>0.10499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workbookViewId="0">
      <selection activeCell="B2" sqref="B2"/>
    </sheetView>
  </sheetViews>
  <sheetFormatPr baseColWidth="10" defaultColWidth="10.69921875" defaultRowHeight="13.8"/>
  <cols>
    <col min="1" max="1" width="10.69921875" style="57"/>
    <col min="2" max="2" width="22.8984375" style="57" bestFit="1" customWidth="1"/>
    <col min="3" max="16384" width="10.69921875" style="57"/>
  </cols>
  <sheetData>
    <row r="2" spans="2:9" ht="24">
      <c r="B2" s="54" t="s">
        <v>57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58</v>
      </c>
      <c r="H2" s="7" t="s">
        <v>59</v>
      </c>
    </row>
    <row r="3" spans="2:9">
      <c r="B3" s="55" t="s">
        <v>5</v>
      </c>
      <c r="C3" s="9">
        <v>46311462.18</v>
      </c>
      <c r="D3" s="10">
        <v>6677551.8669987703</v>
      </c>
      <c r="E3" s="12">
        <v>7050000</v>
      </c>
      <c r="F3" s="12">
        <v>381156.89</v>
      </c>
      <c r="G3" s="11">
        <v>7431156.8899999997</v>
      </c>
      <c r="H3" s="12">
        <v>2189051.73</v>
      </c>
    </row>
    <row r="4" spans="2:9">
      <c r="B4" s="55" t="s">
        <v>6</v>
      </c>
      <c r="C4" s="9">
        <v>14240375.09</v>
      </c>
      <c r="D4" s="10">
        <v>4062210.9776087301</v>
      </c>
      <c r="E4" s="12">
        <v>2504086.52</v>
      </c>
      <c r="F4" s="15">
        <v>2420500.2599999998</v>
      </c>
      <c r="G4" s="11">
        <v>4924586.78</v>
      </c>
      <c r="H4" s="12">
        <v>407998.9</v>
      </c>
    </row>
    <row r="5" spans="2:9">
      <c r="B5" s="54" t="s">
        <v>8</v>
      </c>
      <c r="C5" s="13">
        <v>60551837.270000003</v>
      </c>
      <c r="D5" s="13">
        <v>10739762.8446075</v>
      </c>
      <c r="E5" s="13">
        <v>9554086.5199999996</v>
      </c>
      <c r="F5" s="13">
        <v>2801657.15</v>
      </c>
      <c r="G5" s="13">
        <v>12355743.67</v>
      </c>
      <c r="H5" s="13">
        <v>2597050.63</v>
      </c>
      <c r="I5" s="58"/>
    </row>
    <row r="6" spans="2:9">
      <c r="B6" s="55" t="s">
        <v>9</v>
      </c>
      <c r="C6" s="9">
        <v>33349969.949999999</v>
      </c>
      <c r="D6" s="10">
        <v>3738132.4103772598</v>
      </c>
      <c r="E6" s="12">
        <v>2056151.52</v>
      </c>
      <c r="F6" s="15">
        <v>672700.36</v>
      </c>
      <c r="G6" s="11">
        <v>2728851.88</v>
      </c>
      <c r="H6" s="10">
        <v>346009.13</v>
      </c>
    </row>
    <row r="7" spans="2:9">
      <c r="B7" s="55" t="s">
        <v>10</v>
      </c>
      <c r="C7" s="9">
        <v>19982040.59</v>
      </c>
      <c r="D7" s="10">
        <v>3352593.2727874201</v>
      </c>
      <c r="E7" s="12">
        <v>923100</v>
      </c>
      <c r="F7" s="15">
        <v>290225.34999999998</v>
      </c>
      <c r="G7" s="11">
        <v>1213325.3500000001</v>
      </c>
      <c r="H7" s="10">
        <v>524638.93000000005</v>
      </c>
    </row>
    <row r="8" spans="2:9">
      <c r="B8" s="54" t="s">
        <v>12</v>
      </c>
      <c r="C8" s="13">
        <v>53332010.539999999</v>
      </c>
      <c r="D8" s="13">
        <v>7090725.6831646897</v>
      </c>
      <c r="E8" s="13">
        <v>2979251.52</v>
      </c>
      <c r="F8" s="13">
        <v>962925.71</v>
      </c>
      <c r="G8" s="13">
        <v>3942177.23</v>
      </c>
      <c r="H8" s="13">
        <v>870648.06</v>
      </c>
    </row>
    <row r="9" spans="2:9">
      <c r="B9" s="55" t="s">
        <v>7</v>
      </c>
      <c r="C9" s="9">
        <v>1967146.4</v>
      </c>
      <c r="D9" s="10">
        <v>1325711.22458865</v>
      </c>
      <c r="E9" s="12">
        <v>715965.54</v>
      </c>
      <c r="F9" s="12">
        <v>383750.2</v>
      </c>
      <c r="G9" s="11">
        <v>1099715.74</v>
      </c>
      <c r="H9" s="12">
        <v>321670</v>
      </c>
    </row>
    <row r="10" spans="2:9">
      <c r="B10" s="55" t="s">
        <v>11</v>
      </c>
      <c r="C10" s="9">
        <v>4196030.03</v>
      </c>
      <c r="D10" s="10">
        <v>3082313.4629703099</v>
      </c>
      <c r="E10" s="12">
        <v>1079060</v>
      </c>
      <c r="F10" s="15">
        <v>672700.36</v>
      </c>
      <c r="G10" s="11">
        <v>1751760.36</v>
      </c>
      <c r="H10" s="10">
        <v>257897.74</v>
      </c>
    </row>
    <row r="11" spans="2:9">
      <c r="B11" s="54" t="s">
        <v>44</v>
      </c>
      <c r="C11" s="13">
        <v>6163176.4299999997</v>
      </c>
      <c r="D11" s="13">
        <v>4408024.6875589704</v>
      </c>
      <c r="E11" s="13">
        <v>1795025.54</v>
      </c>
      <c r="F11" s="13">
        <v>1056450.5600000001</v>
      </c>
      <c r="G11" s="13">
        <v>2851476.1</v>
      </c>
      <c r="H11" s="13">
        <v>579567.74</v>
      </c>
    </row>
    <row r="12" spans="2:9">
      <c r="B12" s="55" t="s">
        <v>55</v>
      </c>
      <c r="C12" s="9">
        <v>7131739.8700000001</v>
      </c>
      <c r="D12" s="17">
        <v>2173173.7205806999</v>
      </c>
      <c r="E12" s="9">
        <v>565405.38</v>
      </c>
      <c r="F12" s="9">
        <v>58711.23</v>
      </c>
      <c r="G12" s="18">
        <v>624116.61</v>
      </c>
      <c r="H12" s="25">
        <v>130390.39999999999</v>
      </c>
    </row>
    <row r="13" spans="2:9">
      <c r="B13" s="55" t="s">
        <v>47</v>
      </c>
      <c r="C13" s="9">
        <v>8053769.9100000001</v>
      </c>
      <c r="D13" s="10">
        <v>4767586.3122531399</v>
      </c>
      <c r="E13" s="9">
        <v>1822860.48</v>
      </c>
      <c r="F13" s="9">
        <v>184127.32</v>
      </c>
      <c r="G13" s="11">
        <v>2006987.8</v>
      </c>
      <c r="H13" s="12">
        <v>46309.06</v>
      </c>
    </row>
    <row r="14" spans="2:9">
      <c r="B14" s="54" t="s">
        <v>56</v>
      </c>
      <c r="C14" s="13">
        <v>15185509.779999999</v>
      </c>
      <c r="D14" s="13">
        <v>6940760.03283385</v>
      </c>
      <c r="E14" s="13">
        <v>2388265.86</v>
      </c>
      <c r="F14" s="13">
        <v>242838.55</v>
      </c>
      <c r="G14" s="13">
        <v>2631104.41</v>
      </c>
      <c r="H14" s="13">
        <v>176699.46</v>
      </c>
    </row>
    <row r="15" spans="2:9">
      <c r="B15" s="55" t="s">
        <v>13</v>
      </c>
      <c r="C15" s="9">
        <v>16696715.189999999</v>
      </c>
      <c r="D15" s="17">
        <v>3416853.8716250001</v>
      </c>
      <c r="E15" s="9">
        <v>1047092</v>
      </c>
      <c r="F15" s="9">
        <v>1345400.72</v>
      </c>
      <c r="G15" s="18">
        <v>2392492.7200000002</v>
      </c>
      <c r="H15" s="25">
        <v>377310.44</v>
      </c>
    </row>
    <row r="16" spans="2:9">
      <c r="B16" s="54" t="s">
        <v>45</v>
      </c>
      <c r="C16" s="13">
        <v>151929249.21000001</v>
      </c>
      <c r="D16" s="13">
        <v>32596127.119789999</v>
      </c>
      <c r="E16" s="13">
        <v>17763721.440000001</v>
      </c>
      <c r="F16" s="13">
        <v>6409272.6900000004</v>
      </c>
      <c r="G16" s="13">
        <v>24172994.129999999</v>
      </c>
      <c r="H16" s="13">
        <v>4601276.33</v>
      </c>
    </row>
    <row r="18" spans="2:9" ht="36">
      <c r="B18" s="54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</row>
    <row r="19" spans="2:9">
      <c r="B19" s="55" t="s">
        <v>5</v>
      </c>
      <c r="C19" s="37">
        <f t="shared" ref="C19:G32" si="0">D3/$C3</f>
        <v>0.14418788681395872</v>
      </c>
      <c r="D19" s="38">
        <f>E3/$C3</f>
        <v>0.15223013198327828</v>
      </c>
      <c r="E19" s="38">
        <f t="shared" si="0"/>
        <v>8.2302927192958696E-3</v>
      </c>
      <c r="F19" s="37">
        <f t="shared" si="0"/>
        <v>0.16046042470257413</v>
      </c>
      <c r="G19" s="37">
        <f t="shared" si="0"/>
        <v>4.7268033159733845E-2</v>
      </c>
    </row>
    <row r="20" spans="2:9">
      <c r="B20" s="55" t="s">
        <v>6</v>
      </c>
      <c r="C20" s="37">
        <f t="shared" si="0"/>
        <v>0.28526011091248088</v>
      </c>
      <c r="D20" s="38">
        <f t="shared" si="0"/>
        <v>0.17584414063351755</v>
      </c>
      <c r="E20" s="38">
        <f t="shared" si="0"/>
        <v>0.16997447361479576</v>
      </c>
      <c r="F20" s="37">
        <f t="shared" si="0"/>
        <v>0.34581861424831334</v>
      </c>
      <c r="G20" s="37">
        <f t="shared" si="0"/>
        <v>2.8650853465686348E-2</v>
      </c>
    </row>
    <row r="21" spans="2:9">
      <c r="B21" s="54" t="s">
        <v>8</v>
      </c>
      <c r="C21" s="53">
        <f t="shared" si="0"/>
        <v>0.17736477254553007</v>
      </c>
      <c r="D21" s="42">
        <f t="shared" si="0"/>
        <v>0.15778359420207894</v>
      </c>
      <c r="E21" s="42">
        <f t="shared" si="0"/>
        <v>4.6268738923766102E-2</v>
      </c>
      <c r="F21" s="53">
        <f t="shared" si="0"/>
        <v>0.20405233312584503</v>
      </c>
      <c r="G21" s="53">
        <f t="shared" si="0"/>
        <v>4.2889708175489018E-2</v>
      </c>
      <c r="I21" s="59"/>
    </row>
    <row r="22" spans="2:9">
      <c r="B22" s="55" t="s">
        <v>9</v>
      </c>
      <c r="C22" s="37">
        <f t="shared" si="0"/>
        <v>0.11208802934400425</v>
      </c>
      <c r="D22" s="38">
        <f t="shared" si="0"/>
        <v>6.1653774293730659E-2</v>
      </c>
      <c r="E22" s="38">
        <f t="shared" si="0"/>
        <v>2.0170943512349403E-2</v>
      </c>
      <c r="F22" s="37">
        <f t="shared" si="0"/>
        <v>8.1824717806080055E-2</v>
      </c>
      <c r="G22" s="37">
        <f t="shared" si="0"/>
        <v>1.0375095705296131E-2</v>
      </c>
    </row>
    <row r="23" spans="2:9">
      <c r="B23" s="55" t="s">
        <v>10</v>
      </c>
      <c r="C23" s="37">
        <f t="shared" si="0"/>
        <v>0.16778032542208043</v>
      </c>
      <c r="D23" s="38">
        <f t="shared" si="0"/>
        <v>4.6196483079008699E-2</v>
      </c>
      <c r="E23" s="38">
        <f t="shared" si="0"/>
        <v>1.4524309901824696E-2</v>
      </c>
      <c r="F23" s="37">
        <f t="shared" si="0"/>
        <v>6.0720792980833403E-2</v>
      </c>
      <c r="G23" s="37">
        <f t="shared" si="0"/>
        <v>2.6255523185282452E-2</v>
      </c>
    </row>
    <row r="24" spans="2:9">
      <c r="B24" s="54" t="s">
        <v>12</v>
      </c>
      <c r="C24" s="53">
        <f t="shared" si="0"/>
        <v>0.13295440414432741</v>
      </c>
      <c r="D24" s="42">
        <f t="shared" si="0"/>
        <v>5.5862351518990758E-2</v>
      </c>
      <c r="E24" s="42">
        <f t="shared" si="0"/>
        <v>1.8055304876942298E-2</v>
      </c>
      <c r="F24" s="53">
        <f t="shared" si="0"/>
        <v>7.3917656395933048E-2</v>
      </c>
      <c r="G24" s="53">
        <f t="shared" si="0"/>
        <v>1.6325056025161433E-2</v>
      </c>
    </row>
    <row r="25" spans="2:9">
      <c r="B25" s="55" t="s">
        <v>7</v>
      </c>
      <c r="C25" s="37">
        <f t="shared" si="0"/>
        <v>0.67392606091170948</v>
      </c>
      <c r="D25" s="38">
        <f t="shared" si="0"/>
        <v>0.36396149264742067</v>
      </c>
      <c r="E25" s="38">
        <f t="shared" si="0"/>
        <v>0.19507963413399229</v>
      </c>
      <c r="F25" s="37">
        <f t="shared" si="0"/>
        <v>0.55904112678141293</v>
      </c>
      <c r="G25" s="37">
        <f t="shared" si="0"/>
        <v>0.1635211288798841</v>
      </c>
    </row>
    <row r="26" spans="2:9">
      <c r="B26" s="55" t="s">
        <v>11</v>
      </c>
      <c r="C26" s="37">
        <f t="shared" si="0"/>
        <v>0.73457850418918702</v>
      </c>
      <c r="D26" s="38">
        <f t="shared" si="0"/>
        <v>0.2571621252195852</v>
      </c>
      <c r="E26" s="38">
        <f t="shared" si="0"/>
        <v>0.16031829019107377</v>
      </c>
      <c r="F26" s="37">
        <f t="shared" si="0"/>
        <v>0.417480415410659</v>
      </c>
      <c r="G26" s="37">
        <f t="shared" si="0"/>
        <v>6.1462319896695303E-2</v>
      </c>
    </row>
    <row r="27" spans="2:9">
      <c r="B27" s="54" t="s">
        <v>44</v>
      </c>
      <c r="C27" s="53">
        <f t="shared" si="0"/>
        <v>0.71521961729058769</v>
      </c>
      <c r="D27" s="42">
        <f t="shared" si="0"/>
        <v>0.29125006567433281</v>
      </c>
      <c r="E27" s="42">
        <f t="shared" si="0"/>
        <v>0.17141332428155073</v>
      </c>
      <c r="F27" s="53">
        <f t="shared" si="0"/>
        <v>0.46266338995588357</v>
      </c>
      <c r="G27" s="53">
        <f t="shared" si="0"/>
        <v>9.4037181408418644E-2</v>
      </c>
    </row>
    <row r="28" spans="2:9">
      <c r="B28" s="55" t="s">
        <v>55</v>
      </c>
      <c r="C28" s="37">
        <f t="shared" si="0"/>
        <v>0.3047185904413392</v>
      </c>
      <c r="D28" s="38">
        <f t="shared" si="0"/>
        <v>7.9280146262541679E-2</v>
      </c>
      <c r="E28" s="38">
        <f t="shared" si="0"/>
        <v>8.2323852342079326E-3</v>
      </c>
      <c r="F28" s="37">
        <f t="shared" si="0"/>
        <v>8.7512531496749604E-2</v>
      </c>
      <c r="G28" s="37">
        <f t="shared" si="0"/>
        <v>1.8283112168531745E-2</v>
      </c>
    </row>
    <row r="29" spans="2:9">
      <c r="B29" s="55" t="s">
        <v>47</v>
      </c>
      <c r="C29" s="37">
        <f t="shared" si="0"/>
        <v>0.59196952055129415</v>
      </c>
      <c r="D29" s="38">
        <f t="shared" si="0"/>
        <v>0.22633629969197866</v>
      </c>
      <c r="E29" s="38">
        <f t="shared" si="0"/>
        <v>2.2862252343635679E-2</v>
      </c>
      <c r="F29" s="37">
        <f t="shared" si="0"/>
        <v>0.24919855203561433</v>
      </c>
      <c r="G29" s="37">
        <f t="shared" si="0"/>
        <v>5.7499854748147379E-3</v>
      </c>
    </row>
    <row r="30" spans="2:9">
      <c r="B30" s="54" t="s">
        <v>56</v>
      </c>
      <c r="C30" s="53">
        <f t="shared" si="0"/>
        <v>0.45706467108368953</v>
      </c>
      <c r="D30" s="42">
        <f t="shared" si="0"/>
        <v>0.15727268261651997</v>
      </c>
      <c r="E30" s="42">
        <f t="shared" si="0"/>
        <v>1.5991465121561431E-2</v>
      </c>
      <c r="F30" s="53">
        <f t="shared" si="0"/>
        <v>0.17326414773808141</v>
      </c>
      <c r="G30" s="53">
        <f t="shared" si="0"/>
        <v>1.1636057172918959E-2</v>
      </c>
    </row>
    <row r="31" spans="2:9">
      <c r="B31" s="56" t="s">
        <v>13</v>
      </c>
      <c r="C31" s="37">
        <f t="shared" si="0"/>
        <v>0.20464228039724983</v>
      </c>
      <c r="D31" s="38">
        <f t="shared" si="0"/>
        <v>6.2712454999958589E-2</v>
      </c>
      <c r="E31" s="38">
        <f t="shared" si="0"/>
        <v>8.057876682269742E-2</v>
      </c>
      <c r="F31" s="37">
        <f t="shared" si="0"/>
        <v>0.14329122182265602</v>
      </c>
      <c r="G31" s="37">
        <f t="shared" si="0"/>
        <v>2.2597884416569486E-2</v>
      </c>
    </row>
    <row r="32" spans="2:9">
      <c r="B32" s="54" t="s">
        <v>45</v>
      </c>
      <c r="C32" s="53">
        <f t="shared" si="0"/>
        <v>0.21454806950789906</v>
      </c>
      <c r="D32" s="42">
        <f t="shared" si="0"/>
        <v>0.11692101114411872</v>
      </c>
      <c r="E32" s="42">
        <f t="shared" si="0"/>
        <v>4.2185903789605121E-2</v>
      </c>
      <c r="F32" s="53">
        <f t="shared" si="0"/>
        <v>0.15910691493372384</v>
      </c>
      <c r="G32" s="53">
        <f t="shared" si="0"/>
        <v>3.028565173543386E-2</v>
      </c>
    </row>
  </sheetData>
  <conditionalFormatting sqref="F19:F27">
    <cfRule type="cellIs" dxfId="179" priority="16" operator="between">
      <formula>10.5%</formula>
      <formula>15.49%</formula>
    </cfRule>
    <cfRule type="cellIs" dxfId="178" priority="17" operator="between">
      <formula>15.5%</formula>
      <formula>200%</formula>
    </cfRule>
    <cfRule type="cellIs" dxfId="177" priority="18" operator="between">
      <formula>0</formula>
      <formula>0.10499</formula>
    </cfRule>
  </conditionalFormatting>
  <conditionalFormatting sqref="G19:G27">
    <cfRule type="cellIs" dxfId="176" priority="13" operator="between">
      <formula>10.5%</formula>
      <formula>15.49%</formula>
    </cfRule>
    <cfRule type="cellIs" dxfId="175" priority="14" operator="between">
      <formula>15.5%</formula>
      <formula>200%</formula>
    </cfRule>
    <cfRule type="cellIs" dxfId="174" priority="15" operator="between">
      <formula>0</formula>
      <formula>0.10499</formula>
    </cfRule>
  </conditionalFormatting>
  <conditionalFormatting sqref="F28:F32">
    <cfRule type="cellIs" dxfId="173" priority="7" operator="between">
      <formula>10.5%</formula>
      <formula>15.49%</formula>
    </cfRule>
    <cfRule type="cellIs" dxfId="172" priority="8" operator="between">
      <formula>15.5%</formula>
      <formula>200%</formula>
    </cfRule>
    <cfRule type="cellIs" dxfId="171" priority="9" operator="between">
      <formula>0</formula>
      <formula>0.10499</formula>
    </cfRule>
  </conditionalFormatting>
  <conditionalFormatting sqref="G28:G32">
    <cfRule type="cellIs" dxfId="170" priority="4" operator="between">
      <formula>10.5%</formula>
      <formula>15.49%</formula>
    </cfRule>
    <cfRule type="cellIs" dxfId="169" priority="5" operator="between">
      <formula>15.5%</formula>
      <formula>200%</formula>
    </cfRule>
    <cfRule type="cellIs" dxfId="168" priority="6" operator="between">
      <formula>0</formula>
      <formula>0.10499</formula>
    </cfRule>
  </conditionalFormatting>
  <conditionalFormatting sqref="C19:C32">
    <cfRule type="cellIs" dxfId="167" priority="10" stopIfTrue="1" operator="between">
      <formula>10.5%</formula>
      <formula>15.499999%</formula>
    </cfRule>
    <cfRule type="cellIs" dxfId="166" priority="11" stopIfTrue="1" operator="between">
      <formula>15.5%</formula>
      <formula>200%</formula>
    </cfRule>
    <cfRule type="cellIs" dxfId="165" priority="12" operator="between">
      <formula>0</formula>
      <formula>0.10499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workbookViewId="0">
      <selection activeCell="B2" sqref="B2"/>
    </sheetView>
  </sheetViews>
  <sheetFormatPr baseColWidth="10" defaultColWidth="10.69921875" defaultRowHeight="13.8"/>
  <cols>
    <col min="1" max="1" width="10.69921875" style="57"/>
    <col min="2" max="2" width="22.8984375" style="57" bestFit="1" customWidth="1"/>
    <col min="3" max="16384" width="10.69921875" style="57"/>
  </cols>
  <sheetData>
    <row r="2" spans="2:9" ht="24">
      <c r="B2" s="54" t="s">
        <v>57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58</v>
      </c>
      <c r="H2" s="7" t="s">
        <v>59</v>
      </c>
    </row>
    <row r="3" spans="2:9">
      <c r="B3" s="55" t="s">
        <v>5</v>
      </c>
      <c r="C3" s="9">
        <v>50187137.289999999</v>
      </c>
      <c r="D3" s="10">
        <v>6457325.6152318697</v>
      </c>
      <c r="E3" s="12">
        <v>6900000</v>
      </c>
      <c r="F3" s="12">
        <v>482850.5</v>
      </c>
      <c r="G3" s="11">
        <v>7382850.5</v>
      </c>
      <c r="H3" s="12">
        <v>2450130.5099999998</v>
      </c>
    </row>
    <row r="4" spans="2:9">
      <c r="B4" s="55" t="s">
        <v>6</v>
      </c>
      <c r="C4" s="9">
        <v>20708446.32</v>
      </c>
      <c r="D4" s="10">
        <v>3889349.62616217</v>
      </c>
      <c r="E4" s="12">
        <v>2504086.52</v>
      </c>
      <c r="F4" s="15">
        <v>2350582.7200000002</v>
      </c>
      <c r="G4" s="11">
        <v>4854669.24</v>
      </c>
      <c r="H4" s="12">
        <v>394599.88</v>
      </c>
    </row>
    <row r="5" spans="2:9">
      <c r="B5" s="54" t="s">
        <v>8</v>
      </c>
      <c r="C5" s="13">
        <v>70895583.609999999</v>
      </c>
      <c r="D5" s="13">
        <v>10346675.241394</v>
      </c>
      <c r="E5" s="13">
        <v>9404086.5199999996</v>
      </c>
      <c r="F5" s="13">
        <v>2833433.22</v>
      </c>
      <c r="G5" s="13">
        <v>12237519.74</v>
      </c>
      <c r="H5" s="13">
        <v>2844730.39</v>
      </c>
      <c r="I5" s="58"/>
    </row>
    <row r="6" spans="2:9">
      <c r="B6" s="55" t="s">
        <v>9</v>
      </c>
      <c r="C6" s="9">
        <v>31099293.120000001</v>
      </c>
      <c r="D6" s="10">
        <v>3977837.8467799998</v>
      </c>
      <c r="E6" s="12">
        <v>2239640.96</v>
      </c>
      <c r="F6" s="15">
        <v>671764.67</v>
      </c>
      <c r="G6" s="11">
        <v>2911405.63</v>
      </c>
      <c r="H6" s="10">
        <v>429067.75</v>
      </c>
    </row>
    <row r="7" spans="2:9">
      <c r="B7" s="55" t="s">
        <v>10</v>
      </c>
      <c r="C7" s="9">
        <v>15741035.33</v>
      </c>
      <c r="D7" s="10">
        <v>3131288.52387942</v>
      </c>
      <c r="E7" s="12">
        <v>923100</v>
      </c>
      <c r="F7" s="15">
        <v>298257.44</v>
      </c>
      <c r="G7" s="11">
        <v>1221357.44</v>
      </c>
      <c r="H7" s="10">
        <v>510093.31</v>
      </c>
    </row>
    <row r="8" spans="2:9">
      <c r="B8" s="54" t="s">
        <v>12</v>
      </c>
      <c r="C8" s="13">
        <v>46840328.450000003</v>
      </c>
      <c r="D8" s="13">
        <v>7109126.3706594203</v>
      </c>
      <c r="E8" s="13">
        <v>3162740.96</v>
      </c>
      <c r="F8" s="13">
        <v>970022.11</v>
      </c>
      <c r="G8" s="13">
        <v>4132763.07</v>
      </c>
      <c r="H8" s="13">
        <v>939161.06</v>
      </c>
    </row>
    <row r="9" spans="2:9">
      <c r="B9" s="55" t="s">
        <v>7</v>
      </c>
      <c r="C9" s="9">
        <v>3226471.89</v>
      </c>
      <c r="D9" s="10">
        <v>1754163.5677591299</v>
      </c>
      <c r="E9" s="12">
        <v>715965.54</v>
      </c>
      <c r="F9" s="12">
        <v>327251.57</v>
      </c>
      <c r="G9" s="11">
        <v>1043217.11</v>
      </c>
      <c r="H9" s="12">
        <v>332449.90000000002</v>
      </c>
    </row>
    <row r="10" spans="2:9">
      <c r="B10" s="55" t="s">
        <v>11</v>
      </c>
      <c r="C10" s="9">
        <v>10134262.01</v>
      </c>
      <c r="D10" s="10">
        <v>3022479.2445605798</v>
      </c>
      <c r="E10" s="12">
        <v>1230248.2</v>
      </c>
      <c r="F10" s="15">
        <v>671764.67</v>
      </c>
      <c r="G10" s="11">
        <v>1902012.87</v>
      </c>
      <c r="H10" s="10">
        <v>279131</v>
      </c>
    </row>
    <row r="11" spans="2:9">
      <c r="B11" s="54" t="s">
        <v>44</v>
      </c>
      <c r="C11" s="13">
        <v>13360733.9</v>
      </c>
      <c r="D11" s="13">
        <v>4776642.8123197099</v>
      </c>
      <c r="E11" s="13">
        <v>1946213.74</v>
      </c>
      <c r="F11" s="13">
        <v>999016.24</v>
      </c>
      <c r="G11" s="13">
        <v>2945229.98</v>
      </c>
      <c r="H11" s="13">
        <v>611580.9</v>
      </c>
    </row>
    <row r="12" spans="2:9">
      <c r="B12" s="55" t="s">
        <v>55</v>
      </c>
      <c r="C12" s="9">
        <v>7638188.1799999997</v>
      </c>
      <c r="D12" s="17">
        <v>2484034.1914367001</v>
      </c>
      <c r="E12" s="9">
        <v>536812.82999999996</v>
      </c>
      <c r="F12" s="9">
        <v>50067.31</v>
      </c>
      <c r="G12" s="18">
        <v>586880.14</v>
      </c>
      <c r="H12" s="25">
        <v>71633.129999999903</v>
      </c>
    </row>
    <row r="13" spans="2:9">
      <c r="B13" s="55" t="s">
        <v>47</v>
      </c>
      <c r="C13" s="9">
        <v>10038251.16</v>
      </c>
      <c r="D13" s="10">
        <v>4431995.78157013</v>
      </c>
      <c r="E13" s="9">
        <v>1872828.43029</v>
      </c>
      <c r="F13" s="9">
        <v>173089.62</v>
      </c>
      <c r="G13" s="11">
        <v>2045918.0502899999</v>
      </c>
      <c r="H13" s="12">
        <v>44070.92</v>
      </c>
    </row>
    <row r="14" spans="2:9">
      <c r="B14" s="54" t="s">
        <v>56</v>
      </c>
      <c r="C14" s="13">
        <v>17676439.34</v>
      </c>
      <c r="D14" s="13">
        <v>6916029.9730068296</v>
      </c>
      <c r="E14" s="13">
        <v>2409641.2602900001</v>
      </c>
      <c r="F14" s="13">
        <v>223156.93</v>
      </c>
      <c r="G14" s="13">
        <v>2632798.1902899998</v>
      </c>
      <c r="H14" s="13">
        <v>115704.05</v>
      </c>
    </row>
    <row r="15" spans="2:9">
      <c r="B15" s="55" t="s">
        <v>13</v>
      </c>
      <c r="C15" s="9">
        <v>14072096.390000001</v>
      </c>
      <c r="D15" s="17">
        <v>3538262.6793550001</v>
      </c>
      <c r="E15" s="9">
        <v>1089870.3899999999</v>
      </c>
      <c r="F15" s="9">
        <v>1343529.34</v>
      </c>
      <c r="G15" s="18">
        <v>2433399.73</v>
      </c>
      <c r="H15" s="25">
        <v>584446.80000000005</v>
      </c>
    </row>
    <row r="16" spans="2:9">
      <c r="B16" s="54" t="s">
        <v>45</v>
      </c>
      <c r="C16" s="13">
        <v>162845181.69</v>
      </c>
      <c r="D16" s="13">
        <v>32686737.076735001</v>
      </c>
      <c r="E16" s="13">
        <v>18012552.87029</v>
      </c>
      <c r="F16" s="13">
        <v>6369157.8399999999</v>
      </c>
      <c r="G16" s="13">
        <v>24381710.71029</v>
      </c>
      <c r="H16" s="13">
        <v>5095623.2</v>
      </c>
    </row>
    <row r="18" spans="2:7" ht="36">
      <c r="B18" s="54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</row>
    <row r="19" spans="2:7">
      <c r="B19" s="55" t="s">
        <v>5</v>
      </c>
      <c r="C19" s="37">
        <f t="shared" ref="C19:G32" si="0">D3/$C3</f>
        <v>0.12866495209557449</v>
      </c>
      <c r="D19" s="38">
        <f>E3/$C3</f>
        <v>0.13748542699555119</v>
      </c>
      <c r="E19" s="38">
        <f t="shared" si="0"/>
        <v>9.6210010387703469E-3</v>
      </c>
      <c r="F19" s="37">
        <f t="shared" si="0"/>
        <v>0.14710642803432156</v>
      </c>
      <c r="G19" s="37">
        <f t="shared" si="0"/>
        <v>4.8819889762634433E-2</v>
      </c>
    </row>
    <row r="20" spans="2:7">
      <c r="B20" s="55" t="s">
        <v>6</v>
      </c>
      <c r="C20" s="37">
        <f t="shared" si="0"/>
        <v>0.18781465137758196</v>
      </c>
      <c r="D20" s="38">
        <f t="shared" si="0"/>
        <v>0.12092102330156848</v>
      </c>
      <c r="E20" s="38">
        <f t="shared" si="0"/>
        <v>0.11350840539542709</v>
      </c>
      <c r="F20" s="37">
        <f t="shared" si="0"/>
        <v>0.23442942869699557</v>
      </c>
      <c r="G20" s="37">
        <f t="shared" si="0"/>
        <v>1.9055021023904606E-2</v>
      </c>
    </row>
    <row r="21" spans="2:7">
      <c r="B21" s="54" t="s">
        <v>8</v>
      </c>
      <c r="C21" s="53">
        <f t="shared" si="0"/>
        <v>0.14594245106030238</v>
      </c>
      <c r="D21" s="42">
        <f t="shared" si="0"/>
        <v>0.13264700057668374</v>
      </c>
      <c r="E21" s="42">
        <f t="shared" si="0"/>
        <v>3.9966286695471073E-2</v>
      </c>
      <c r="F21" s="53">
        <f t="shared" si="0"/>
        <v>0.1726132872721548</v>
      </c>
      <c r="G21" s="53">
        <f t="shared" si="0"/>
        <v>4.0125636113654106E-2</v>
      </c>
    </row>
    <row r="22" spans="2:7">
      <c r="B22" s="55" t="s">
        <v>9</v>
      </c>
      <c r="C22" s="37">
        <f t="shared" si="0"/>
        <v>0.12790766116229974</v>
      </c>
      <c r="D22" s="38">
        <f t="shared" si="0"/>
        <v>7.201581564436535E-2</v>
      </c>
      <c r="E22" s="38">
        <f t="shared" si="0"/>
        <v>2.1600641127369778E-2</v>
      </c>
      <c r="F22" s="37">
        <f t="shared" si="0"/>
        <v>9.3616456771735135E-2</v>
      </c>
      <c r="G22" s="37">
        <f t="shared" si="0"/>
        <v>1.379670426412573E-2</v>
      </c>
    </row>
    <row r="23" spans="2:7">
      <c r="B23" s="55" t="s">
        <v>10</v>
      </c>
      <c r="C23" s="37">
        <f t="shared" si="0"/>
        <v>0.19892519508622564</v>
      </c>
      <c r="D23" s="38">
        <f t="shared" si="0"/>
        <v>5.8642902493250423E-2</v>
      </c>
      <c r="E23" s="38">
        <f t="shared" si="0"/>
        <v>1.8947765108662647E-2</v>
      </c>
      <c r="F23" s="37">
        <f t="shared" si="0"/>
        <v>7.7590667601913063E-2</v>
      </c>
      <c r="G23" s="37">
        <f t="shared" si="0"/>
        <v>3.2405321461151944E-2</v>
      </c>
    </row>
    <row r="24" spans="2:7">
      <c r="B24" s="54" t="s">
        <v>12</v>
      </c>
      <c r="C24" s="53">
        <f t="shared" si="0"/>
        <v>0.15177362341188749</v>
      </c>
      <c r="D24" s="42">
        <f t="shared" si="0"/>
        <v>6.7521750266462954E-2</v>
      </c>
      <c r="E24" s="42">
        <f t="shared" si="0"/>
        <v>2.070912271752014E-2</v>
      </c>
      <c r="F24" s="53">
        <f t="shared" si="0"/>
        <v>8.8230872983983091E-2</v>
      </c>
      <c r="G24" s="53">
        <f t="shared" si="0"/>
        <v>2.0050266321307148E-2</v>
      </c>
    </row>
    <row r="25" spans="2:7">
      <c r="B25" s="55" t="s">
        <v>7</v>
      </c>
      <c r="C25" s="37">
        <f t="shared" si="0"/>
        <v>0.54367855278575816</v>
      </c>
      <c r="D25" s="38">
        <f t="shared" si="0"/>
        <v>0.2219035418281608</v>
      </c>
      <c r="E25" s="38">
        <f t="shared" si="0"/>
        <v>0.10142706372687474</v>
      </c>
      <c r="F25" s="37">
        <f t="shared" si="0"/>
        <v>0.32333060555503551</v>
      </c>
      <c r="G25" s="37">
        <f t="shared" si="0"/>
        <v>0.10303821366935882</v>
      </c>
    </row>
    <row r="26" spans="2:7">
      <c r="B26" s="55" t="s">
        <v>11</v>
      </c>
      <c r="C26" s="37">
        <f t="shared" si="0"/>
        <v>0.29824364532692599</v>
      </c>
      <c r="D26" s="38">
        <f t="shared" si="0"/>
        <v>0.1213949470406479</v>
      </c>
      <c r="E26" s="38">
        <f t="shared" si="0"/>
        <v>6.628649124496043E-2</v>
      </c>
      <c r="F26" s="37">
        <f t="shared" si="0"/>
        <v>0.18768143828560835</v>
      </c>
      <c r="G26" s="37">
        <f t="shared" si="0"/>
        <v>2.7543298142930096E-2</v>
      </c>
    </row>
    <row r="27" spans="2:7">
      <c r="B27" s="54" t="s">
        <v>44</v>
      </c>
      <c r="C27" s="53">
        <f t="shared" si="0"/>
        <v>0.35751350547590127</v>
      </c>
      <c r="D27" s="42">
        <f t="shared" si="0"/>
        <v>0.14566667928323906</v>
      </c>
      <c r="E27" s="42">
        <f t="shared" si="0"/>
        <v>7.47725572170852E-2</v>
      </c>
      <c r="F27" s="53">
        <f t="shared" si="0"/>
        <v>0.22043923650032426</v>
      </c>
      <c r="G27" s="53">
        <f t="shared" si="0"/>
        <v>4.5774498959222594E-2</v>
      </c>
    </row>
    <row r="28" spans="2:7">
      <c r="B28" s="55" t="s">
        <v>55</v>
      </c>
      <c r="C28" s="37">
        <f t="shared" si="0"/>
        <v>0.32521248925772084</v>
      </c>
      <c r="D28" s="38">
        <f t="shared" si="0"/>
        <v>7.0280126300842197E-2</v>
      </c>
      <c r="E28" s="38">
        <f t="shared" si="0"/>
        <v>6.5548673088596252E-3</v>
      </c>
      <c r="F28" s="37">
        <f t="shared" si="0"/>
        <v>7.6834993609701835E-2</v>
      </c>
      <c r="G28" s="37">
        <f t="shared" si="0"/>
        <v>9.3782881898047069E-3</v>
      </c>
    </row>
    <row r="29" spans="2:7">
      <c r="B29" s="55" t="s">
        <v>47</v>
      </c>
      <c r="C29" s="37">
        <f t="shared" si="0"/>
        <v>0.44151074832940623</v>
      </c>
      <c r="D29" s="38">
        <f t="shared" si="0"/>
        <v>0.18656919421908547</v>
      </c>
      <c r="E29" s="38">
        <f t="shared" si="0"/>
        <v>1.7243005503759481E-2</v>
      </c>
      <c r="F29" s="37">
        <f t="shared" si="0"/>
        <v>0.20381219972284495</v>
      </c>
      <c r="G29" s="37">
        <f t="shared" si="0"/>
        <v>4.390298598585772E-3</v>
      </c>
    </row>
    <row r="30" spans="2:7">
      <c r="B30" s="54" t="s">
        <v>56</v>
      </c>
      <c r="C30" s="53">
        <f t="shared" si="0"/>
        <v>0.39125696301044921</v>
      </c>
      <c r="D30" s="42">
        <f t="shared" si="0"/>
        <v>0.13631938050086959</v>
      </c>
      <c r="E30" s="42">
        <f t="shared" si="0"/>
        <v>1.2624540819995256E-2</v>
      </c>
      <c r="F30" s="53">
        <f t="shared" si="0"/>
        <v>0.14894392132086484</v>
      </c>
      <c r="G30" s="53">
        <f t="shared" si="0"/>
        <v>6.5456649823233013E-3</v>
      </c>
    </row>
    <row r="31" spans="2:7">
      <c r="B31" s="56" t="s">
        <v>13</v>
      </c>
      <c r="C31" s="37">
        <f t="shared" si="0"/>
        <v>0.25143820659652261</v>
      </c>
      <c r="D31" s="38">
        <f t="shared" si="0"/>
        <v>7.7449042402416332E-2</v>
      </c>
      <c r="E31" s="38">
        <f t="shared" si="0"/>
        <v>9.5474711284293579E-2</v>
      </c>
      <c r="F31" s="37">
        <f t="shared" si="0"/>
        <v>0.17292375368670992</v>
      </c>
      <c r="G31" s="37">
        <f t="shared" si="0"/>
        <v>4.1532319265189459E-2</v>
      </c>
    </row>
    <row r="32" spans="2:7">
      <c r="B32" s="54" t="s">
        <v>45</v>
      </c>
      <c r="C32" s="53">
        <f t="shared" si="0"/>
        <v>0.20072277691924015</v>
      </c>
      <c r="D32" s="42">
        <f t="shared" si="0"/>
        <v>0.11061151876497992</v>
      </c>
      <c r="E32" s="42">
        <f t="shared" si="0"/>
        <v>3.9111736521161788E-2</v>
      </c>
      <c r="F32" s="53">
        <f t="shared" si="0"/>
        <v>0.14972325528614172</v>
      </c>
      <c r="G32" s="53">
        <f t="shared" si="0"/>
        <v>3.1291212592953942E-2</v>
      </c>
    </row>
  </sheetData>
  <conditionalFormatting sqref="F19:F27">
    <cfRule type="cellIs" dxfId="164" priority="16" operator="between">
      <formula>10.5%</formula>
      <formula>15.49%</formula>
    </cfRule>
    <cfRule type="cellIs" dxfId="163" priority="17" operator="between">
      <formula>15.5%</formula>
      <formula>200%</formula>
    </cfRule>
    <cfRule type="cellIs" dxfId="162" priority="18" operator="between">
      <formula>0</formula>
      <formula>0.10499</formula>
    </cfRule>
  </conditionalFormatting>
  <conditionalFormatting sqref="G19:G27">
    <cfRule type="cellIs" dxfId="161" priority="13" operator="between">
      <formula>10.5%</formula>
      <formula>15.49%</formula>
    </cfRule>
    <cfRule type="cellIs" dxfId="160" priority="14" operator="between">
      <formula>15.5%</formula>
      <formula>200%</formula>
    </cfRule>
    <cfRule type="cellIs" dxfId="159" priority="15" operator="between">
      <formula>0</formula>
      <formula>0.10499</formula>
    </cfRule>
  </conditionalFormatting>
  <conditionalFormatting sqref="C19:C27">
    <cfRule type="cellIs" dxfId="158" priority="10" stopIfTrue="1" operator="between">
      <formula>10.5%</formula>
      <formula>15.49%</formula>
    </cfRule>
    <cfRule type="cellIs" dxfId="157" priority="11" stopIfTrue="1" operator="between">
      <formula>15.5%</formula>
      <formula>200%</formula>
    </cfRule>
    <cfRule type="cellIs" dxfId="156" priority="12" operator="between">
      <formula>0</formula>
      <formula>0.10499</formula>
    </cfRule>
  </conditionalFormatting>
  <conditionalFormatting sqref="F28:F32">
    <cfRule type="cellIs" dxfId="155" priority="7" operator="between">
      <formula>10.5%</formula>
      <formula>15.49%</formula>
    </cfRule>
    <cfRule type="cellIs" dxfId="154" priority="8" operator="between">
      <formula>15.5%</formula>
      <formula>200%</formula>
    </cfRule>
    <cfRule type="cellIs" dxfId="153" priority="9" operator="between">
      <formula>0</formula>
      <formula>0.10499</formula>
    </cfRule>
  </conditionalFormatting>
  <conditionalFormatting sqref="G28:G32">
    <cfRule type="cellIs" dxfId="152" priority="4" operator="between">
      <formula>10.5%</formula>
      <formula>15.49%</formula>
    </cfRule>
    <cfRule type="cellIs" dxfId="151" priority="5" operator="between">
      <formula>15.5%</formula>
      <formula>200%</formula>
    </cfRule>
    <cfRule type="cellIs" dxfId="150" priority="6" operator="between">
      <formula>0</formula>
      <formula>0.10499</formula>
    </cfRule>
  </conditionalFormatting>
  <conditionalFormatting sqref="C28:C32">
    <cfRule type="cellIs" dxfId="149" priority="1" stopIfTrue="1" operator="between">
      <formula>10.5%</formula>
      <formula>15.49%</formula>
    </cfRule>
    <cfRule type="cellIs" dxfId="148" priority="2" stopIfTrue="1" operator="between">
      <formula>15.5%</formula>
      <formula>200%</formula>
    </cfRule>
    <cfRule type="cellIs" dxfId="147" priority="3" operator="between">
      <formula>0</formula>
      <formula>0.10499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2"/>
  <sheetViews>
    <sheetView zoomScaleNormal="100" workbookViewId="0">
      <selection activeCell="C3" sqref="C3:H16"/>
    </sheetView>
  </sheetViews>
  <sheetFormatPr baseColWidth="10" defaultRowHeight="13.8"/>
  <cols>
    <col min="2" max="2" width="22.8984375" bestFit="1" customWidth="1"/>
    <col min="3" max="3" width="10.296875" bestFit="1" customWidth="1"/>
  </cols>
  <sheetData>
    <row r="1" spans="2:8">
      <c r="C1" s="2">
        <f>1335</f>
        <v>1335</v>
      </c>
    </row>
    <row r="2" spans="2:8" ht="36">
      <c r="B2" s="54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</row>
    <row r="3" spans="2:8">
      <c r="B3" s="55" t="s">
        <v>5</v>
      </c>
      <c r="C3" s="9">
        <v>63788150.530000001</v>
      </c>
      <c r="D3" s="10">
        <v>5789234.2312495103</v>
      </c>
      <c r="E3" s="12">
        <v>7100000</v>
      </c>
      <c r="F3" s="12">
        <v>482850.5</v>
      </c>
      <c r="G3" s="11">
        <v>7582850.5</v>
      </c>
      <c r="H3" s="12">
        <v>2290137.12</v>
      </c>
    </row>
    <row r="4" spans="2:8">
      <c r="B4" s="55" t="s">
        <v>6</v>
      </c>
      <c r="C4" s="9">
        <v>29608257.600000001</v>
      </c>
      <c r="D4" s="10">
        <v>3538018.1721596699</v>
      </c>
      <c r="E4" s="12">
        <v>2300000</v>
      </c>
      <c r="F4" s="15">
        <v>2262542.0699999998</v>
      </c>
      <c r="G4" s="11">
        <v>4562542.07</v>
      </c>
      <c r="H4" s="12">
        <v>417466.31</v>
      </c>
    </row>
    <row r="5" spans="2:8">
      <c r="B5" s="54" t="s">
        <v>8</v>
      </c>
      <c r="C5" s="13">
        <v>93396408.129999995</v>
      </c>
      <c r="D5" s="13">
        <v>9327252.4034091793</v>
      </c>
      <c r="E5" s="13">
        <v>9400000</v>
      </c>
      <c r="F5" s="13">
        <v>2745392.57</v>
      </c>
      <c r="G5" s="13">
        <v>12145392.57</v>
      </c>
      <c r="H5" s="13">
        <v>2707603.43</v>
      </c>
    </row>
    <row r="6" spans="2:8">
      <c r="B6" s="55" t="s">
        <v>9</v>
      </c>
      <c r="C6" s="9">
        <v>33874570.079999998</v>
      </c>
      <c r="D6" s="10">
        <v>3332241.09958904</v>
      </c>
      <c r="E6" s="12">
        <v>2012472</v>
      </c>
      <c r="F6" s="15">
        <v>599981.67000000004</v>
      </c>
      <c r="G6" s="11">
        <v>2612453.67</v>
      </c>
      <c r="H6" s="10">
        <v>352366.35</v>
      </c>
    </row>
    <row r="7" spans="2:8">
      <c r="B7" s="55" t="s">
        <v>10</v>
      </c>
      <c r="C7" s="9">
        <v>22059683.739999998</v>
      </c>
      <c r="D7" s="10">
        <v>3016698.5020828801</v>
      </c>
      <c r="E7" s="12">
        <v>923100</v>
      </c>
      <c r="F7" s="15">
        <v>319028.67</v>
      </c>
      <c r="G7" s="11">
        <v>1242128.67</v>
      </c>
      <c r="H7" s="10">
        <v>557100.81999999995</v>
      </c>
    </row>
    <row r="8" spans="2:8">
      <c r="B8" s="54" t="s">
        <v>12</v>
      </c>
      <c r="C8" s="13">
        <v>55934253.82</v>
      </c>
      <c r="D8" s="13">
        <v>6348939.6016719099</v>
      </c>
      <c r="E8" s="13">
        <v>2935572</v>
      </c>
      <c r="F8" s="13">
        <v>919010.34</v>
      </c>
      <c r="G8" s="13">
        <v>3854582.34</v>
      </c>
      <c r="H8" s="13">
        <v>909467.17</v>
      </c>
    </row>
    <row r="9" spans="2:8">
      <c r="B9" s="55" t="s">
        <v>7</v>
      </c>
      <c r="C9" s="9">
        <v>3804986.83</v>
      </c>
      <c r="D9" s="10">
        <v>2064206.9431326799</v>
      </c>
      <c r="E9" s="12">
        <v>715965.54</v>
      </c>
      <c r="F9" s="12">
        <v>373918.78</v>
      </c>
      <c r="G9" s="11">
        <v>1089884.32</v>
      </c>
      <c r="H9" s="12">
        <v>378712</v>
      </c>
    </row>
    <row r="10" spans="2:8">
      <c r="B10" s="55" t="s">
        <v>11</v>
      </c>
      <c r="C10" s="9">
        <v>15136894.1</v>
      </c>
      <c r="D10" s="10">
        <v>2666230.9862680901</v>
      </c>
      <c r="E10" s="12">
        <v>1070367.2</v>
      </c>
      <c r="F10" s="15">
        <v>599981.67000000004</v>
      </c>
      <c r="G10" s="11">
        <v>1670348.87</v>
      </c>
      <c r="H10" s="10">
        <v>368667.34</v>
      </c>
    </row>
    <row r="11" spans="2:8">
      <c r="B11" s="54" t="s">
        <v>44</v>
      </c>
      <c r="C11" s="13">
        <v>18941880.93</v>
      </c>
      <c r="D11" s="13">
        <v>4730437.92940077</v>
      </c>
      <c r="E11" s="13">
        <v>1786332.74</v>
      </c>
      <c r="F11" s="13">
        <v>973900.45</v>
      </c>
      <c r="G11" s="13">
        <v>2760233.19</v>
      </c>
      <c r="H11" s="13">
        <v>747379.34</v>
      </c>
    </row>
    <row r="12" spans="2:8">
      <c r="B12" s="55" t="s">
        <v>55</v>
      </c>
      <c r="C12" s="9">
        <v>8695899.8599999994</v>
      </c>
      <c r="D12" s="17">
        <v>2254785.1557407398</v>
      </c>
      <c r="E12" s="9">
        <v>583226.46</v>
      </c>
      <c r="F12" s="9">
        <v>57207.09</v>
      </c>
      <c r="G12" s="18">
        <v>640433.55000000005</v>
      </c>
      <c r="H12" s="25">
        <v>73091.13</v>
      </c>
    </row>
    <row r="13" spans="2:8">
      <c r="B13" s="55" t="s">
        <v>47</v>
      </c>
      <c r="C13" s="9">
        <v>10327999.73</v>
      </c>
      <c r="D13" s="10">
        <v>3723645.2471023998</v>
      </c>
      <c r="E13" s="9">
        <v>1872828.43</v>
      </c>
      <c r="F13" s="9">
        <v>173089.62</v>
      </c>
      <c r="G13" s="11">
        <v>2045918.05</v>
      </c>
      <c r="H13" s="12">
        <v>43291.42</v>
      </c>
    </row>
    <row r="14" spans="2:8" s="29" customFormat="1">
      <c r="B14" s="54" t="s">
        <v>56</v>
      </c>
      <c r="C14" s="13">
        <v>19023899.59</v>
      </c>
      <c r="D14" s="13">
        <v>5978430.4028431401</v>
      </c>
      <c r="E14" s="13">
        <v>2456054.89</v>
      </c>
      <c r="F14" s="13">
        <v>230296.71</v>
      </c>
      <c r="G14" s="13">
        <v>2686351.6</v>
      </c>
      <c r="H14" s="13">
        <v>116382.55</v>
      </c>
    </row>
    <row r="15" spans="2:8">
      <c r="B15" s="55" t="s">
        <v>13</v>
      </c>
      <c r="C15" s="9">
        <v>14652695.720000001</v>
      </c>
      <c r="D15" s="17">
        <v>3099500.6378649999</v>
      </c>
      <c r="E15" s="9">
        <v>1026394.29</v>
      </c>
      <c r="F15" s="9">
        <v>1199963.3400000001</v>
      </c>
      <c r="G15" s="18">
        <v>2226357.63</v>
      </c>
      <c r="H15" s="25">
        <v>485004.42</v>
      </c>
    </row>
    <row r="16" spans="2:8">
      <c r="B16" s="54" t="s">
        <v>45</v>
      </c>
      <c r="C16" s="13">
        <v>201949138.19</v>
      </c>
      <c r="D16" s="13">
        <v>29484560.975189999</v>
      </c>
      <c r="E16" s="13">
        <v>17604353.920000002</v>
      </c>
      <c r="F16" s="13">
        <v>6068563.4100000001</v>
      </c>
      <c r="G16" s="13">
        <v>23672917.329999998</v>
      </c>
      <c r="H16" s="13">
        <v>4965836.91</v>
      </c>
    </row>
    <row r="17" spans="2:9">
      <c r="B17" s="19"/>
      <c r="C17" s="20"/>
      <c r="D17" s="20"/>
      <c r="E17" s="20"/>
      <c r="F17" s="20"/>
      <c r="G17" s="20"/>
      <c r="H17" s="20"/>
      <c r="I17" s="20"/>
    </row>
    <row r="18" spans="2:9" ht="36">
      <c r="B18" s="54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  <c r="I18" s="20"/>
    </row>
    <row r="19" spans="2:9">
      <c r="B19" s="55" t="s">
        <v>5</v>
      </c>
      <c r="C19" s="37">
        <f t="shared" ref="C19:G32" si="0">D3/$C3</f>
        <v>9.0757204639861658E-2</v>
      </c>
      <c r="D19" s="38">
        <f t="shared" si="0"/>
        <v>0.11130593912831541</v>
      </c>
      <c r="E19" s="38">
        <f t="shared" si="0"/>
        <v>7.5695955438136132E-3</v>
      </c>
      <c r="F19" s="37">
        <f t="shared" si="0"/>
        <v>0.11887553467212901</v>
      </c>
      <c r="G19" s="37">
        <f t="shared" si="0"/>
        <v>3.5902234207635997E-2</v>
      </c>
      <c r="I19" s="20"/>
    </row>
    <row r="20" spans="2:9">
      <c r="B20" s="55" t="s">
        <v>6</v>
      </c>
      <c r="C20" s="37">
        <f t="shared" si="0"/>
        <v>0.11949430526974575</v>
      </c>
      <c r="D20" s="38">
        <f t="shared" si="0"/>
        <v>7.7681031794319427E-2</v>
      </c>
      <c r="E20" s="38">
        <f t="shared" si="0"/>
        <v>7.6415914119850117E-2</v>
      </c>
      <c r="F20" s="37">
        <f t="shared" si="0"/>
        <v>0.15409694591416956</v>
      </c>
      <c r="G20" s="37">
        <f t="shared" si="0"/>
        <v>1.4099658130507483E-2</v>
      </c>
      <c r="I20" s="20"/>
    </row>
    <row r="21" spans="2:9">
      <c r="B21" s="54" t="s">
        <v>8</v>
      </c>
      <c r="C21" s="53">
        <f t="shared" si="0"/>
        <v>9.9867356680638328E-2</v>
      </c>
      <c r="D21" s="42">
        <f t="shared" si="0"/>
        <v>0.10064626882562748</v>
      </c>
      <c r="E21" s="42">
        <f t="shared" si="0"/>
        <v>2.9395055173627692E-2</v>
      </c>
      <c r="F21" s="53">
        <f t="shared" si="0"/>
        <v>0.13004132399925519</v>
      </c>
      <c r="G21" s="53">
        <f t="shared" si="0"/>
        <v>2.8990444966911815E-2</v>
      </c>
      <c r="I21" s="20"/>
    </row>
    <row r="22" spans="2:9">
      <c r="B22" s="55" t="s">
        <v>9</v>
      </c>
      <c r="C22" s="37">
        <f t="shared" si="0"/>
        <v>9.8369989396749277E-2</v>
      </c>
      <c r="D22" s="38">
        <f t="shared" si="0"/>
        <v>5.9409521515615946E-2</v>
      </c>
      <c r="E22" s="38">
        <f t="shared" si="0"/>
        <v>1.771186080245598E-2</v>
      </c>
      <c r="F22" s="37">
        <f t="shared" si="0"/>
        <v>7.7121382318071918E-2</v>
      </c>
      <c r="G22" s="37">
        <f t="shared" si="0"/>
        <v>1.0402090688319666E-2</v>
      </c>
      <c r="I22" s="20"/>
    </row>
    <row r="23" spans="2:9">
      <c r="B23" s="55" t="s">
        <v>10</v>
      </c>
      <c r="C23" s="37">
        <f t="shared" si="0"/>
        <v>0.13675166596395097</v>
      </c>
      <c r="D23" s="38">
        <f t="shared" si="0"/>
        <v>4.1845568181296151E-2</v>
      </c>
      <c r="E23" s="38">
        <f t="shared" si="0"/>
        <v>1.4462069074069146E-2</v>
      </c>
      <c r="F23" s="37">
        <f t="shared" si="0"/>
        <v>5.6307637255365292E-2</v>
      </c>
      <c r="G23" s="37">
        <f t="shared" si="0"/>
        <v>2.5254252353120996E-2</v>
      </c>
      <c r="I23" s="20"/>
    </row>
    <row r="24" spans="2:9">
      <c r="B24" s="54" t="s">
        <v>12</v>
      </c>
      <c r="C24" s="53">
        <f t="shared" si="0"/>
        <v>0.11350718331030575</v>
      </c>
      <c r="D24" s="42">
        <f t="shared" si="0"/>
        <v>5.2482545122472864E-2</v>
      </c>
      <c r="E24" s="42">
        <f t="shared" si="0"/>
        <v>1.6430188609602873E-2</v>
      </c>
      <c r="F24" s="53">
        <f t="shared" si="0"/>
        <v>6.8912733732075737E-2</v>
      </c>
      <c r="G24" s="53">
        <f t="shared" si="0"/>
        <v>1.6259574552057555E-2</v>
      </c>
      <c r="I24" s="20"/>
    </row>
    <row r="25" spans="2:9">
      <c r="B25" s="55" t="s">
        <v>7</v>
      </c>
      <c r="C25" s="37">
        <f t="shared" si="0"/>
        <v>0.54250041730963883</v>
      </c>
      <c r="D25" s="38">
        <f t="shared" si="0"/>
        <v>0.1881650507578761</v>
      </c>
      <c r="E25" s="38">
        <f t="shared" si="0"/>
        <v>9.8270715959350649E-2</v>
      </c>
      <c r="F25" s="37">
        <f t="shared" si="0"/>
        <v>0.2864357667172267</v>
      </c>
      <c r="G25" s="37">
        <f t="shared" si="0"/>
        <v>9.9530436482483164E-2</v>
      </c>
      <c r="I25" s="20"/>
    </row>
    <row r="26" spans="2:9">
      <c r="B26" s="55" t="s">
        <v>11</v>
      </c>
      <c r="C26" s="37">
        <f t="shared" si="0"/>
        <v>0.17614121950341782</v>
      </c>
      <c r="D26" s="38">
        <f t="shared" si="0"/>
        <v>7.0712471985914196E-2</v>
      </c>
      <c r="E26" s="38">
        <f t="shared" si="0"/>
        <v>3.9637039543006389E-2</v>
      </c>
      <c r="F26" s="37">
        <f t="shared" si="0"/>
        <v>0.1103495115289206</v>
      </c>
      <c r="G26" s="37">
        <f t="shared" si="0"/>
        <v>2.4355547284961188E-2</v>
      </c>
      <c r="I26" s="20"/>
    </row>
    <row r="27" spans="2:9">
      <c r="B27" s="54" t="s">
        <v>44</v>
      </c>
      <c r="C27" s="53">
        <f t="shared" si="0"/>
        <v>0.24973432928240724</v>
      </c>
      <c r="D27" s="42">
        <f t="shared" si="0"/>
        <v>9.4305985060375949E-2</v>
      </c>
      <c r="E27" s="42">
        <f t="shared" si="0"/>
        <v>5.141519227151007E-2</v>
      </c>
      <c r="F27" s="53">
        <f t="shared" si="0"/>
        <v>0.14572117733188603</v>
      </c>
      <c r="G27" s="53">
        <f t="shared" si="0"/>
        <v>3.9456448003339868E-2</v>
      </c>
      <c r="I27" s="20"/>
    </row>
    <row r="28" spans="2:9">
      <c r="B28" s="55" t="s">
        <v>55</v>
      </c>
      <c r="C28" s="37">
        <f t="shared" si="0"/>
        <v>0.25929290723694465</v>
      </c>
      <c r="D28" s="38">
        <f t="shared" si="0"/>
        <v>6.7069132509536514E-2</v>
      </c>
      <c r="E28" s="38">
        <f t="shared" si="0"/>
        <v>6.5786279650189069E-3</v>
      </c>
      <c r="F28" s="37">
        <f t="shared" si="0"/>
        <v>7.3647760474555429E-2</v>
      </c>
      <c r="G28" s="37">
        <f t="shared" si="0"/>
        <v>8.4052405359690986E-3</v>
      </c>
      <c r="I28" s="20"/>
    </row>
    <row r="29" spans="2:9">
      <c r="B29" s="55" t="s">
        <v>47</v>
      </c>
      <c r="C29" s="37">
        <f t="shared" si="0"/>
        <v>0.36053885984197248</v>
      </c>
      <c r="D29" s="38">
        <f t="shared" si="0"/>
        <v>0.18133505799384833</v>
      </c>
      <c r="E29" s="38">
        <f t="shared" si="0"/>
        <v>1.6759258765007733E-2</v>
      </c>
      <c r="F29" s="37">
        <f t="shared" si="0"/>
        <v>0.19809431675885608</v>
      </c>
      <c r="G29" s="37">
        <f t="shared" si="0"/>
        <v>4.1916558028415049E-3</v>
      </c>
      <c r="I29" s="20"/>
    </row>
    <row r="30" spans="2:9">
      <c r="B30" s="54" t="s">
        <v>56</v>
      </c>
      <c r="C30" s="53">
        <f t="shared" si="0"/>
        <v>0.31425893385106646</v>
      </c>
      <c r="D30" s="42">
        <f t="shared" si="0"/>
        <v>0.1291036508251461</v>
      </c>
      <c r="E30" s="42">
        <f t="shared" si="0"/>
        <v>1.2105652098850254E-2</v>
      </c>
      <c r="F30" s="53">
        <f t="shared" si="0"/>
        <v>0.14120930292399636</v>
      </c>
      <c r="G30" s="53">
        <f t="shared" si="0"/>
        <v>6.1177020751926707E-3</v>
      </c>
      <c r="I30" s="20"/>
    </row>
    <row r="31" spans="2:9">
      <c r="B31" s="56" t="s">
        <v>13</v>
      </c>
      <c r="C31" s="37">
        <f t="shared" si="0"/>
        <v>0.21153108595808606</v>
      </c>
      <c r="D31" s="38">
        <f t="shared" si="0"/>
        <v>7.0048154251851208E-2</v>
      </c>
      <c r="E31" s="38">
        <f t="shared" si="0"/>
        <v>8.1893691299555635E-2</v>
      </c>
      <c r="F31" s="37">
        <f t="shared" si="0"/>
        <v>0.15194184555140683</v>
      </c>
      <c r="G31" s="37">
        <f t="shared" si="0"/>
        <v>3.3100013080732966E-2</v>
      </c>
      <c r="I31" s="20"/>
    </row>
    <row r="32" spans="2:9">
      <c r="B32" s="54" t="s">
        <v>45</v>
      </c>
      <c r="C32" s="53">
        <f t="shared" si="0"/>
        <v>0.14599993463428407</v>
      </c>
      <c r="D32" s="42">
        <f t="shared" si="0"/>
        <v>8.7172216122245988E-2</v>
      </c>
      <c r="E32" s="42">
        <f t="shared" si="0"/>
        <v>3.0049959432312645E-2</v>
      </c>
      <c r="F32" s="53">
        <f t="shared" si="0"/>
        <v>0.11722217555455862</v>
      </c>
      <c r="G32" s="53">
        <f t="shared" si="0"/>
        <v>2.4589542468500099E-2</v>
      </c>
    </row>
  </sheetData>
  <conditionalFormatting sqref="F19:F27">
    <cfRule type="cellIs" dxfId="146" priority="16" operator="between">
      <formula>10.5%</formula>
      <formula>15.49%</formula>
    </cfRule>
    <cfRule type="cellIs" dxfId="145" priority="17" operator="between">
      <formula>15.5%</formula>
      <formula>200%</formula>
    </cfRule>
    <cfRule type="cellIs" dxfId="144" priority="18" operator="between">
      <formula>0</formula>
      <formula>0.10499</formula>
    </cfRule>
  </conditionalFormatting>
  <conditionalFormatting sqref="G19:G27">
    <cfRule type="cellIs" dxfId="143" priority="13" operator="between">
      <formula>10.5%</formula>
      <formula>15.49%</formula>
    </cfRule>
    <cfRule type="cellIs" dxfId="142" priority="14" operator="between">
      <formula>15.5%</formula>
      <formula>200%</formula>
    </cfRule>
    <cfRule type="cellIs" dxfId="141" priority="15" operator="between">
      <formula>0</formula>
      <formula>0.10499</formula>
    </cfRule>
  </conditionalFormatting>
  <conditionalFormatting sqref="C19:C27">
    <cfRule type="cellIs" dxfId="140" priority="10" stopIfTrue="1" operator="between">
      <formula>10.5%</formula>
      <formula>15.49%</formula>
    </cfRule>
    <cfRule type="cellIs" dxfId="139" priority="11" stopIfTrue="1" operator="between">
      <formula>15.5%</formula>
      <formula>200%</formula>
    </cfRule>
    <cfRule type="cellIs" dxfId="138" priority="12" operator="between">
      <formula>0</formula>
      <formula>0.10499</formula>
    </cfRule>
  </conditionalFormatting>
  <conditionalFormatting sqref="F28:F32">
    <cfRule type="cellIs" dxfId="137" priority="7" operator="between">
      <formula>10.5%</formula>
      <formula>15.49%</formula>
    </cfRule>
    <cfRule type="cellIs" dxfId="136" priority="8" operator="between">
      <formula>15.5%</formula>
      <formula>200%</formula>
    </cfRule>
    <cfRule type="cellIs" dxfId="135" priority="9" operator="between">
      <formula>0</formula>
      <formula>0.10499</formula>
    </cfRule>
  </conditionalFormatting>
  <conditionalFormatting sqref="G28:G32">
    <cfRule type="cellIs" dxfId="134" priority="4" operator="between">
      <formula>10.5%</formula>
      <formula>15.49%</formula>
    </cfRule>
    <cfRule type="cellIs" dxfId="133" priority="5" operator="between">
      <formula>15.5%</formula>
      <formula>200%</formula>
    </cfRule>
    <cfRule type="cellIs" dxfId="132" priority="6" operator="between">
      <formula>0</formula>
      <formula>0.10499</formula>
    </cfRule>
  </conditionalFormatting>
  <conditionalFormatting sqref="C28:C32">
    <cfRule type="cellIs" dxfId="131" priority="1" stopIfTrue="1" operator="between">
      <formula>10.5%</formula>
      <formula>15.49%</formula>
    </cfRule>
    <cfRule type="cellIs" dxfId="130" priority="2" stopIfTrue="1" operator="between">
      <formula>15.5%</formula>
      <formula>200%</formula>
    </cfRule>
    <cfRule type="cellIs" dxfId="129" priority="3" operator="between">
      <formula>0</formula>
      <formula>0.10499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2"/>
  <sheetViews>
    <sheetView workbookViewId="0">
      <selection activeCell="B2" sqref="B2"/>
    </sheetView>
  </sheetViews>
  <sheetFormatPr baseColWidth="10" defaultRowHeight="13.8"/>
  <cols>
    <col min="2" max="2" width="22.8984375" bestFit="1" customWidth="1"/>
    <col min="3" max="3" width="10.296875" bestFit="1" customWidth="1"/>
  </cols>
  <sheetData>
    <row r="1" spans="2:8">
      <c r="C1" s="2">
        <f>1335</f>
        <v>1335</v>
      </c>
    </row>
    <row r="2" spans="2:8" ht="36">
      <c r="B2" s="54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</row>
    <row r="3" spans="2:8">
      <c r="B3" s="55" t="s">
        <v>5</v>
      </c>
      <c r="C3" s="9">
        <v>56105566.219999999</v>
      </c>
      <c r="D3" s="10">
        <v>5348154.2601827998</v>
      </c>
      <c r="E3" s="12">
        <v>7100000</v>
      </c>
      <c r="F3" s="12">
        <v>482850.5</v>
      </c>
      <c r="G3" s="11">
        <v>7582850.5</v>
      </c>
      <c r="H3" s="12">
        <v>2075480.12</v>
      </c>
    </row>
    <row r="4" spans="2:8">
      <c r="B4" s="55" t="s">
        <v>6</v>
      </c>
      <c r="C4" s="9">
        <v>20943355.210000001</v>
      </c>
      <c r="D4" s="10">
        <v>3256861.3442581398</v>
      </c>
      <c r="E4" s="12">
        <v>2300000</v>
      </c>
      <c r="F4" s="15">
        <v>2339286.6</v>
      </c>
      <c r="G4" s="11">
        <v>4639286.5999999996</v>
      </c>
      <c r="H4" s="12">
        <v>505129.77</v>
      </c>
    </row>
    <row r="5" spans="2:8">
      <c r="B5" s="54" t="s">
        <v>8</v>
      </c>
      <c r="C5" s="13">
        <v>77048921.430000007</v>
      </c>
      <c r="D5" s="13">
        <v>8605015.6044409405</v>
      </c>
      <c r="E5" s="13">
        <v>9400000</v>
      </c>
      <c r="F5" s="13">
        <v>2822137.1</v>
      </c>
      <c r="G5" s="13">
        <v>12222137.1</v>
      </c>
      <c r="H5" s="13">
        <v>2580609.89</v>
      </c>
    </row>
    <row r="6" spans="2:8">
      <c r="B6" s="55" t="s">
        <v>9</v>
      </c>
      <c r="C6" s="9">
        <v>30438640.07</v>
      </c>
      <c r="D6" s="10">
        <v>3337332.2576991701</v>
      </c>
      <c r="E6" s="12">
        <v>2622347.04</v>
      </c>
      <c r="F6" s="15">
        <v>576451.13</v>
      </c>
      <c r="G6" s="11">
        <v>3198798.17</v>
      </c>
      <c r="H6" s="10">
        <v>360694.71</v>
      </c>
    </row>
    <row r="7" spans="2:8">
      <c r="B7" s="55" t="s">
        <v>10</v>
      </c>
      <c r="C7" s="9">
        <v>16278681.880000001</v>
      </c>
      <c r="D7" s="10">
        <v>2878986.9168949998</v>
      </c>
      <c r="E7" s="12">
        <v>850000</v>
      </c>
      <c r="F7" s="15">
        <v>334847.68</v>
      </c>
      <c r="G7" s="11">
        <v>1184847.68</v>
      </c>
      <c r="H7" s="10">
        <v>1013046.52</v>
      </c>
    </row>
    <row r="8" spans="2:8">
      <c r="B8" s="54" t="s">
        <v>12</v>
      </c>
      <c r="C8" s="13">
        <v>46717321.950000003</v>
      </c>
      <c r="D8" s="13">
        <v>6216319.1745941704</v>
      </c>
      <c r="E8" s="13">
        <v>3472347.04</v>
      </c>
      <c r="F8" s="13">
        <v>911298.81</v>
      </c>
      <c r="G8" s="13">
        <v>4383645.8499999996</v>
      </c>
      <c r="H8" s="13">
        <v>1373741.23</v>
      </c>
    </row>
    <row r="9" spans="2:8">
      <c r="B9" s="55" t="s">
        <v>7</v>
      </c>
      <c r="C9" s="9">
        <v>2967396.82</v>
      </c>
      <c r="D9" s="10">
        <v>1665379.72709836</v>
      </c>
      <c r="E9" s="12">
        <v>715965.54</v>
      </c>
      <c r="F9" s="12">
        <v>372670.03</v>
      </c>
      <c r="G9" s="11">
        <v>1088635.57</v>
      </c>
      <c r="H9" s="12">
        <v>316430</v>
      </c>
    </row>
    <row r="10" spans="2:8">
      <c r="B10" s="55" t="s">
        <v>11</v>
      </c>
      <c r="C10" s="9">
        <v>12951444.02</v>
      </c>
      <c r="D10" s="10">
        <v>2674137.8561258302</v>
      </c>
      <c r="E10" s="12">
        <v>1473060.3</v>
      </c>
      <c r="F10" s="15">
        <v>576451.13</v>
      </c>
      <c r="G10" s="11">
        <v>2049511.43</v>
      </c>
      <c r="H10" s="10">
        <v>389877.91</v>
      </c>
    </row>
    <row r="11" spans="2:8">
      <c r="B11" s="54" t="s">
        <v>44</v>
      </c>
      <c r="C11" s="13">
        <v>15918840.84</v>
      </c>
      <c r="D11" s="13">
        <v>4339517.5832241904</v>
      </c>
      <c r="E11" s="13">
        <v>2189025.84</v>
      </c>
      <c r="F11" s="13">
        <v>949121.16</v>
      </c>
      <c r="G11" s="13">
        <v>3138147</v>
      </c>
      <c r="H11" s="13">
        <v>706307.91</v>
      </c>
    </row>
    <row r="12" spans="2:8">
      <c r="B12" s="55" t="s">
        <v>55</v>
      </c>
      <c r="C12" s="9">
        <v>9447799.8599999994</v>
      </c>
      <c r="D12" s="17">
        <v>1907298.38059087</v>
      </c>
      <c r="E12" s="9">
        <v>511403.96</v>
      </c>
      <c r="F12" s="9">
        <v>57016.04</v>
      </c>
      <c r="G12" s="18">
        <v>568420</v>
      </c>
      <c r="H12" s="25">
        <v>71157.399999999994</v>
      </c>
    </row>
    <row r="13" spans="2:8">
      <c r="B13" s="55" t="s">
        <v>47</v>
      </c>
      <c r="C13" s="9">
        <v>7961629.9199999999</v>
      </c>
      <c r="D13" s="10">
        <v>3366978.26205413</v>
      </c>
      <c r="E13" s="9">
        <v>1619513.17</v>
      </c>
      <c r="F13" s="9">
        <v>163587.19</v>
      </c>
      <c r="G13" s="11">
        <v>1783100.36</v>
      </c>
      <c r="H13" s="12">
        <v>42642.82</v>
      </c>
    </row>
    <row r="14" spans="2:8" s="29" customFormat="1">
      <c r="B14" s="54" t="s">
        <v>56</v>
      </c>
      <c r="C14" s="13">
        <v>17409429.780000001</v>
      </c>
      <c r="D14" s="13">
        <v>5274276.6426449995</v>
      </c>
      <c r="E14" s="13">
        <v>2130917.13</v>
      </c>
      <c r="F14" s="13">
        <v>220603.23</v>
      </c>
      <c r="G14" s="13">
        <v>2351520.36</v>
      </c>
      <c r="H14" s="13">
        <v>113800.22</v>
      </c>
    </row>
    <row r="15" spans="2:8">
      <c r="B15" s="55" t="s">
        <v>13</v>
      </c>
      <c r="C15" s="9">
        <v>13799296.42</v>
      </c>
      <c r="D15" s="17">
        <v>3185636.8614949998</v>
      </c>
      <c r="E15" s="9">
        <v>1199300.67</v>
      </c>
      <c r="F15" s="9">
        <v>1152902.26</v>
      </c>
      <c r="G15" s="18">
        <v>2352202.9300000002</v>
      </c>
      <c r="H15" s="25">
        <v>465922.85</v>
      </c>
    </row>
    <row r="16" spans="2:8">
      <c r="B16" s="54" t="s">
        <v>45</v>
      </c>
      <c r="C16" s="13">
        <v>170893810.41999999</v>
      </c>
      <c r="D16" s="13">
        <v>27620765.866399299</v>
      </c>
      <c r="E16" s="13">
        <v>18391590.68</v>
      </c>
      <c r="F16" s="13">
        <v>6056062.5599999996</v>
      </c>
      <c r="G16" s="13">
        <v>24447653.239999998</v>
      </c>
      <c r="H16" s="13">
        <v>5240382.0999999996</v>
      </c>
    </row>
    <row r="17" spans="2:9">
      <c r="B17" s="19"/>
      <c r="C17" s="20"/>
      <c r="D17" s="20"/>
      <c r="E17" s="20"/>
      <c r="F17" s="20"/>
      <c r="G17" s="20"/>
      <c r="H17" s="20"/>
      <c r="I17" s="20"/>
    </row>
    <row r="18" spans="2:9" ht="36">
      <c r="B18" s="54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  <c r="I18" s="20"/>
    </row>
    <row r="19" spans="2:9">
      <c r="B19" s="55" t="s">
        <v>5</v>
      </c>
      <c r="C19" s="37">
        <f t="shared" ref="C19:G32" si="0">D3/$C3</f>
        <v>9.5323060090182973E-2</v>
      </c>
      <c r="D19" s="38">
        <f t="shared" si="0"/>
        <v>0.12654715883553558</v>
      </c>
      <c r="E19" s="38">
        <f t="shared" si="0"/>
        <v>8.6061068897630676E-3</v>
      </c>
      <c r="F19" s="37">
        <f t="shared" si="0"/>
        <v>0.13515326572529865</v>
      </c>
      <c r="G19" s="37">
        <f t="shared" si="0"/>
        <v>3.6992410197976971E-2</v>
      </c>
      <c r="I19" s="20"/>
    </row>
    <row r="20" spans="2:9">
      <c r="B20" s="55" t="s">
        <v>6</v>
      </c>
      <c r="C20" s="37">
        <f t="shared" si="0"/>
        <v>0.15550809846853281</v>
      </c>
      <c r="D20" s="38">
        <f t="shared" si="0"/>
        <v>0.10982003489592726</v>
      </c>
      <c r="E20" s="38">
        <f t="shared" si="0"/>
        <v>0.11169588523633697</v>
      </c>
      <c r="F20" s="37">
        <f t="shared" si="0"/>
        <v>0.2215159201322642</v>
      </c>
      <c r="G20" s="37">
        <f t="shared" si="0"/>
        <v>2.4118856073205092E-2</v>
      </c>
      <c r="I20" s="20"/>
    </row>
    <row r="21" spans="2:9">
      <c r="B21" s="54" t="s">
        <v>8</v>
      </c>
      <c r="C21" s="53">
        <f t="shared" si="0"/>
        <v>0.11168249269081222</v>
      </c>
      <c r="D21" s="42">
        <f t="shared" si="0"/>
        <v>0.1220004099413647</v>
      </c>
      <c r="E21" s="42">
        <f t="shared" si="0"/>
        <v>3.6627859905397249E-2</v>
      </c>
      <c r="F21" s="53">
        <f t="shared" si="0"/>
        <v>0.15862826984676193</v>
      </c>
      <c r="G21" s="53">
        <f t="shared" si="0"/>
        <v>3.3493134519014901E-2</v>
      </c>
      <c r="I21" s="20"/>
    </row>
    <row r="22" spans="2:9">
      <c r="B22" s="55" t="s">
        <v>9</v>
      </c>
      <c r="C22" s="37">
        <f t="shared" si="0"/>
        <v>0.10964130624838293</v>
      </c>
      <c r="D22" s="38">
        <f t="shared" si="0"/>
        <v>8.6151911976664081E-2</v>
      </c>
      <c r="E22" s="38">
        <f t="shared" si="0"/>
        <v>1.893813681144527E-2</v>
      </c>
      <c r="F22" s="37">
        <f t="shared" si="0"/>
        <v>0.10509004878810933</v>
      </c>
      <c r="G22" s="37">
        <f t="shared" si="0"/>
        <v>1.1849895697393422E-2</v>
      </c>
      <c r="I22" s="20"/>
    </row>
    <row r="23" spans="2:9">
      <c r="B23" s="55" t="s">
        <v>10</v>
      </c>
      <c r="C23" s="37">
        <f t="shared" si="0"/>
        <v>0.176856267486382</v>
      </c>
      <c r="D23" s="38">
        <f t="shared" si="0"/>
        <v>5.2215529873110338E-2</v>
      </c>
      <c r="E23" s="38">
        <f t="shared" si="0"/>
        <v>2.0569704750566693E-2</v>
      </c>
      <c r="F23" s="37">
        <f t="shared" si="0"/>
        <v>7.2785234623677031E-2</v>
      </c>
      <c r="G23" s="37">
        <f t="shared" si="0"/>
        <v>6.2231483326953496E-2</v>
      </c>
      <c r="I23" s="20"/>
    </row>
    <row r="24" spans="2:9">
      <c r="B24" s="54" t="s">
        <v>12</v>
      </c>
      <c r="C24" s="53">
        <f t="shared" si="0"/>
        <v>0.13306240416022327</v>
      </c>
      <c r="D24" s="42">
        <f t="shared" si="0"/>
        <v>7.4326757079875808E-2</v>
      </c>
      <c r="E24" s="42">
        <f t="shared" si="0"/>
        <v>1.9506657744108983E-2</v>
      </c>
      <c r="F24" s="53">
        <f t="shared" si="0"/>
        <v>9.3833414823984773E-2</v>
      </c>
      <c r="G24" s="53">
        <f t="shared" si="0"/>
        <v>2.9405393388565158E-2</v>
      </c>
      <c r="I24" s="20"/>
    </row>
    <row r="25" spans="2:9">
      <c r="B25" s="55" t="s">
        <v>7</v>
      </c>
      <c r="C25" s="37">
        <f t="shared" si="0"/>
        <v>0.56122582455903558</v>
      </c>
      <c r="D25" s="38">
        <f t="shared" si="0"/>
        <v>0.2412773159202887</v>
      </c>
      <c r="E25" s="38">
        <f t="shared" si="0"/>
        <v>0.1255882015806703</v>
      </c>
      <c r="F25" s="37">
        <f t="shared" si="0"/>
        <v>0.36686551750095903</v>
      </c>
      <c r="G25" s="37">
        <f t="shared" si="0"/>
        <v>0.10663555270642908</v>
      </c>
      <c r="I25" s="20"/>
    </row>
    <row r="26" spans="2:9">
      <c r="B26" s="55" t="s">
        <v>11</v>
      </c>
      <c r="C26" s="37">
        <f t="shared" si="0"/>
        <v>0.20647410836941024</v>
      </c>
      <c r="D26" s="38">
        <f t="shared" si="0"/>
        <v>0.11373714758950872</v>
      </c>
      <c r="E26" s="38">
        <f t="shared" si="0"/>
        <v>4.4508637732582346E-2</v>
      </c>
      <c r="F26" s="37">
        <f t="shared" si="0"/>
        <v>0.15824578532209105</v>
      </c>
      <c r="G26" s="37">
        <f t="shared" si="0"/>
        <v>3.0103045606184074E-2</v>
      </c>
      <c r="I26" s="20"/>
    </row>
    <row r="27" spans="2:9">
      <c r="B27" s="54" t="s">
        <v>44</v>
      </c>
      <c r="C27" s="53">
        <f t="shared" si="0"/>
        <v>0.27260261138613096</v>
      </c>
      <c r="D27" s="42">
        <f t="shared" si="0"/>
        <v>0.13751163555197651</v>
      </c>
      <c r="E27" s="42">
        <f t="shared" si="0"/>
        <v>5.9622504524016587E-2</v>
      </c>
      <c r="F27" s="53">
        <f t="shared" si="0"/>
        <v>0.19713414007599311</v>
      </c>
      <c r="G27" s="53">
        <f t="shared" si="0"/>
        <v>4.436930534698405E-2</v>
      </c>
      <c r="I27" s="20"/>
    </row>
    <row r="28" spans="2:9">
      <c r="B28" s="55" t="s">
        <v>55</v>
      </c>
      <c r="C28" s="37">
        <f t="shared" si="0"/>
        <v>0.20187751739597817</v>
      </c>
      <c r="D28" s="38">
        <f t="shared" si="0"/>
        <v>5.4129423524854392E-2</v>
      </c>
      <c r="E28" s="38">
        <f t="shared" si="0"/>
        <v>6.0348484139036368E-3</v>
      </c>
      <c r="F28" s="37">
        <f t="shared" si="0"/>
        <v>6.0164271938758028E-2</v>
      </c>
      <c r="G28" s="37">
        <f t="shared" si="0"/>
        <v>7.5316371064617369E-3</v>
      </c>
      <c r="I28" s="20"/>
    </row>
    <row r="29" spans="2:9">
      <c r="B29" s="55" t="s">
        <v>47</v>
      </c>
      <c r="C29" s="37">
        <f t="shared" si="0"/>
        <v>0.42290062410413193</v>
      </c>
      <c r="D29" s="38">
        <f t="shared" si="0"/>
        <v>0.20341477640548256</v>
      </c>
      <c r="E29" s="38">
        <f t="shared" si="0"/>
        <v>2.0546947251223153E-2</v>
      </c>
      <c r="F29" s="37">
        <f t="shared" si="0"/>
        <v>0.22396172365670572</v>
      </c>
      <c r="G29" s="37">
        <f t="shared" si="0"/>
        <v>5.3560414674486655E-3</v>
      </c>
      <c r="I29" s="20"/>
    </row>
    <row r="30" spans="2:9">
      <c r="B30" s="54" t="s">
        <v>56</v>
      </c>
      <c r="C30" s="53">
        <f t="shared" si="0"/>
        <v>0.3029551633393589</v>
      </c>
      <c r="D30" s="42">
        <f t="shared" si="0"/>
        <v>0.1224001680082597</v>
      </c>
      <c r="E30" s="42">
        <f t="shared" si="0"/>
        <v>1.2671479352725818E-2</v>
      </c>
      <c r="F30" s="53">
        <f t="shared" si="0"/>
        <v>0.13507164736098551</v>
      </c>
      <c r="G30" s="53">
        <f t="shared" si="0"/>
        <v>6.5367000205103784E-3</v>
      </c>
      <c r="I30" s="20"/>
    </row>
    <row r="31" spans="2:9">
      <c r="B31" s="56" t="s">
        <v>13</v>
      </c>
      <c r="C31" s="37">
        <f t="shared" si="0"/>
        <v>0.23085502075873227</v>
      </c>
      <c r="D31" s="38">
        <f t="shared" si="0"/>
        <v>8.6910276690758986E-2</v>
      </c>
      <c r="E31" s="38">
        <f t="shared" si="0"/>
        <v>8.3547901640046079E-2</v>
      </c>
      <c r="F31" s="37">
        <f t="shared" si="0"/>
        <v>0.17045817833080509</v>
      </c>
      <c r="G31" s="37">
        <f t="shared" si="0"/>
        <v>3.376424680063507E-2</v>
      </c>
      <c r="I31" s="20"/>
    </row>
    <row r="32" spans="2:9">
      <c r="B32" s="54" t="s">
        <v>45</v>
      </c>
      <c r="C32" s="53">
        <f t="shared" si="0"/>
        <v>0.16162531456532375</v>
      </c>
      <c r="D32" s="42">
        <f t="shared" si="0"/>
        <v>0.10761999299330739</v>
      </c>
      <c r="E32" s="42">
        <f t="shared" si="0"/>
        <v>3.543757696733555E-2</v>
      </c>
      <c r="F32" s="53">
        <f t="shared" si="0"/>
        <v>0.14305756996064292</v>
      </c>
      <c r="G32" s="53">
        <f t="shared" si="0"/>
        <v>3.0664551788744651E-2</v>
      </c>
    </row>
  </sheetData>
  <conditionalFormatting sqref="F19:F27">
    <cfRule type="cellIs" dxfId="128" priority="16" operator="between">
      <formula>10.5%</formula>
      <formula>15.49%</formula>
    </cfRule>
    <cfRule type="cellIs" dxfId="127" priority="17" operator="between">
      <formula>15.5%</formula>
      <formula>200%</formula>
    </cfRule>
    <cfRule type="cellIs" dxfId="126" priority="18" operator="between">
      <formula>0</formula>
      <formula>0.10499</formula>
    </cfRule>
  </conditionalFormatting>
  <conditionalFormatting sqref="G19:G27">
    <cfRule type="cellIs" dxfId="125" priority="13" operator="between">
      <formula>10.5%</formula>
      <formula>15.49%</formula>
    </cfRule>
    <cfRule type="cellIs" dxfId="124" priority="14" operator="between">
      <formula>15.5%</formula>
      <formula>200%</formula>
    </cfRule>
    <cfRule type="cellIs" dxfId="123" priority="15" operator="between">
      <formula>0</formula>
      <formula>0.10499</formula>
    </cfRule>
  </conditionalFormatting>
  <conditionalFormatting sqref="C19:C27">
    <cfRule type="cellIs" dxfId="122" priority="10" stopIfTrue="1" operator="between">
      <formula>10.5%</formula>
      <formula>15.49%</formula>
    </cfRule>
    <cfRule type="cellIs" dxfId="121" priority="11" stopIfTrue="1" operator="between">
      <formula>15.5%</formula>
      <formula>200%</formula>
    </cfRule>
    <cfRule type="cellIs" dxfId="120" priority="12" operator="between">
      <formula>0</formula>
      <formula>0.10499</formula>
    </cfRule>
  </conditionalFormatting>
  <conditionalFormatting sqref="F28:F32">
    <cfRule type="cellIs" dxfId="119" priority="7" operator="between">
      <formula>10.5%</formula>
      <formula>15.49%</formula>
    </cfRule>
    <cfRule type="cellIs" dxfId="118" priority="8" operator="between">
      <formula>15.5%</formula>
      <formula>200%</formula>
    </cfRule>
    <cfRule type="cellIs" dxfId="117" priority="9" operator="between">
      <formula>0</formula>
      <formula>0.10499</formula>
    </cfRule>
  </conditionalFormatting>
  <conditionalFormatting sqref="G28:G32">
    <cfRule type="cellIs" dxfId="116" priority="4" operator="between">
      <formula>10.5%</formula>
      <formula>15.49%</formula>
    </cfRule>
    <cfRule type="cellIs" dxfId="115" priority="5" operator="between">
      <formula>15.5%</formula>
      <formula>200%</formula>
    </cfRule>
    <cfRule type="cellIs" dxfId="114" priority="6" operator="between">
      <formula>0</formula>
      <formula>0.10499</formula>
    </cfRule>
  </conditionalFormatting>
  <conditionalFormatting sqref="C28:C32">
    <cfRule type="cellIs" dxfId="113" priority="1" stopIfTrue="1" operator="between">
      <formula>10.5%</formula>
      <formula>15.49%</formula>
    </cfRule>
    <cfRule type="cellIs" dxfId="112" priority="2" stopIfTrue="1" operator="between">
      <formula>15.5%</formula>
      <formula>200%</formula>
    </cfRule>
    <cfRule type="cellIs" dxfId="111" priority="3" operator="between">
      <formula>0</formula>
      <formula>0.10499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2"/>
  <sheetViews>
    <sheetView zoomScaleNormal="100" workbookViewId="0">
      <selection activeCell="B2" sqref="B2"/>
    </sheetView>
  </sheetViews>
  <sheetFormatPr baseColWidth="10" defaultRowHeight="13.8"/>
  <cols>
    <col min="2" max="2" width="22.8984375" bestFit="1" customWidth="1"/>
    <col min="3" max="3" width="10.296875" bestFit="1" customWidth="1"/>
  </cols>
  <sheetData>
    <row r="1" spans="2:8">
      <c r="C1" s="2">
        <f>1335</f>
        <v>1335</v>
      </c>
    </row>
    <row r="2" spans="2:8" ht="36">
      <c r="B2" s="54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</row>
    <row r="3" spans="2:8">
      <c r="B3" s="55" t="s">
        <v>5</v>
      </c>
      <c r="C3" s="9">
        <v>49769692.159999996</v>
      </c>
      <c r="D3" s="10">
        <v>5886604.3575863698</v>
      </c>
      <c r="E3" s="12">
        <v>7525000</v>
      </c>
      <c r="F3" s="12">
        <v>482850.5</v>
      </c>
      <c r="G3" s="11">
        <v>8007850.5</v>
      </c>
      <c r="H3" s="12">
        <v>1912542.8</v>
      </c>
    </row>
    <row r="4" spans="2:8">
      <c r="B4" s="55" t="s">
        <v>6</v>
      </c>
      <c r="C4" s="9">
        <v>25475593.41</v>
      </c>
      <c r="D4" s="10">
        <v>3367054.2249410301</v>
      </c>
      <c r="E4" s="12">
        <v>2451875.16</v>
      </c>
      <c r="F4" s="15">
        <v>2223483.52</v>
      </c>
      <c r="G4" s="11">
        <v>4675358.68</v>
      </c>
      <c r="H4" s="12">
        <v>339520.31</v>
      </c>
    </row>
    <row r="5" spans="2:8">
      <c r="B5" s="54" t="s">
        <v>8</v>
      </c>
      <c r="C5" s="13">
        <v>75245285.569999993</v>
      </c>
      <c r="D5" s="13">
        <v>9253658.5825274102</v>
      </c>
      <c r="E5" s="13">
        <v>9976875.1600000001</v>
      </c>
      <c r="F5" s="13">
        <v>2706334.02</v>
      </c>
      <c r="G5" s="13">
        <v>12683209.18</v>
      </c>
      <c r="H5" s="13">
        <v>2252063.11</v>
      </c>
    </row>
    <row r="6" spans="2:8">
      <c r="B6" s="55" t="s">
        <v>9</v>
      </c>
      <c r="C6" s="9">
        <v>39662999.960000001</v>
      </c>
      <c r="D6" s="10">
        <v>4129920.5291189901</v>
      </c>
      <c r="E6" s="12">
        <v>3323410.48</v>
      </c>
      <c r="F6" s="15">
        <v>576451.13</v>
      </c>
      <c r="G6" s="11">
        <v>3899861.61</v>
      </c>
      <c r="H6" s="10">
        <v>2698204.61</v>
      </c>
    </row>
    <row r="7" spans="2:8">
      <c r="B7" s="55" t="s">
        <v>10</v>
      </c>
      <c r="C7" s="9">
        <v>21769881.93</v>
      </c>
      <c r="D7" s="10">
        <v>2821119.9947600001</v>
      </c>
      <c r="E7" s="12">
        <v>850000</v>
      </c>
      <c r="F7" s="15">
        <v>279156.28000000003</v>
      </c>
      <c r="G7" s="11">
        <v>1129156.28</v>
      </c>
      <c r="H7" s="10">
        <v>600917.63</v>
      </c>
    </row>
    <row r="8" spans="2:8">
      <c r="B8" s="54" t="s">
        <v>12</v>
      </c>
      <c r="C8" s="13">
        <v>61432881.890000001</v>
      </c>
      <c r="D8" s="13">
        <v>6951040.5238789897</v>
      </c>
      <c r="E8" s="13">
        <v>4173410.48</v>
      </c>
      <c r="F8" s="13">
        <v>855607.41</v>
      </c>
      <c r="G8" s="13">
        <v>5029017.8899999997</v>
      </c>
      <c r="H8" s="13">
        <v>3299122.24</v>
      </c>
    </row>
    <row r="9" spans="2:8">
      <c r="B9" s="55" t="s">
        <v>7</v>
      </c>
      <c r="C9" s="9">
        <v>3623339.96</v>
      </c>
      <c r="D9" s="10">
        <v>1936660.8081849699</v>
      </c>
      <c r="E9" s="12">
        <v>645479.21</v>
      </c>
      <c r="F9" s="12">
        <v>373255.01</v>
      </c>
      <c r="G9" s="11">
        <v>1018734.22</v>
      </c>
      <c r="H9" s="12">
        <v>310950</v>
      </c>
    </row>
    <row r="10" spans="2:8">
      <c r="B10" s="55" t="s">
        <v>11</v>
      </c>
      <c r="C10" s="9">
        <v>17824030.18</v>
      </c>
      <c r="D10" s="10">
        <v>2718682.2473810101</v>
      </c>
      <c r="E10" s="12">
        <v>1374452</v>
      </c>
      <c r="F10" s="15">
        <v>576451.13</v>
      </c>
      <c r="G10" s="11">
        <v>1950903.13</v>
      </c>
      <c r="H10" s="10">
        <v>304572.59000000003</v>
      </c>
    </row>
    <row r="11" spans="2:8">
      <c r="B11" s="54" t="s">
        <v>44</v>
      </c>
      <c r="C11" s="13">
        <v>21447370.140000001</v>
      </c>
      <c r="D11" s="13">
        <v>4655343.0555659803</v>
      </c>
      <c r="E11" s="13">
        <v>2019931.21</v>
      </c>
      <c r="F11" s="13">
        <v>949706.14</v>
      </c>
      <c r="G11" s="13">
        <v>2969637.35</v>
      </c>
      <c r="H11" s="13">
        <v>615522.59</v>
      </c>
    </row>
    <row r="12" spans="2:8">
      <c r="B12" s="55" t="s">
        <v>55</v>
      </c>
      <c r="C12" s="9">
        <v>4982999.91</v>
      </c>
      <c r="D12" s="17">
        <v>2638595.6423338298</v>
      </c>
      <c r="E12" s="9">
        <v>461056.58</v>
      </c>
      <c r="F12" s="9">
        <v>57105.53</v>
      </c>
      <c r="G12" s="18">
        <v>518162.11</v>
      </c>
      <c r="H12" s="25">
        <v>51993.41</v>
      </c>
    </row>
    <row r="13" spans="2:8">
      <c r="B13" s="55" t="s">
        <v>47</v>
      </c>
      <c r="C13" s="9">
        <v>4959712.82</v>
      </c>
      <c r="D13" s="10">
        <v>3586986.4518361702</v>
      </c>
      <c r="E13" s="9">
        <v>1619513.17</v>
      </c>
      <c r="F13" s="9">
        <v>163587.19</v>
      </c>
      <c r="G13" s="11">
        <v>1783100.36</v>
      </c>
      <c r="H13" s="12">
        <v>21219.18</v>
      </c>
    </row>
    <row r="14" spans="2:8" s="29" customFormat="1">
      <c r="B14" s="54" t="s">
        <v>56</v>
      </c>
      <c r="C14" s="13">
        <v>9942712.7300000004</v>
      </c>
      <c r="D14" s="13">
        <v>6225582.0941700004</v>
      </c>
      <c r="E14" s="13">
        <v>2080569.75</v>
      </c>
      <c r="F14" s="13">
        <v>220692.72</v>
      </c>
      <c r="G14" s="13">
        <v>2301262.4700000002</v>
      </c>
      <c r="H14" s="13">
        <v>73212.59</v>
      </c>
    </row>
    <row r="15" spans="2:8">
      <c r="B15" s="55" t="s">
        <v>13</v>
      </c>
      <c r="C15" s="9">
        <v>16125916.84</v>
      </c>
      <c r="D15" s="17">
        <v>3767181.9185850001</v>
      </c>
      <c r="E15" s="9">
        <v>1369897.5</v>
      </c>
      <c r="F15" s="9">
        <v>1152902.26</v>
      </c>
      <c r="G15" s="18">
        <v>2522799.7599999998</v>
      </c>
      <c r="H15" s="25">
        <v>326408.8</v>
      </c>
    </row>
    <row r="16" spans="2:8">
      <c r="B16" s="54" t="s">
        <v>45</v>
      </c>
      <c r="C16" s="13">
        <v>184194167.16999999</v>
      </c>
      <c r="D16" s="13">
        <v>30852806.174727399</v>
      </c>
      <c r="E16" s="13">
        <v>19620684.100000001</v>
      </c>
      <c r="F16" s="13">
        <v>5885242.5499999998</v>
      </c>
      <c r="G16" s="13">
        <v>25505926.649999999</v>
      </c>
      <c r="H16" s="13">
        <v>6566329.3300000001</v>
      </c>
    </row>
    <row r="17" spans="2:9">
      <c r="B17" s="19"/>
      <c r="C17" s="20"/>
      <c r="D17" s="20"/>
      <c r="E17" s="20"/>
      <c r="F17" s="20"/>
      <c r="G17" s="20"/>
      <c r="H17" s="20"/>
      <c r="I17" s="20"/>
    </row>
    <row r="18" spans="2:9" ht="36">
      <c r="B18" s="54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  <c r="I18" s="20"/>
    </row>
    <row r="19" spans="2:9">
      <c r="B19" s="55" t="s">
        <v>5</v>
      </c>
      <c r="C19" s="37">
        <f t="shared" ref="C19:G32" si="0">D3/$C3</f>
        <v>0.118276889048501</v>
      </c>
      <c r="D19" s="38">
        <f t="shared" si="0"/>
        <v>0.1511964344848381</v>
      </c>
      <c r="E19" s="38">
        <f t="shared" si="0"/>
        <v>9.7016975400958556E-3</v>
      </c>
      <c r="F19" s="37">
        <f t="shared" si="0"/>
        <v>0.16089813202493397</v>
      </c>
      <c r="G19" s="37">
        <f t="shared" si="0"/>
        <v>3.8427860752112804E-2</v>
      </c>
      <c r="I19" s="20"/>
    </row>
    <row r="20" spans="2:9">
      <c r="B20" s="55" t="s">
        <v>6</v>
      </c>
      <c r="C20" s="37">
        <f t="shared" si="0"/>
        <v>0.13216784279573843</v>
      </c>
      <c r="D20" s="38">
        <f t="shared" si="0"/>
        <v>9.6244084310026679E-2</v>
      </c>
      <c r="E20" s="38">
        <f t="shared" si="0"/>
        <v>8.7278968706071838E-2</v>
      </c>
      <c r="F20" s="37">
        <f t="shared" si="0"/>
        <v>0.1835230530160985</v>
      </c>
      <c r="G20" s="37">
        <f t="shared" si="0"/>
        <v>1.3327277780572806E-2</v>
      </c>
      <c r="I20" s="20"/>
    </row>
    <row r="21" spans="2:9">
      <c r="B21" s="54" t="s">
        <v>8</v>
      </c>
      <c r="C21" s="53">
        <f t="shared" si="0"/>
        <v>0.12297991179685028</v>
      </c>
      <c r="D21" s="42">
        <f t="shared" si="0"/>
        <v>0.13259136548453399</v>
      </c>
      <c r="E21" s="42">
        <f t="shared" si="0"/>
        <v>3.5966825024304316E-2</v>
      </c>
      <c r="F21" s="53">
        <f t="shared" si="0"/>
        <v>0.1685581905088383</v>
      </c>
      <c r="G21" s="53">
        <f t="shared" si="0"/>
        <v>2.9929624068007907E-2</v>
      </c>
      <c r="I21" s="20"/>
    </row>
    <row r="22" spans="2:9">
      <c r="B22" s="55" t="s">
        <v>9</v>
      </c>
      <c r="C22" s="37">
        <f t="shared" si="0"/>
        <v>0.10412526872107508</v>
      </c>
      <c r="D22" s="38">
        <f t="shared" si="0"/>
        <v>8.3791202968803366E-2</v>
      </c>
      <c r="E22" s="38">
        <f t="shared" si="0"/>
        <v>1.4533724896789174E-2</v>
      </c>
      <c r="F22" s="37">
        <f t="shared" si="0"/>
        <v>9.8324927865592535E-2</v>
      </c>
      <c r="G22" s="37">
        <f t="shared" si="0"/>
        <v>6.8028253352523257E-2</v>
      </c>
      <c r="I22" s="20"/>
    </row>
    <row r="23" spans="2:9">
      <c r="B23" s="55" t="s">
        <v>10</v>
      </c>
      <c r="C23" s="37">
        <f t="shared" si="0"/>
        <v>0.12958820832520704</v>
      </c>
      <c r="D23" s="38">
        <f t="shared" si="0"/>
        <v>3.9044768489472463E-2</v>
      </c>
      <c r="E23" s="38">
        <f t="shared" si="0"/>
        <v>1.2823049794096887E-2</v>
      </c>
      <c r="F23" s="37">
        <f t="shared" si="0"/>
        <v>5.1867818283569352E-2</v>
      </c>
      <c r="G23" s="37">
        <f t="shared" si="0"/>
        <v>2.7603164405402912E-2</v>
      </c>
      <c r="I23" s="20"/>
    </row>
    <row r="24" spans="2:9">
      <c r="B24" s="54" t="s">
        <v>12</v>
      </c>
      <c r="C24" s="53">
        <f t="shared" si="0"/>
        <v>0.11314853397770477</v>
      </c>
      <c r="D24" s="42">
        <f t="shared" si="0"/>
        <v>6.7934473389556951E-2</v>
      </c>
      <c r="E24" s="42">
        <f t="shared" si="0"/>
        <v>1.3927515422962359E-2</v>
      </c>
      <c r="F24" s="53">
        <f t="shared" si="0"/>
        <v>8.1861988812519298E-2</v>
      </c>
      <c r="G24" s="53">
        <f t="shared" si="0"/>
        <v>5.3702872769461091E-2</v>
      </c>
      <c r="I24" s="20"/>
    </row>
    <row r="25" spans="2:9">
      <c r="B25" s="55" t="s">
        <v>7</v>
      </c>
      <c r="C25" s="37">
        <f t="shared" si="0"/>
        <v>0.53449602564617482</v>
      </c>
      <c r="D25" s="38">
        <f t="shared" si="0"/>
        <v>0.17814481034785373</v>
      </c>
      <c r="E25" s="38">
        <f t="shared" si="0"/>
        <v>0.10301407378842807</v>
      </c>
      <c r="F25" s="37">
        <f t="shared" si="0"/>
        <v>0.28115888413628182</v>
      </c>
      <c r="G25" s="37">
        <f t="shared" si="0"/>
        <v>8.5818610296782644E-2</v>
      </c>
      <c r="I25" s="20"/>
    </row>
    <row r="26" spans="2:9">
      <c r="B26" s="55" t="s">
        <v>11</v>
      </c>
      <c r="C26" s="37">
        <f t="shared" si="0"/>
        <v>0.15252904196894768</v>
      </c>
      <c r="D26" s="38">
        <f t="shared" si="0"/>
        <v>7.7112302106750588E-2</v>
      </c>
      <c r="E26" s="38">
        <f t="shared" si="0"/>
        <v>3.2341233950940268E-2</v>
      </c>
      <c r="F26" s="37">
        <f t="shared" si="0"/>
        <v>0.10945353605769086</v>
      </c>
      <c r="G26" s="37">
        <f t="shared" si="0"/>
        <v>1.7087751026238447E-2</v>
      </c>
      <c r="I26" s="20"/>
    </row>
    <row r="27" spans="2:9">
      <c r="B27" s="54" t="s">
        <v>44</v>
      </c>
      <c r="C27" s="53">
        <f t="shared" si="0"/>
        <v>0.21705892261744592</v>
      </c>
      <c r="D27" s="42">
        <f t="shared" si="0"/>
        <v>9.418083414491768E-2</v>
      </c>
      <c r="E27" s="42">
        <f t="shared" si="0"/>
        <v>4.4280773530772852E-2</v>
      </c>
      <c r="F27" s="53">
        <f t="shared" si="0"/>
        <v>0.13846160767569055</v>
      </c>
      <c r="G27" s="53">
        <f t="shared" si="0"/>
        <v>2.8699210485113581E-2</v>
      </c>
      <c r="I27" s="20"/>
    </row>
    <row r="28" spans="2:9">
      <c r="B28" s="55" t="s">
        <v>55</v>
      </c>
      <c r="C28" s="37">
        <f t="shared" si="0"/>
        <v>0.5295195043127805</v>
      </c>
      <c r="D28" s="38">
        <f t="shared" si="0"/>
        <v>9.2525905744999304E-2</v>
      </c>
      <c r="E28" s="38">
        <f t="shared" si="0"/>
        <v>1.1460070445796977E-2</v>
      </c>
      <c r="F28" s="37">
        <f t="shared" si="0"/>
        <v>0.10398597619079628</v>
      </c>
      <c r="G28" s="37">
        <f t="shared" si="0"/>
        <v>1.043415832612367E-2</v>
      </c>
      <c r="I28" s="20"/>
    </row>
    <row r="29" spans="2:9">
      <c r="B29" s="55" t="s">
        <v>47</v>
      </c>
      <c r="C29" s="37">
        <f t="shared" si="0"/>
        <v>0.72322462650895381</v>
      </c>
      <c r="D29" s="38">
        <f t="shared" si="0"/>
        <v>0.32653365805159656</v>
      </c>
      <c r="E29" s="38">
        <f t="shared" si="0"/>
        <v>3.2983198007016865E-2</v>
      </c>
      <c r="F29" s="37">
        <f t="shared" si="0"/>
        <v>0.3595168560586135</v>
      </c>
      <c r="G29" s="37">
        <f t="shared" si="0"/>
        <v>4.278308194465179E-3</v>
      </c>
      <c r="I29" s="20"/>
    </row>
    <row r="30" spans="2:9">
      <c r="B30" s="54" t="s">
        <v>56</v>
      </c>
      <c r="C30" s="53">
        <f t="shared" si="0"/>
        <v>0.62614522447034437</v>
      </c>
      <c r="D30" s="42">
        <f t="shared" si="0"/>
        <v>0.20925574403073394</v>
      </c>
      <c r="E30" s="42">
        <f t="shared" si="0"/>
        <v>2.219642928374136E-2</v>
      </c>
      <c r="F30" s="53">
        <f t="shared" si="0"/>
        <v>0.23145217331447532</v>
      </c>
      <c r="G30" s="53">
        <f t="shared" si="0"/>
        <v>7.3634421498568218E-3</v>
      </c>
      <c r="I30" s="20"/>
    </row>
    <row r="31" spans="2:9">
      <c r="B31" s="56" t="s">
        <v>13</v>
      </c>
      <c r="C31" s="37">
        <f t="shared" si="0"/>
        <v>0.2336104021844255</v>
      </c>
      <c r="D31" s="38">
        <f t="shared" si="0"/>
        <v>8.4950053605758274E-2</v>
      </c>
      <c r="E31" s="38">
        <f t="shared" si="0"/>
        <v>7.1493749560970696E-2</v>
      </c>
      <c r="F31" s="37">
        <f t="shared" si="0"/>
        <v>0.15644380316672896</v>
      </c>
      <c r="G31" s="37">
        <f t="shared" si="0"/>
        <v>2.0241255318292958E-2</v>
      </c>
      <c r="I31" s="20"/>
    </row>
    <row r="32" spans="2:9">
      <c r="B32" s="54" t="s">
        <v>45</v>
      </c>
      <c r="C32" s="53">
        <f t="shared" si="0"/>
        <v>0.1675015373654701</v>
      </c>
      <c r="D32" s="42">
        <f t="shared" si="0"/>
        <v>0.10652174496867377</v>
      </c>
      <c r="E32" s="42">
        <f t="shared" si="0"/>
        <v>3.1951297049315791E-2</v>
      </c>
      <c r="F32" s="53">
        <f t="shared" si="0"/>
        <v>0.13847304201798954</v>
      </c>
      <c r="G32" s="53">
        <f t="shared" si="0"/>
        <v>3.5648953660620958E-2</v>
      </c>
    </row>
  </sheetData>
  <conditionalFormatting sqref="F19:F27">
    <cfRule type="cellIs" dxfId="110" priority="16" operator="between">
      <formula>10.5%</formula>
      <formula>15.49%</formula>
    </cfRule>
    <cfRule type="cellIs" dxfId="109" priority="17" operator="between">
      <formula>15.5%</formula>
      <formula>200%</formula>
    </cfRule>
    <cfRule type="cellIs" dxfId="108" priority="18" operator="between">
      <formula>0</formula>
      <formula>0.10499</formula>
    </cfRule>
  </conditionalFormatting>
  <conditionalFormatting sqref="G19:G27">
    <cfRule type="cellIs" dxfId="107" priority="13" operator="between">
      <formula>10.5%</formula>
      <formula>15.49%</formula>
    </cfRule>
    <cfRule type="cellIs" dxfId="106" priority="14" operator="between">
      <formula>15.5%</formula>
      <formula>200%</formula>
    </cfRule>
    <cfRule type="cellIs" dxfId="105" priority="15" operator="between">
      <formula>0</formula>
      <formula>0.10499</formula>
    </cfRule>
  </conditionalFormatting>
  <conditionalFormatting sqref="C19:C27">
    <cfRule type="cellIs" dxfId="104" priority="10" stopIfTrue="1" operator="between">
      <formula>10.5%</formula>
      <formula>15.49%</formula>
    </cfRule>
    <cfRule type="cellIs" dxfId="103" priority="11" stopIfTrue="1" operator="between">
      <formula>15.5%</formula>
      <formula>200%</formula>
    </cfRule>
    <cfRule type="cellIs" dxfId="102" priority="12" operator="between">
      <formula>0</formula>
      <formula>0.10499</formula>
    </cfRule>
  </conditionalFormatting>
  <conditionalFormatting sqref="F28:F32">
    <cfRule type="cellIs" dxfId="101" priority="7" operator="between">
      <formula>10.5%</formula>
      <formula>15.49%</formula>
    </cfRule>
    <cfRule type="cellIs" dxfId="100" priority="8" operator="between">
      <formula>15.5%</formula>
      <formula>200%</formula>
    </cfRule>
    <cfRule type="cellIs" dxfId="99" priority="9" operator="between">
      <formula>0</formula>
      <formula>0.10499</formula>
    </cfRule>
  </conditionalFormatting>
  <conditionalFormatting sqref="G28:G32">
    <cfRule type="cellIs" dxfId="98" priority="4" operator="between">
      <formula>10.5%</formula>
      <formula>15.49%</formula>
    </cfRule>
    <cfRule type="cellIs" dxfId="97" priority="5" operator="between">
      <formula>15.5%</formula>
      <formula>200%</formula>
    </cfRule>
    <cfRule type="cellIs" dxfId="96" priority="6" operator="between">
      <formula>0</formula>
      <formula>0.10499</formula>
    </cfRule>
  </conditionalFormatting>
  <conditionalFormatting sqref="C28:C32">
    <cfRule type="cellIs" dxfId="95" priority="1" stopIfTrue="1" operator="between">
      <formula>10.5%</formula>
      <formula>15.49%</formula>
    </cfRule>
    <cfRule type="cellIs" dxfId="94" priority="2" stopIfTrue="1" operator="between">
      <formula>15.5%</formula>
      <formula>200%</formula>
    </cfRule>
    <cfRule type="cellIs" dxfId="93" priority="3" operator="between">
      <formula>0</formula>
      <formula>0.10499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zoomScaleNormal="100" workbookViewId="0">
      <selection activeCell="H3" sqref="H3"/>
    </sheetView>
  </sheetViews>
  <sheetFormatPr baseColWidth="10" defaultColWidth="11.59765625" defaultRowHeight="13.95" customHeight="1"/>
  <cols>
    <col min="1" max="1" width="6" style="1" customWidth="1"/>
    <col min="2" max="2" width="24.69921875" style="1" bestFit="1" customWidth="1"/>
    <col min="3" max="3" width="11.59765625" style="3" bestFit="1" customWidth="1"/>
    <col min="4" max="7" width="10.69921875" style="3" bestFit="1" customWidth="1"/>
    <col min="8" max="9" width="13" style="3" bestFit="1" customWidth="1"/>
    <col min="10" max="10" width="23.3984375" style="3" customWidth="1"/>
    <col min="11" max="16384" width="11.59765625" style="1"/>
  </cols>
  <sheetData>
    <row r="1" spans="2:14" ht="13.95" customHeight="1">
      <c r="C1" s="2">
        <f>1335</f>
        <v>1335</v>
      </c>
      <c r="J1" s="28" t="s">
        <v>36</v>
      </c>
    </row>
    <row r="2" spans="2:14" ht="36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9">
        <v>75154430.091200009</v>
      </c>
      <c r="D3" s="10">
        <v>5769355</v>
      </c>
      <c r="E3" s="12">
        <v>7200000</v>
      </c>
      <c r="F3" s="12">
        <v>482850.5</v>
      </c>
      <c r="G3" s="11">
        <f>E3+F3</f>
        <v>7682850.5</v>
      </c>
      <c r="H3" s="12">
        <v>1923824.2400000002</v>
      </c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>
        <v>34597888.504399993</v>
      </c>
      <c r="D4" s="10">
        <v>3645925</v>
      </c>
      <c r="E4" s="12">
        <v>2333872.36</v>
      </c>
      <c r="F4" s="15">
        <v>1962121.14</v>
      </c>
      <c r="G4" s="11">
        <f>E4+F4</f>
        <v>4295993.5</v>
      </c>
      <c r="H4" s="12">
        <v>830684.54</v>
      </c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>SUM(C3:C4)</f>
        <v>109752318.59560001</v>
      </c>
      <c r="D5" s="13">
        <f t="shared" ref="D5:H5" si="0">SUM(D3:D4)</f>
        <v>9415280</v>
      </c>
      <c r="E5" s="13">
        <f t="shared" si="0"/>
        <v>9533872.3599999994</v>
      </c>
      <c r="F5" s="13">
        <f t="shared" si="0"/>
        <v>2444971.6399999997</v>
      </c>
      <c r="G5" s="13">
        <f t="shared" si="0"/>
        <v>11978844</v>
      </c>
      <c r="H5" s="13">
        <f t="shared" si="0"/>
        <v>2754508.7800000003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9">
        <v>50266584.511</v>
      </c>
      <c r="D6" s="10">
        <v>3858890</v>
      </c>
      <c r="E6" s="12">
        <v>4159281.92</v>
      </c>
      <c r="F6" s="15">
        <v>592559.63</v>
      </c>
      <c r="G6" s="11">
        <f>E6+F6</f>
        <v>4751841.55</v>
      </c>
      <c r="H6" s="10">
        <v>291255.46999999997</v>
      </c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9">
        <v>25547205.604899999</v>
      </c>
      <c r="D7" s="10">
        <v>3048929</v>
      </c>
      <c r="E7" s="12">
        <v>850000</v>
      </c>
      <c r="F7" s="15">
        <v>286765.71999999997</v>
      </c>
      <c r="G7" s="11">
        <f>E7+F7</f>
        <v>1136765.72</v>
      </c>
      <c r="H7" s="10">
        <v>747180.52</v>
      </c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75813790.115899995</v>
      </c>
      <c r="D8" s="13">
        <f t="shared" si="1"/>
        <v>6907819</v>
      </c>
      <c r="E8" s="13">
        <f>SUM(E6:E7)</f>
        <v>5009281.92</v>
      </c>
      <c r="F8" s="13">
        <f>SUM(F6:F7)</f>
        <v>879325.35</v>
      </c>
      <c r="G8" s="13">
        <f>SUM(G6:G7)</f>
        <v>5888607.2699999996</v>
      </c>
      <c r="H8" s="13">
        <f>SUM(H6:H7)</f>
        <v>1038435.99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9">
        <v>5451413.8737000003</v>
      </c>
      <c r="D9" s="10">
        <v>2058309</v>
      </c>
      <c r="E9" s="12">
        <v>645479.21</v>
      </c>
      <c r="F9" s="12">
        <v>324239.07</v>
      </c>
      <c r="G9" s="11">
        <f>E9+F9</f>
        <v>969718.28</v>
      </c>
      <c r="H9" s="12">
        <v>407903</v>
      </c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9">
        <v>16630870.0153</v>
      </c>
      <c r="D10" s="10">
        <v>2706334</v>
      </c>
      <c r="E10" s="12">
        <v>1999268.2</v>
      </c>
      <c r="F10" s="15">
        <v>592559.63</v>
      </c>
      <c r="G10" s="11">
        <f>E10+F10</f>
        <v>2591827.83</v>
      </c>
      <c r="H10" s="10">
        <v>7298650.7800000003</v>
      </c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>SUM(C9:C10)</f>
        <v>22082283.888999999</v>
      </c>
      <c r="D11" s="13">
        <f t="shared" ref="D11" si="2">SUM(D9:D10)</f>
        <v>4764643</v>
      </c>
      <c r="E11" s="13">
        <f>SUM(E9:E10)</f>
        <v>2644747.41</v>
      </c>
      <c r="F11" s="13">
        <f>SUM(F9:F10)</f>
        <v>916798.7</v>
      </c>
      <c r="G11" s="13">
        <f>SUM(G9:G10)</f>
        <v>3561546.1100000003</v>
      </c>
      <c r="H11" s="13">
        <f t="shared" ref="H11" si="3">SUM(H9:H10)</f>
        <v>7706553.7800000003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55</v>
      </c>
      <c r="C12" s="9">
        <v>10969600.008100001</v>
      </c>
      <c r="D12" s="17">
        <v>2967291</v>
      </c>
      <c r="E12" s="9">
        <v>461056.58</v>
      </c>
      <c r="F12" s="9">
        <v>49606.42</v>
      </c>
      <c r="G12" s="18">
        <f>E12+F12</f>
        <v>510663</v>
      </c>
      <c r="H12" s="25">
        <v>365567.13</v>
      </c>
      <c r="J12" s="16" t="s">
        <v>55</v>
      </c>
      <c r="K12" s="9"/>
      <c r="L12" s="10"/>
      <c r="M12" s="11"/>
      <c r="N12" s="12"/>
    </row>
    <row r="13" spans="2:14" ht="15" customHeight="1">
      <c r="B13" s="7" t="s">
        <v>47</v>
      </c>
      <c r="C13" s="9">
        <v>21238500.008300003</v>
      </c>
      <c r="D13" s="10">
        <v>4145644</v>
      </c>
      <c r="E13" s="9">
        <v>1544265.55</v>
      </c>
      <c r="F13" s="9">
        <v>155986.42000000001</v>
      </c>
      <c r="G13" s="11">
        <f>E13+F13</f>
        <v>1700251.97</v>
      </c>
      <c r="H13" s="12">
        <v>20606.29</v>
      </c>
      <c r="J13" s="7" t="s">
        <v>47</v>
      </c>
      <c r="K13" s="9"/>
      <c r="L13" s="10"/>
      <c r="M13" s="11"/>
      <c r="N13" s="12"/>
    </row>
    <row r="14" spans="2:14" s="14" customFormat="1" ht="15" customHeight="1">
      <c r="B14" s="5" t="s">
        <v>56</v>
      </c>
      <c r="C14" s="13">
        <f>SUM(C12:C13)</f>
        <v>32208100.016400002</v>
      </c>
      <c r="D14" s="13">
        <f t="shared" ref="D14" si="4">SUM(D12:D13)</f>
        <v>7112935</v>
      </c>
      <c r="E14" s="13">
        <f>SUM(E12:E13)</f>
        <v>2005322.1300000001</v>
      </c>
      <c r="F14" s="13">
        <f>SUM(F12:F13)</f>
        <v>205592.84000000003</v>
      </c>
      <c r="G14" s="13">
        <f>SUM(G12:G13)</f>
        <v>2210914.9699999997</v>
      </c>
      <c r="H14" s="13">
        <f t="shared" ref="H14" si="5">SUM(H12:H13)</f>
        <v>386173.42</v>
      </c>
      <c r="J14" s="5" t="s">
        <v>56</v>
      </c>
      <c r="K14" s="9"/>
      <c r="L14" s="17"/>
      <c r="M14" s="18"/>
      <c r="N14" s="25"/>
    </row>
    <row r="15" spans="2:14" ht="15" customHeight="1">
      <c r="B15" s="16" t="s">
        <v>13</v>
      </c>
      <c r="C15" s="9">
        <v>18417509.3046</v>
      </c>
      <c r="D15" s="17">
        <v>3320623</v>
      </c>
      <c r="E15" s="9">
        <v>1529517.24</v>
      </c>
      <c r="F15" s="9">
        <v>1185119.26</v>
      </c>
      <c r="G15" s="18">
        <f>E15+F15</f>
        <v>2714636.5</v>
      </c>
      <c r="H15" s="25">
        <v>459802.84</v>
      </c>
      <c r="J15" s="16" t="s">
        <v>13</v>
      </c>
      <c r="K15" s="9"/>
      <c r="L15" s="10"/>
      <c r="M15" s="11"/>
      <c r="N15" s="12"/>
    </row>
    <row r="16" spans="2:14" ht="15" customHeight="1">
      <c r="B16" s="5" t="s">
        <v>45</v>
      </c>
      <c r="C16" s="13">
        <f>+C5+C8+C11+C14+C15</f>
        <v>258274001.9215</v>
      </c>
      <c r="D16" s="13">
        <f t="shared" ref="D16:H16" si="6">+D5+D8+D11+D14+D15</f>
        <v>31521300</v>
      </c>
      <c r="E16" s="13">
        <f t="shared" si="6"/>
        <v>20722741.059999995</v>
      </c>
      <c r="F16" s="13">
        <f t="shared" si="6"/>
        <v>5631807.7899999991</v>
      </c>
      <c r="G16" s="13">
        <f t="shared" si="6"/>
        <v>26354548.849999998</v>
      </c>
      <c r="H16" s="13">
        <f t="shared" si="6"/>
        <v>12345474.810000001</v>
      </c>
      <c r="J16" s="5" t="s">
        <v>45</v>
      </c>
      <c r="K16" s="9"/>
      <c r="L16" s="10"/>
      <c r="M16" s="11"/>
      <c r="N16" s="12"/>
    </row>
    <row r="17" spans="2:13" ht="15" customHeight="1">
      <c r="B17" s="19"/>
      <c r="C17" s="20"/>
      <c r="D17" s="20"/>
      <c r="E17" s="20"/>
      <c r="F17" s="20"/>
      <c r="G17" s="20"/>
      <c r="H17" s="20"/>
      <c r="I17" s="20"/>
    </row>
    <row r="18" spans="2:13" ht="36">
      <c r="B18" s="5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  <c r="H18"/>
      <c r="I18" s="20"/>
    </row>
    <row r="19" spans="2:13" ht="15" customHeight="1">
      <c r="B19" s="7" t="s">
        <v>5</v>
      </c>
      <c r="C19" s="37">
        <f t="shared" ref="C19:G31" si="7">D3/$C3</f>
        <v>7.6766665557823799E-2</v>
      </c>
      <c r="D19" s="38">
        <f t="shared" si="7"/>
        <v>9.5802735663922806E-2</v>
      </c>
      <c r="E19" s="38">
        <f t="shared" si="7"/>
        <v>6.4247776134295775E-3</v>
      </c>
      <c r="F19" s="37">
        <f t="shared" si="7"/>
        <v>0.10222751327735238</v>
      </c>
      <c r="G19" s="37">
        <f t="shared" si="7"/>
        <v>2.5598281267856557E-2</v>
      </c>
      <c r="H19"/>
      <c r="I19" s="20"/>
    </row>
    <row r="20" spans="2:13" s="3" customFormat="1" ht="15" customHeight="1">
      <c r="B20" s="7" t="s">
        <v>6</v>
      </c>
      <c r="C20" s="37">
        <f t="shared" si="7"/>
        <v>0.10537998582012682</v>
      </c>
      <c r="D20" s="38">
        <f t="shared" si="7"/>
        <v>6.7457075009163911E-2</v>
      </c>
      <c r="E20" s="38">
        <f t="shared" si="7"/>
        <v>5.6712164378195123E-2</v>
      </c>
      <c r="F20" s="37">
        <f t="shared" si="7"/>
        <v>0.12416923938735903</v>
      </c>
      <c r="G20" s="37">
        <f t="shared" si="7"/>
        <v>2.4009688911921824E-2</v>
      </c>
      <c r="H20"/>
      <c r="I20" s="20"/>
      <c r="K20" s="7" t="s">
        <v>38</v>
      </c>
      <c r="L20" s="7" t="s">
        <v>39</v>
      </c>
      <c r="M20" s="7" t="s">
        <v>40</v>
      </c>
    </row>
    <row r="21" spans="2:13" s="3" customFormat="1" ht="15" customHeight="1">
      <c r="B21" s="5" t="s">
        <v>8</v>
      </c>
      <c r="C21" s="53">
        <f t="shared" si="7"/>
        <v>8.5786615904599767E-2</v>
      </c>
      <c r="D21" s="42">
        <f t="shared" si="7"/>
        <v>8.6867161277285443E-2</v>
      </c>
      <c r="E21" s="42">
        <f t="shared" si="7"/>
        <v>2.2277175291475063E-2</v>
      </c>
      <c r="F21" s="53">
        <f t="shared" si="7"/>
        <v>0.10914433656876051</v>
      </c>
      <c r="G21" s="53">
        <f t="shared" si="7"/>
        <v>2.5097499672416295E-2</v>
      </c>
      <c r="H21"/>
      <c r="I21" s="20"/>
      <c r="J21" s="7" t="s">
        <v>37</v>
      </c>
      <c r="K21" s="15"/>
      <c r="L21" s="15"/>
      <c r="M21" s="23" t="e">
        <f>L21/K21-1</f>
        <v>#DIV/0!</v>
      </c>
    </row>
    <row r="22" spans="2:13" s="3" customFormat="1" ht="15" customHeight="1">
      <c r="B22" s="7" t="s">
        <v>9</v>
      </c>
      <c r="C22" s="37">
        <f t="shared" si="7"/>
        <v>7.6768494170427401E-2</v>
      </c>
      <c r="D22" s="38">
        <f t="shared" si="7"/>
        <v>8.2744470515791868E-2</v>
      </c>
      <c r="E22" s="38">
        <f t="shared" si="7"/>
        <v>1.1788340818547722E-2</v>
      </c>
      <c r="F22" s="37">
        <f t="shared" si="7"/>
        <v>9.4532811334339592E-2</v>
      </c>
      <c r="G22" s="37">
        <f t="shared" si="7"/>
        <v>5.7942164329120791E-3</v>
      </c>
      <c r="H22"/>
      <c r="I22" s="20"/>
      <c r="J22" s="7" t="s">
        <v>8</v>
      </c>
      <c r="K22" s="15"/>
      <c r="L22" s="15"/>
      <c r="M22" s="23" t="e">
        <f t="shared" ref="M22:M24" si="8">L22/K22-1</f>
        <v>#DIV/0!</v>
      </c>
    </row>
    <row r="23" spans="2:13" s="3" customFormat="1" ht="15" customHeight="1">
      <c r="B23" s="7" t="s">
        <v>10</v>
      </c>
      <c r="C23" s="37">
        <f t="shared" si="7"/>
        <v>0.11934491181357268</v>
      </c>
      <c r="D23" s="38">
        <f t="shared" si="7"/>
        <v>3.3271740680592028E-2</v>
      </c>
      <c r="E23" s="38">
        <f t="shared" si="7"/>
        <v>1.1224934908145015E-2</v>
      </c>
      <c r="F23" s="37">
        <f t="shared" si="7"/>
        <v>4.4496675588737045E-2</v>
      </c>
      <c r="G23" s="37">
        <f t="shared" si="7"/>
        <v>2.9247054709446951E-2</v>
      </c>
      <c r="H23"/>
      <c r="I23" s="20"/>
      <c r="J23" s="7" t="s">
        <v>12</v>
      </c>
      <c r="K23" s="15"/>
      <c r="L23" s="15"/>
      <c r="M23" s="23" t="e">
        <f t="shared" si="8"/>
        <v>#DIV/0!</v>
      </c>
    </row>
    <row r="24" spans="2:13" s="3" customFormat="1" ht="15" customHeight="1">
      <c r="B24" s="5" t="s">
        <v>12</v>
      </c>
      <c r="C24" s="53">
        <f t="shared" si="7"/>
        <v>9.1115600333919494E-2</v>
      </c>
      <c r="D24" s="42">
        <f t="shared" si="7"/>
        <v>6.6073492861154715E-2</v>
      </c>
      <c r="E24" s="42">
        <f t="shared" si="7"/>
        <v>1.1598488199254188E-2</v>
      </c>
      <c r="F24" s="53">
        <f t="shared" si="7"/>
        <v>7.7671981060408901E-2</v>
      </c>
      <c r="G24" s="53">
        <f t="shared" si="7"/>
        <v>1.3697191347543707E-2</v>
      </c>
      <c r="H24"/>
      <c r="I24" s="20"/>
      <c r="J24" s="7" t="s">
        <v>44</v>
      </c>
      <c r="K24" s="15"/>
      <c r="L24" s="15"/>
      <c r="M24" s="23" t="e">
        <f t="shared" si="8"/>
        <v>#DIV/0!</v>
      </c>
    </row>
    <row r="25" spans="2:13" s="3" customFormat="1" ht="15" customHeight="1">
      <c r="B25" s="7" t="s">
        <v>7</v>
      </c>
      <c r="C25" s="37">
        <f t="shared" si="7"/>
        <v>0.37757342364522734</v>
      </c>
      <c r="D25" s="38">
        <f t="shared" si="7"/>
        <v>0.11840583469805391</v>
      </c>
      <c r="E25" s="38">
        <f t="shared" si="7"/>
        <v>5.9477977183913844E-2</v>
      </c>
      <c r="F25" s="37">
        <f t="shared" si="7"/>
        <v>0.17788381188196775</v>
      </c>
      <c r="G25" s="37">
        <f t="shared" si="7"/>
        <v>7.4825175532516816E-2</v>
      </c>
      <c r="H25"/>
      <c r="I25" s="20"/>
      <c r="J25" s="7" t="s">
        <v>13</v>
      </c>
      <c r="K25" s="15"/>
      <c r="L25" s="15"/>
      <c r="M25" s="23" t="e">
        <f>L25/K25-1</f>
        <v>#DIV/0!</v>
      </c>
    </row>
    <row r="26" spans="2:13" s="3" customFormat="1" ht="15" customHeight="1">
      <c r="B26" s="7" t="s">
        <v>11</v>
      </c>
      <c r="C26" s="37">
        <f t="shared" si="7"/>
        <v>0.16272955037891812</v>
      </c>
      <c r="D26" s="38">
        <f t="shared" si="7"/>
        <v>0.12021428813770545</v>
      </c>
      <c r="E26" s="38">
        <f t="shared" si="7"/>
        <v>3.5630104104888045E-2</v>
      </c>
      <c r="F26" s="37">
        <f t="shared" si="7"/>
        <v>0.1558443922425935</v>
      </c>
      <c r="G26" s="37">
        <f t="shared" si="7"/>
        <v>0.43886163341337026</v>
      </c>
      <c r="H26"/>
      <c r="I26" s="20"/>
      <c r="J26" s="7" t="s">
        <v>47</v>
      </c>
      <c r="K26" s="15"/>
      <c r="L26" s="15"/>
      <c r="M26" s="23" t="e">
        <f>L26/K26-1</f>
        <v>#DIV/0!</v>
      </c>
    </row>
    <row r="27" spans="2:13" s="3" customFormat="1" ht="15" customHeight="1">
      <c r="B27" s="5" t="s">
        <v>44</v>
      </c>
      <c r="C27" s="53">
        <f t="shared" si="7"/>
        <v>0.21576767258088936</v>
      </c>
      <c r="D27" s="42">
        <f t="shared" si="7"/>
        <v>0.11976783847604851</v>
      </c>
      <c r="E27" s="42">
        <f t="shared" si="7"/>
        <v>4.1517385819710942E-2</v>
      </c>
      <c r="F27" s="53">
        <f t="shared" si="7"/>
        <v>0.16128522429575945</v>
      </c>
      <c r="G27" s="53">
        <f t="shared" si="7"/>
        <v>0.34899260505562651</v>
      </c>
      <c r="H27"/>
      <c r="I27" s="20"/>
      <c r="K27" s="1"/>
    </row>
    <row r="28" spans="2:13" s="3" customFormat="1" ht="15" customHeight="1">
      <c r="B28" s="16" t="s">
        <v>55</v>
      </c>
      <c r="C28" s="37">
        <f t="shared" si="7"/>
        <v>0.27050129428684172</v>
      </c>
      <c r="D28" s="38">
        <f t="shared" si="7"/>
        <v>4.2030391232091763E-2</v>
      </c>
      <c r="E28" s="38">
        <f t="shared" si="7"/>
        <v>4.5221721816082992E-3</v>
      </c>
      <c r="F28" s="37">
        <f t="shared" si="7"/>
        <v>4.6552563413700059E-2</v>
      </c>
      <c r="G28" s="37">
        <f t="shared" si="7"/>
        <v>3.3325474924342145E-2</v>
      </c>
      <c r="H28"/>
      <c r="I28" s="20"/>
      <c r="K28" s="1"/>
    </row>
    <row r="29" spans="2:13" s="3" customFormat="1" ht="15" customHeight="1">
      <c r="B29" s="7" t="s">
        <v>47</v>
      </c>
      <c r="C29" s="37">
        <f t="shared" si="7"/>
        <v>0.19519476414906339</v>
      </c>
      <c r="D29" s="38">
        <f t="shared" si="7"/>
        <v>7.2710669274972398E-2</v>
      </c>
      <c r="E29" s="38">
        <f t="shared" si="7"/>
        <v>7.3445120860249329E-3</v>
      </c>
      <c r="F29" s="37">
        <f t="shared" si="7"/>
        <v>8.0055181360997332E-2</v>
      </c>
      <c r="G29" s="37">
        <f t="shared" si="7"/>
        <v>9.7023283150632421E-4</v>
      </c>
      <c r="H29"/>
      <c r="I29" s="20"/>
      <c r="K29" s="1"/>
    </row>
    <row r="30" spans="2:13" s="3" customFormat="1" ht="15" customHeight="1">
      <c r="B30" s="5" t="s">
        <v>56</v>
      </c>
      <c r="C30" s="53">
        <f t="shared" si="7"/>
        <v>0.22084304868583288</v>
      </c>
      <c r="D30" s="42">
        <f t="shared" si="7"/>
        <v>6.226142271599109E-2</v>
      </c>
      <c r="E30" s="42">
        <f t="shared" si="7"/>
        <v>6.383265076031013E-3</v>
      </c>
      <c r="F30" s="53">
        <f t="shared" si="7"/>
        <v>6.8644687792022097E-2</v>
      </c>
      <c r="G30" s="53">
        <f t="shared" si="7"/>
        <v>1.1989947243189285E-2</v>
      </c>
      <c r="H30"/>
      <c r="I30" s="20"/>
      <c r="K30" s="1"/>
    </row>
    <row r="31" spans="2:13" s="3" customFormat="1" ht="15" customHeight="1">
      <c r="B31" s="16" t="s">
        <v>13</v>
      </c>
      <c r="C31" s="37">
        <f t="shared" si="7"/>
        <v>0.18029707193744343</v>
      </c>
      <c r="D31" s="38">
        <f t="shared" si="7"/>
        <v>8.3046910127960907E-2</v>
      </c>
      <c r="E31" s="38">
        <f t="shared" si="7"/>
        <v>6.4347422900663434E-2</v>
      </c>
      <c r="F31" s="37">
        <f t="shared" si="7"/>
        <v>0.14739433302862434</v>
      </c>
      <c r="G31" s="37">
        <f t="shared" si="7"/>
        <v>2.4965527770096394E-2</v>
      </c>
      <c r="H31"/>
      <c r="I31" s="20"/>
      <c r="K31" s="1"/>
    </row>
    <row r="32" spans="2:13" s="3" customFormat="1" ht="13.95" customHeight="1">
      <c r="B32" s="5" t="s">
        <v>45</v>
      </c>
      <c r="C32" s="53">
        <f t="shared" ref="C32" si="9">D16/$C16</f>
        <v>0.12204596577854789</v>
      </c>
      <c r="D32" s="42">
        <f>E16/$C16</f>
        <v>8.0235489851194858E-2</v>
      </c>
      <c r="E32" s="42">
        <f>F16/$C16</f>
        <v>2.1805554365134028E-2</v>
      </c>
      <c r="F32" s="53">
        <f>G16/$C16</f>
        <v>0.10204104421632891</v>
      </c>
      <c r="G32" s="53">
        <f>H16/$C16</f>
        <v>4.7799912953500806E-2</v>
      </c>
      <c r="H32"/>
      <c r="K32" s="1"/>
    </row>
  </sheetData>
  <conditionalFormatting sqref="F19:F27">
    <cfRule type="cellIs" dxfId="92" priority="16" operator="between">
      <formula>10.5%</formula>
      <formula>15.49%</formula>
    </cfRule>
    <cfRule type="cellIs" dxfId="91" priority="17" operator="between">
      <formula>15.5%</formula>
      <formula>200%</formula>
    </cfRule>
    <cfRule type="cellIs" dxfId="90" priority="18" operator="between">
      <formula>0</formula>
      <formula>0.10499</formula>
    </cfRule>
  </conditionalFormatting>
  <conditionalFormatting sqref="G19:G27">
    <cfRule type="cellIs" dxfId="89" priority="13" operator="between">
      <formula>10.5%</formula>
      <formula>15.49%</formula>
    </cfRule>
    <cfRule type="cellIs" dxfId="88" priority="14" operator="between">
      <formula>15.5%</formula>
      <formula>200%</formula>
    </cfRule>
    <cfRule type="cellIs" dxfId="87" priority="15" operator="between">
      <formula>0</formula>
      <formula>0.10499</formula>
    </cfRule>
  </conditionalFormatting>
  <conditionalFormatting sqref="C19:C27">
    <cfRule type="cellIs" dxfId="86" priority="10" stopIfTrue="1" operator="between">
      <formula>10.5%</formula>
      <formula>15.49%</formula>
    </cfRule>
    <cfRule type="cellIs" dxfId="85" priority="11" stopIfTrue="1" operator="between">
      <formula>15.5%</formula>
      <formula>200%</formula>
    </cfRule>
    <cfRule type="cellIs" dxfId="84" priority="12" operator="between">
      <formula>0</formula>
      <formula>0.10499</formula>
    </cfRule>
  </conditionalFormatting>
  <conditionalFormatting sqref="F28:F32">
    <cfRule type="cellIs" dxfId="83" priority="7" operator="between">
      <formula>10.5%</formula>
      <formula>15.49%</formula>
    </cfRule>
    <cfRule type="cellIs" dxfId="82" priority="8" operator="between">
      <formula>15.5%</formula>
      <formula>200%</formula>
    </cfRule>
    <cfRule type="cellIs" dxfId="81" priority="9" operator="between">
      <formula>0</formula>
      <formula>0.10499</formula>
    </cfRule>
  </conditionalFormatting>
  <conditionalFormatting sqref="G28:G32">
    <cfRule type="cellIs" dxfId="80" priority="4" operator="between">
      <formula>10.5%</formula>
      <formula>15.49%</formula>
    </cfRule>
    <cfRule type="cellIs" dxfId="79" priority="5" operator="between">
      <formula>15.5%</formula>
      <formula>200%</formula>
    </cfRule>
    <cfRule type="cellIs" dxfId="78" priority="6" operator="between">
      <formula>0</formula>
      <formula>0.10499</formula>
    </cfRule>
  </conditionalFormatting>
  <conditionalFormatting sqref="C28:C32">
    <cfRule type="cellIs" dxfId="77" priority="1" stopIfTrue="1" operator="between">
      <formula>10.5%</formula>
      <formula>15.49%</formula>
    </cfRule>
    <cfRule type="cellIs" dxfId="76" priority="2" stopIfTrue="1" operator="between">
      <formula>15.5%</formula>
      <formula>200%</formula>
    </cfRule>
    <cfRule type="cellIs" dxfId="75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Tablas!B14:L14</xm:f>
              <xm:sqref>K4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Tablas!B25:L25</xm:f>
              <xm:sqref>K5</xm:sqref>
            </x14:sparkline>
            <x14:sparkline>
              <xm:f>Tablas!B91:L91</xm:f>
              <xm:sqref>K11</xm:sqref>
            </x14:sparkline>
            <x14:sparkline>
              <xm:f>Tablas!B69:L69</xm:f>
              <xm:sqref>K10</xm:sqref>
            </x14:sparkline>
            <x14:sparkline>
              <xm:f>Tablas!B80:L80</xm:f>
              <xm:sqref>K9</xm:sqref>
            </x14:sparkline>
            <x14:sparkline>
              <xm:f>Tablas!B58:L58</xm:f>
              <xm:sqref>K8</xm:sqref>
            </x14:sparkline>
            <x14:sparkline>
              <xm:f>Tablas!B47:L47</xm:f>
              <xm:sqref>K7</xm:sqref>
            </x14:sparkline>
            <x14:sparkline>
              <xm:f>Tablas!B36:L36</xm:f>
              <xm:sqref>K6</xm:sqref>
            </x14:sparkline>
            <x14:sparkline>
              <xm:f>Tablas!B102:L102</xm:f>
              <xm:sqref>K12</xm:sqref>
            </x14:sparkline>
            <x14:sparkline>
              <xm:f>Tablas!B146:L146</xm:f>
              <xm:sqref>K16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Tablas!B3:L3</xm:f>
              <xm:sqref>K3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Tablas!B19:L19</xm:f>
              <xm:sqref>M4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  <x14:sparkline>
              <xm:f>Tablas!B97:K97</xm:f>
              <xm:sqref>N11</xm:sqref>
            </x14:sparkline>
            <x14:sparkline>
              <xm:f>Tablas!B75:K75</xm:f>
              <xm:sqref>N10</xm:sqref>
            </x14:sparkline>
            <x14:sparkline>
              <xm:f>Tablas!B86:K86</xm:f>
              <xm:sqref>N9</xm:sqref>
            </x14:sparkline>
            <x14:sparkline>
              <xm:f>Tablas!B64:K64</xm:f>
              <xm:sqref>N8</xm:sqref>
            </x14:sparkline>
            <x14:sparkline>
              <xm:f>Tablas!B53:K53</xm:f>
              <xm:sqref>N7</xm:sqref>
            </x14:sparkline>
            <x14:sparkline>
              <xm:f>Tablas!B31:K31</xm:f>
              <xm:sqref>N5</xm:sqref>
            </x14:sparkline>
            <x14:sparkline>
              <xm:f>Tablas!B42:K42</xm:f>
              <xm:sqref>N6</xm:sqref>
            </x14:sparkline>
            <x14:sparkline>
              <xm:f>Tablas!B20:K20</xm:f>
              <xm:sqref>N4</xm:sqref>
            </x14:sparkline>
            <x14:sparkline>
              <xm:f>Tablas!B108:K108</xm:f>
              <xm:sqref>N12</xm:sqref>
            </x14:sparkline>
            <x14:sparkline>
              <xm:f>Tablas!B152:K152</xm:f>
              <xm:sqref>N16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Tablas!B8:L8</xm:f>
              <xm:sqref>M3</xm:sqref>
            </x14:sparkline>
            <x14:sparkline>
              <xm:f>Tablas!B96:L96</xm:f>
              <xm:sqref>M11</xm:sqref>
            </x14:sparkline>
            <x14:sparkline>
              <xm:f>Tablas!B74:L74</xm:f>
              <xm:sqref>M10</xm:sqref>
            </x14:sparkline>
            <x14:sparkline>
              <xm:f>Tablas!B85:L85</xm:f>
              <xm:sqref>M9</xm:sqref>
            </x14:sparkline>
            <x14:sparkline>
              <xm:f>Tablas!B63:L63</xm:f>
              <xm:sqref>M8</xm:sqref>
            </x14:sparkline>
            <x14:sparkline>
              <xm:f>Tablas!B52:L52</xm:f>
              <xm:sqref>M7</xm:sqref>
            </x14:sparkline>
            <x14:sparkline>
              <xm:f>Tablas!B30:L30</xm:f>
              <xm:sqref>M5</xm:sqref>
            </x14:sparkline>
            <x14:sparkline>
              <xm:f>Tablas!B41:L41</xm:f>
              <xm:sqref>M6</xm:sqref>
            </x14:sparkline>
            <x14:sparkline>
              <xm:f>Tablas!B107:L107</xm:f>
              <xm:sqref>M12</xm:sqref>
            </x14:sparkline>
            <x14:sparkline>
              <xm:f>Tablas!B151:L151</xm:f>
              <xm:sqref>M16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Tablas!B7:L7</xm:f>
              <xm:sqref>L3</xm:sqref>
            </x14:sparkline>
            <x14:sparkline>
              <xm:f>Tablas!B95:L95</xm:f>
              <xm:sqref>L11</xm:sqref>
            </x14:sparkline>
            <x14:sparkline>
              <xm:f>Tablas!B73:L73</xm:f>
              <xm:sqref>L10</xm:sqref>
            </x14:sparkline>
            <x14:sparkline>
              <xm:f>Tablas!B84:L84</xm:f>
              <xm:sqref>L9</xm:sqref>
            </x14:sparkline>
            <x14:sparkline>
              <xm:f>Tablas!B62:L62</xm:f>
              <xm:sqref>L8</xm:sqref>
            </x14:sparkline>
            <x14:sparkline>
              <xm:f>Tablas!B51:L51</xm:f>
              <xm:sqref>L7</xm:sqref>
            </x14:sparkline>
            <x14:sparkline>
              <xm:f>Tablas!B29:L29</xm:f>
              <xm:sqref>L5</xm:sqref>
            </x14:sparkline>
            <x14:sparkline>
              <xm:f>Tablas!B40:L40</xm:f>
              <xm:sqref>L6</xm:sqref>
            </x14:sparkline>
            <x14:sparkline>
              <xm:f>Tablas!B18:L18</xm:f>
              <xm:sqref>L4</xm:sqref>
            </x14:sparkline>
            <x14:sparkline>
              <xm:f>Tablas!B106:L106</xm:f>
              <xm:sqref>L12</xm:sqref>
            </x14:sparkline>
            <x14:sparkline>
              <xm:f>Tablas!B150:L150</xm:f>
              <xm:sqref>L16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Tablas!B108:L108</xm:f>
              <xm:sqref>L15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Tablas!B109:L109</xm:f>
              <xm:sqref>M15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Tablas!B110:K110</xm:f>
              <xm:sqref>N15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Tablas!B104:L104</xm:f>
              <xm:sqref>K15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Tablas!B98:L98</xm:f>
              <xm:sqref>L14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Tablas!B99:L99</xm:f>
              <xm:sqref>M14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Tablas!B100:K100</xm:f>
              <xm:sqref>N14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Tablas!B94:L94</xm:f>
              <xm:sqref>K14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showGridLines="0" zoomScaleNormal="100" workbookViewId="0">
      <selection activeCell="F3" sqref="F3"/>
    </sheetView>
  </sheetViews>
  <sheetFormatPr baseColWidth="10" defaultColWidth="11.59765625" defaultRowHeight="13.95" customHeight="1"/>
  <cols>
    <col min="1" max="1" width="6" style="1" customWidth="1"/>
    <col min="2" max="2" width="24.69921875" style="1" bestFit="1" customWidth="1"/>
    <col min="3" max="3" width="11.59765625" style="3" bestFit="1" customWidth="1"/>
    <col min="4" max="7" width="10.69921875" style="3" bestFit="1" customWidth="1"/>
    <col min="8" max="9" width="13" style="3" bestFit="1" customWidth="1"/>
    <col min="10" max="10" width="23.3984375" style="3" customWidth="1"/>
    <col min="11" max="16384" width="11.59765625" style="1"/>
  </cols>
  <sheetData>
    <row r="1" spans="2:14" ht="13.95" customHeight="1">
      <c r="C1" s="2">
        <f>1335</f>
        <v>1335</v>
      </c>
      <c r="J1" s="28" t="s">
        <v>36</v>
      </c>
    </row>
    <row r="2" spans="2:14" ht="36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10">
        <v>84288372</v>
      </c>
      <c r="D3" s="10">
        <v>6586095</v>
      </c>
      <c r="E3" s="12">
        <v>7050000</v>
      </c>
      <c r="F3" s="12">
        <v>482850.5</v>
      </c>
      <c r="G3" s="11">
        <f>E3+F3</f>
        <v>7532850.5</v>
      </c>
      <c r="H3" s="12">
        <v>1732487.7</v>
      </c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10">
        <v>35080566</v>
      </c>
      <c r="D4" s="10">
        <v>3710746</v>
      </c>
      <c r="E4" s="12">
        <f ca="1">IFERROR(__xludf.DUMMYFUNCTION("""COMPUTED_VALUE"""),2248205.26)</f>
        <v>2248205.2599999998</v>
      </c>
      <c r="F4" s="15">
        <f ca="1">IFERROR(__xludf.DUMMYFUNCTION("""COMPUTED_VALUE"""),2081805.58)</f>
        <v>2081805.58</v>
      </c>
      <c r="G4" s="11">
        <f ca="1">E4+F4</f>
        <v>4330010.84</v>
      </c>
      <c r="H4" s="12">
        <v>801724.66</v>
      </c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 t="shared" ref="C5:H5" si="0">SUM(C3:C4)</f>
        <v>119368938</v>
      </c>
      <c r="D5" s="13">
        <f t="shared" si="0"/>
        <v>10296841</v>
      </c>
      <c r="E5" s="13">
        <f t="shared" ca="1" si="0"/>
        <v>9298205.2599999998</v>
      </c>
      <c r="F5" s="13">
        <f t="shared" ca="1" si="0"/>
        <v>2564656.08</v>
      </c>
      <c r="G5" s="13">
        <f t="shared" ca="1" si="0"/>
        <v>11862861.34</v>
      </c>
      <c r="H5" s="13">
        <f t="shared" si="0"/>
        <v>2534212.36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10">
        <v>62909140</v>
      </c>
      <c r="D6" s="10">
        <v>3830165</v>
      </c>
      <c r="E6" s="12">
        <v>2138745.04</v>
      </c>
      <c r="F6" s="15">
        <v>650090.67000000004</v>
      </c>
      <c r="G6" s="11">
        <f>E6+F6</f>
        <v>2788835.71</v>
      </c>
      <c r="H6" s="10">
        <v>325565.28999999998</v>
      </c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10">
        <v>31448390</v>
      </c>
      <c r="D7" s="10">
        <v>2874528</v>
      </c>
      <c r="E7" s="12">
        <v>703000</v>
      </c>
      <c r="F7" s="15">
        <v>246306</v>
      </c>
      <c r="G7" s="11">
        <f>E7+F7</f>
        <v>949306</v>
      </c>
      <c r="H7" s="10">
        <v>433695.18</v>
      </c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94357530</v>
      </c>
      <c r="D8" s="13">
        <f t="shared" si="1"/>
        <v>6704693</v>
      </c>
      <c r="E8" s="13">
        <f>SUM(E6:E7)</f>
        <v>2841745.04</v>
      </c>
      <c r="F8" s="13">
        <f>SUM(F6:F7)</f>
        <v>896396.67</v>
      </c>
      <c r="G8" s="13">
        <f>SUM(G6:G7)</f>
        <v>3738141.71</v>
      </c>
      <c r="H8" s="13">
        <f>SUM(H6:H7)</f>
        <v>759260.47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10">
        <v>5000090</v>
      </c>
      <c r="D9" s="10">
        <v>1669932</v>
      </c>
      <c r="E9" s="12">
        <v>645479.21</v>
      </c>
      <c r="F9" s="12">
        <v>352047.74</v>
      </c>
      <c r="G9" s="11">
        <f>E9+F9</f>
        <v>997526.95</v>
      </c>
      <c r="H9" s="12">
        <v>150044</v>
      </c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10">
        <v>24191146</v>
      </c>
      <c r="D10" s="10">
        <v>2658266</v>
      </c>
      <c r="E10" s="12">
        <v>1200587.6000000001</v>
      </c>
      <c r="F10" s="15">
        <v>650090.67000000004</v>
      </c>
      <c r="G10" s="11">
        <f>E10+F10</f>
        <v>1850678.27</v>
      </c>
      <c r="H10" s="10">
        <v>1291237.8</v>
      </c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 t="shared" ref="C11:D11" si="2">SUM(C9:C10)</f>
        <v>29191236</v>
      </c>
      <c r="D11" s="13">
        <f t="shared" si="2"/>
        <v>4328198</v>
      </c>
      <c r="E11" s="13">
        <f>SUM(E9:E10)</f>
        <v>1846066.81</v>
      </c>
      <c r="F11" s="13">
        <f>SUM(F9:F10)</f>
        <v>1002138.41</v>
      </c>
      <c r="G11" s="13">
        <f>SUM(G9:G10)</f>
        <v>2848205.2199999997</v>
      </c>
      <c r="H11" s="13">
        <f>SUM(H9:H10)</f>
        <v>1441281.8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13</v>
      </c>
      <c r="C12" s="17">
        <v>20563510</v>
      </c>
      <c r="D12" s="17">
        <v>3468754</v>
      </c>
      <c r="E12" s="9">
        <v>1425831.84</v>
      </c>
      <c r="F12" s="9">
        <v>1300181.3400000001</v>
      </c>
      <c r="G12" s="18">
        <f>E12+F12</f>
        <v>2726013.18</v>
      </c>
      <c r="H12" s="25">
        <v>189763.77</v>
      </c>
      <c r="J12" s="16" t="s">
        <v>13</v>
      </c>
      <c r="K12" s="9"/>
      <c r="L12" s="10"/>
      <c r="M12" s="11"/>
      <c r="N12" s="12"/>
    </row>
    <row r="13" spans="2:14" ht="15" customHeight="1">
      <c r="B13" s="7" t="s">
        <v>47</v>
      </c>
      <c r="C13" s="10">
        <v>6889990</v>
      </c>
      <c r="D13" s="10">
        <v>5328412.8</v>
      </c>
      <c r="E13" s="9">
        <f ca="1">IFERROR(__xludf.DUMMYFUNCTION("""COMPUTED_VALUE"""),1544265.55)</f>
        <v>1544265.55</v>
      </c>
      <c r="F13" s="9">
        <v>236898.87</v>
      </c>
      <c r="G13" s="11">
        <f ca="1">E13+F13</f>
        <v>1781164.42</v>
      </c>
      <c r="H13" s="12">
        <v>125207.61</v>
      </c>
      <c r="J13" s="7" t="s">
        <v>47</v>
      </c>
      <c r="K13" s="9"/>
      <c r="L13" s="10"/>
      <c r="M13" s="11"/>
      <c r="N13" s="12"/>
    </row>
    <row r="14" spans="2:14" ht="15" customHeight="1">
      <c r="B14" s="7" t="s">
        <v>54</v>
      </c>
      <c r="C14" s="10">
        <v>898200</v>
      </c>
      <c r="D14" s="10">
        <v>1201341.5</v>
      </c>
      <c r="E14" s="9">
        <v>267700</v>
      </c>
      <c r="F14" s="9">
        <v>19514.84</v>
      </c>
      <c r="G14" s="11">
        <f t="shared" ref="G14:G15" si="3">E14+F14</f>
        <v>287214.84000000003</v>
      </c>
      <c r="H14" s="12">
        <v>191900</v>
      </c>
      <c r="J14" s="7" t="s">
        <v>54</v>
      </c>
      <c r="K14" s="9"/>
      <c r="L14" s="10"/>
      <c r="M14" s="11"/>
      <c r="N14" s="12"/>
    </row>
    <row r="15" spans="2:14" ht="15" customHeight="1">
      <c r="B15" s="7" t="s">
        <v>55</v>
      </c>
      <c r="C15" s="10">
        <v>1268801</v>
      </c>
      <c r="D15" s="10">
        <v>994591.3</v>
      </c>
      <c r="E15" s="9">
        <v>461056.58</v>
      </c>
      <c r="F15" s="9">
        <v>53860.959999999999</v>
      </c>
      <c r="G15" s="11">
        <f t="shared" si="3"/>
        <v>514917.54000000004</v>
      </c>
      <c r="H15" s="12">
        <v>2224.6799999999998</v>
      </c>
      <c r="J15" s="7" t="s">
        <v>55</v>
      </c>
      <c r="K15" s="9"/>
      <c r="L15" s="10"/>
      <c r="M15" s="11"/>
      <c r="N15" s="12"/>
    </row>
    <row r="16" spans="2:14" ht="15" customHeight="1">
      <c r="B16" s="5" t="s">
        <v>45</v>
      </c>
      <c r="C16" s="13">
        <f t="shared" ref="C16:H16" si="4">+C5+C8+C11+C12+C13+C14+C15</f>
        <v>272538205</v>
      </c>
      <c r="D16" s="13">
        <f t="shared" si="4"/>
        <v>32322831.600000001</v>
      </c>
      <c r="E16" s="13">
        <f t="shared" ca="1" si="4"/>
        <v>17684871.079999998</v>
      </c>
      <c r="F16" s="13">
        <f t="shared" ca="1" si="4"/>
        <v>6073647.1699999999</v>
      </c>
      <c r="G16" s="13">
        <f t="shared" ca="1" si="4"/>
        <v>23758518.249999996</v>
      </c>
      <c r="H16" s="13">
        <f t="shared" si="4"/>
        <v>5243850.6899999995</v>
      </c>
      <c r="J16" s="5" t="s">
        <v>45</v>
      </c>
      <c r="K16" s="9"/>
      <c r="L16" s="10"/>
      <c r="M16" s="11"/>
      <c r="N16" s="12"/>
    </row>
    <row r="17" spans="2:13" ht="15" customHeight="1">
      <c r="B17" s="19"/>
      <c r="C17" s="20"/>
      <c r="D17" s="20"/>
      <c r="E17" s="20"/>
      <c r="F17" s="20"/>
      <c r="G17" s="20"/>
      <c r="H17" s="20"/>
      <c r="I17" s="20"/>
    </row>
    <row r="18" spans="2:13" ht="36">
      <c r="B18" s="5" t="s">
        <v>0</v>
      </c>
      <c r="C18" s="5" t="s">
        <v>1</v>
      </c>
      <c r="D18" s="7" t="s">
        <v>2</v>
      </c>
      <c r="E18" s="7" t="s">
        <v>3</v>
      </c>
      <c r="F18" s="8" t="s">
        <v>4</v>
      </c>
      <c r="G18" s="8" t="s">
        <v>15</v>
      </c>
      <c r="I18" s="20"/>
    </row>
    <row r="19" spans="2:13" ht="15" customHeight="1">
      <c r="B19" s="7" t="s">
        <v>5</v>
      </c>
      <c r="C19" s="37">
        <f t="shared" ref="C19:G31" si="5">D3/$C3</f>
        <v>7.8137646317335441E-2</v>
      </c>
      <c r="D19" s="38">
        <f t="shared" si="5"/>
        <v>8.364143039801504E-2</v>
      </c>
      <c r="E19" s="38">
        <f t="shared" si="5"/>
        <v>5.7285541118293282E-3</v>
      </c>
      <c r="F19" s="37">
        <f t="shared" si="5"/>
        <v>8.9369984509844375E-2</v>
      </c>
      <c r="G19" s="37">
        <f t="shared" si="5"/>
        <v>2.0554290691484702E-2</v>
      </c>
      <c r="I19" s="20"/>
    </row>
    <row r="20" spans="2:13" s="3" customFormat="1" ht="15" customHeight="1">
      <c r="B20" s="7" t="s">
        <v>6</v>
      </c>
      <c r="C20" s="37">
        <f t="shared" si="5"/>
        <v>0.10577782581957201</v>
      </c>
      <c r="D20" s="38">
        <f t="shared" ca="1" si="5"/>
        <v>6.4086915245324144E-2</v>
      </c>
      <c r="E20" s="38">
        <f t="shared" ca="1" si="5"/>
        <v>5.9343557341691694E-2</v>
      </c>
      <c r="F20" s="37">
        <f t="shared" ca="1" si="5"/>
        <v>0.12343047258701584</v>
      </c>
      <c r="G20" s="37">
        <f t="shared" si="5"/>
        <v>2.2853811993797365E-2</v>
      </c>
      <c r="I20" s="20"/>
      <c r="K20" s="7" t="s">
        <v>38</v>
      </c>
      <c r="L20" s="7" t="s">
        <v>39</v>
      </c>
      <c r="M20" s="7" t="s">
        <v>40</v>
      </c>
    </row>
    <row r="21" spans="2:13" s="3" customFormat="1" ht="15" customHeight="1">
      <c r="B21" s="5" t="s">
        <v>8</v>
      </c>
      <c r="C21" s="37">
        <f t="shared" si="5"/>
        <v>8.626064010052599E-2</v>
      </c>
      <c r="D21" s="38">
        <f t="shared" ca="1" si="5"/>
        <v>7.789468027268534E-2</v>
      </c>
      <c r="E21" s="38">
        <f t="shared" ca="1" si="5"/>
        <v>2.1485121028721896E-2</v>
      </c>
      <c r="F21" s="37">
        <f t="shared" ca="1" si="5"/>
        <v>9.9379801301407236E-2</v>
      </c>
      <c r="G21" s="37">
        <f t="shared" si="5"/>
        <v>2.1230082150852342E-2</v>
      </c>
      <c r="I21" s="20"/>
      <c r="J21" s="7" t="s">
        <v>37</v>
      </c>
      <c r="K21" s="15"/>
      <c r="L21" s="15"/>
      <c r="M21" s="23" t="e">
        <f>L21/K21-1</f>
        <v>#DIV/0!</v>
      </c>
    </row>
    <row r="22" spans="2:13" s="3" customFormat="1" ht="15" customHeight="1">
      <c r="B22" s="7" t="s">
        <v>9</v>
      </c>
      <c r="C22" s="37">
        <f t="shared" si="5"/>
        <v>6.0884078211846479E-2</v>
      </c>
      <c r="D22" s="38">
        <f t="shared" si="5"/>
        <v>3.3997365724599E-2</v>
      </c>
      <c r="E22" s="38">
        <f t="shared" si="5"/>
        <v>1.0333803164373254E-2</v>
      </c>
      <c r="F22" s="37">
        <f t="shared" si="5"/>
        <v>4.4331168888972254E-2</v>
      </c>
      <c r="G22" s="37">
        <f t="shared" si="5"/>
        <v>5.1751667563727623E-3</v>
      </c>
      <c r="I22" s="20"/>
      <c r="J22" s="7" t="s">
        <v>8</v>
      </c>
      <c r="K22" s="15"/>
      <c r="L22" s="15"/>
      <c r="M22" s="23" t="e">
        <f t="shared" ref="M22:M24" si="6">L22/K22-1</f>
        <v>#DIV/0!</v>
      </c>
    </row>
    <row r="23" spans="2:13" s="3" customFormat="1" ht="15" customHeight="1">
      <c r="B23" s="7" t="s">
        <v>10</v>
      </c>
      <c r="C23" s="37">
        <f t="shared" si="5"/>
        <v>9.1404615625791968E-2</v>
      </c>
      <c r="D23" s="38">
        <f t="shared" si="5"/>
        <v>2.2354085535062369E-2</v>
      </c>
      <c r="E23" s="38">
        <f t="shared" si="5"/>
        <v>7.8320702586046533E-3</v>
      </c>
      <c r="F23" s="37">
        <f t="shared" si="5"/>
        <v>3.018615579366702E-2</v>
      </c>
      <c r="G23" s="37">
        <f t="shared" si="5"/>
        <v>1.3790695803505362E-2</v>
      </c>
      <c r="I23" s="20"/>
      <c r="J23" s="7" t="s">
        <v>12</v>
      </c>
      <c r="K23" s="15"/>
      <c r="L23" s="15"/>
      <c r="M23" s="23" t="e">
        <f t="shared" si="6"/>
        <v>#DIV/0!</v>
      </c>
    </row>
    <row r="24" spans="2:13" s="3" customFormat="1" ht="15" customHeight="1">
      <c r="B24" s="5" t="s">
        <v>12</v>
      </c>
      <c r="C24" s="37">
        <f t="shared" si="5"/>
        <v>7.1056258043210752E-2</v>
      </c>
      <c r="D24" s="38">
        <f t="shared" si="5"/>
        <v>3.0116780716917875E-2</v>
      </c>
      <c r="E24" s="38">
        <f t="shared" si="5"/>
        <v>9.5000014307284227E-3</v>
      </c>
      <c r="F24" s="37">
        <f t="shared" si="5"/>
        <v>3.9616782147646301E-2</v>
      </c>
      <c r="G24" s="37">
        <f t="shared" si="5"/>
        <v>8.0466335861059529E-3</v>
      </c>
      <c r="I24" s="20"/>
      <c r="J24" s="7" t="s">
        <v>44</v>
      </c>
      <c r="K24" s="15"/>
      <c r="L24" s="15"/>
      <c r="M24" s="23" t="e">
        <f t="shared" si="6"/>
        <v>#DIV/0!</v>
      </c>
    </row>
    <row r="25" spans="2:13" s="3" customFormat="1" ht="15" customHeight="1">
      <c r="B25" s="7" t="s">
        <v>7</v>
      </c>
      <c r="C25" s="37">
        <f t="shared" si="5"/>
        <v>0.33398038835300964</v>
      </c>
      <c r="D25" s="38">
        <f t="shared" si="5"/>
        <v>0.12909351831667029</v>
      </c>
      <c r="E25" s="38">
        <f t="shared" si="5"/>
        <v>7.0408280650948285E-2</v>
      </c>
      <c r="F25" s="37">
        <f t="shared" si="5"/>
        <v>0.19950179896761858</v>
      </c>
      <c r="G25" s="37">
        <f t="shared" si="5"/>
        <v>3.0008259851322674E-2</v>
      </c>
      <c r="I25" s="20"/>
      <c r="J25" s="7" t="s">
        <v>13</v>
      </c>
      <c r="K25" s="15"/>
      <c r="L25" s="15"/>
      <c r="M25" s="23" t="e">
        <f>L25/K25-1</f>
        <v>#DIV/0!</v>
      </c>
    </row>
    <row r="26" spans="2:13" s="3" customFormat="1" ht="15" customHeight="1">
      <c r="B26" s="7" t="s">
        <v>11</v>
      </c>
      <c r="C26" s="37">
        <f t="shared" si="5"/>
        <v>0.10988590619063686</v>
      </c>
      <c r="D26" s="38">
        <f t="shared" si="5"/>
        <v>4.9629215581601639E-2</v>
      </c>
      <c r="E26" s="38">
        <f t="shared" si="5"/>
        <v>2.687308282129338E-2</v>
      </c>
      <c r="F26" s="37">
        <f t="shared" si="5"/>
        <v>7.6502298402895005E-2</v>
      </c>
      <c r="G26" s="37">
        <f t="shared" si="5"/>
        <v>5.3376462611568712E-2</v>
      </c>
      <c r="I26" s="20"/>
      <c r="J26" s="7" t="s">
        <v>47</v>
      </c>
      <c r="K26" s="15"/>
      <c r="L26" s="15"/>
      <c r="M26" s="23" t="e">
        <f>L26/K26-1</f>
        <v>#DIV/0!</v>
      </c>
    </row>
    <row r="27" spans="2:13" s="3" customFormat="1" ht="15" customHeight="1">
      <c r="B27" s="5" t="s">
        <v>44</v>
      </c>
      <c r="C27" s="37">
        <f t="shared" si="5"/>
        <v>0.14827046035323752</v>
      </c>
      <c r="D27" s="38">
        <f t="shared" si="5"/>
        <v>6.3240446893033236E-2</v>
      </c>
      <c r="E27" s="38">
        <f t="shared" si="5"/>
        <v>3.4330112298088369E-2</v>
      </c>
      <c r="F27" s="37">
        <f t="shared" si="5"/>
        <v>9.7570559191121606E-2</v>
      </c>
      <c r="G27" s="37">
        <f t="shared" si="5"/>
        <v>4.9373784652352509E-2</v>
      </c>
      <c r="I27" s="20"/>
      <c r="J27" s="7" t="s">
        <v>54</v>
      </c>
      <c r="K27" s="15"/>
      <c r="L27" s="15"/>
      <c r="M27" s="23" t="e">
        <f>L27/K27-1</f>
        <v>#DIV/0!</v>
      </c>
    </row>
    <row r="28" spans="2:13" s="3" customFormat="1" ht="15" customHeight="1">
      <c r="B28" s="16" t="s">
        <v>13</v>
      </c>
      <c r="C28" s="37">
        <f t="shared" si="5"/>
        <v>0.16868491809034547</v>
      </c>
      <c r="D28" s="38">
        <f t="shared" si="5"/>
        <v>6.9337960299579213E-2</v>
      </c>
      <c r="E28" s="38">
        <f t="shared" si="5"/>
        <v>6.3227597817687747E-2</v>
      </c>
      <c r="F28" s="37">
        <f t="shared" si="5"/>
        <v>0.13256555811726695</v>
      </c>
      <c r="G28" s="37">
        <f t="shared" si="5"/>
        <v>9.2281799167554558E-3</v>
      </c>
      <c r="I28" s="20"/>
      <c r="J28" s="7" t="s">
        <v>55</v>
      </c>
      <c r="K28" s="15"/>
      <c r="L28" s="15"/>
      <c r="M28" s="23" t="e">
        <f>L28/K28-1</f>
        <v>#DIV/0!</v>
      </c>
    </row>
    <row r="29" spans="2:13" s="3" customFormat="1" ht="15" customHeight="1">
      <c r="B29" s="7" t="s">
        <v>47</v>
      </c>
      <c r="C29" s="37">
        <f t="shared" si="5"/>
        <v>0.77335566524769994</v>
      </c>
      <c r="D29" s="38">
        <f t="shared" ca="1" si="5"/>
        <v>0.22413175490820741</v>
      </c>
      <c r="E29" s="38">
        <f t="shared" si="5"/>
        <v>3.4383049902830046E-2</v>
      </c>
      <c r="F29" s="37">
        <f t="shared" ca="1" si="5"/>
        <v>0.25851480481103745</v>
      </c>
      <c r="G29" s="37">
        <f t="shared" si="5"/>
        <v>1.8172393573865856E-2</v>
      </c>
      <c r="I29" s="20"/>
      <c r="K29" s="1"/>
    </row>
    <row r="30" spans="2:13" s="3" customFormat="1" ht="15" customHeight="1">
      <c r="B30" s="7" t="s">
        <v>54</v>
      </c>
      <c r="C30" s="37">
        <f t="shared" si="5"/>
        <v>1.3374988866622133</v>
      </c>
      <c r="D30" s="38">
        <f t="shared" si="5"/>
        <v>0.2980405254954353</v>
      </c>
      <c r="E30" s="38">
        <f t="shared" si="5"/>
        <v>2.1726608773101758E-2</v>
      </c>
      <c r="F30" s="37">
        <f t="shared" si="5"/>
        <v>0.31976713426853709</v>
      </c>
      <c r="G30" s="37">
        <f t="shared" si="5"/>
        <v>0.21364952126475173</v>
      </c>
      <c r="I30" s="20"/>
      <c r="K30" s="1"/>
    </row>
    <row r="31" spans="2:13" s="3" customFormat="1" ht="15" customHeight="1">
      <c r="B31" s="7" t="s">
        <v>55</v>
      </c>
      <c r="C31" s="37">
        <f t="shared" si="5"/>
        <v>0.78388281535087068</v>
      </c>
      <c r="D31" s="38">
        <f t="shared" si="5"/>
        <v>0.36337974197687423</v>
      </c>
      <c r="E31" s="38">
        <f t="shared" si="5"/>
        <v>4.2450281801480291E-2</v>
      </c>
      <c r="F31" s="37">
        <f t="shared" si="5"/>
        <v>0.40583002377835453</v>
      </c>
      <c r="G31" s="37">
        <f t="shared" si="5"/>
        <v>1.7533718841646561E-3</v>
      </c>
      <c r="I31" s="20"/>
      <c r="K31" s="1"/>
    </row>
    <row r="32" spans="2:13" s="3" customFormat="1" ht="13.95" customHeight="1">
      <c r="B32" s="5" t="s">
        <v>45</v>
      </c>
      <c r="C32" s="43">
        <f t="shared" ref="C32" si="7">D16/$C16</f>
        <v>0.11859926794483731</v>
      </c>
      <c r="D32" s="42">
        <f ca="1">E16/$C16</f>
        <v>6.4889511839266709E-2</v>
      </c>
      <c r="E32" s="42">
        <f ca="1">F16/$C16</f>
        <v>2.2285489001441099E-2</v>
      </c>
      <c r="F32" s="43">
        <f ca="1">G16/$C16</f>
        <v>8.7175000840707811E-2</v>
      </c>
      <c r="G32" s="43">
        <f>H16/$C16</f>
        <v>1.9240791176415063E-2</v>
      </c>
      <c r="K32" s="1"/>
    </row>
  </sheetData>
  <conditionalFormatting sqref="F19:F29 F32">
    <cfRule type="cellIs" dxfId="74" priority="25" operator="between">
      <formula>10.5%</formula>
      <formula>15.49%</formula>
    </cfRule>
    <cfRule type="cellIs" dxfId="73" priority="26" operator="between">
      <formula>15.5%</formula>
      <formula>200%</formula>
    </cfRule>
    <cfRule type="cellIs" dxfId="72" priority="27" operator="between">
      <formula>0</formula>
      <formula>0.10499</formula>
    </cfRule>
  </conditionalFormatting>
  <conditionalFormatting sqref="G19:G29 G32">
    <cfRule type="cellIs" dxfId="71" priority="22" operator="between">
      <formula>10.5%</formula>
      <formula>15.49%</formula>
    </cfRule>
    <cfRule type="cellIs" dxfId="70" priority="23" operator="between">
      <formula>15.5%</formula>
      <formula>200%</formula>
    </cfRule>
    <cfRule type="cellIs" dxfId="69" priority="24" operator="between">
      <formula>0</formula>
      <formula>0.10499</formula>
    </cfRule>
  </conditionalFormatting>
  <conditionalFormatting sqref="C19:C29 C32">
    <cfRule type="cellIs" dxfId="68" priority="19" operator="between">
      <formula>10.5%</formula>
      <formula>15.49%</formula>
    </cfRule>
    <cfRule type="cellIs" dxfId="67" priority="20" operator="between">
      <formula>15.5%</formula>
      <formula>200%</formula>
    </cfRule>
    <cfRule type="cellIs" dxfId="66" priority="21" operator="between">
      <formula>0</formula>
      <formula>0.10499</formula>
    </cfRule>
  </conditionalFormatting>
  <conditionalFormatting sqref="F30">
    <cfRule type="cellIs" dxfId="65" priority="16" operator="between">
      <formula>10.5%</formula>
      <formula>15.49%</formula>
    </cfRule>
    <cfRule type="cellIs" dxfId="64" priority="17" operator="between">
      <formula>15.5%</formula>
      <formula>200%</formula>
    </cfRule>
    <cfRule type="cellIs" dxfId="63" priority="18" operator="between">
      <formula>0</formula>
      <formula>0.10499</formula>
    </cfRule>
  </conditionalFormatting>
  <conditionalFormatting sqref="G30">
    <cfRule type="cellIs" dxfId="62" priority="13" operator="between">
      <formula>10.5%</formula>
      <formula>15.49%</formula>
    </cfRule>
    <cfRule type="cellIs" dxfId="61" priority="14" operator="between">
      <formula>15.5%</formula>
      <formula>200%</formula>
    </cfRule>
    <cfRule type="cellIs" dxfId="60" priority="15" operator="between">
      <formula>0</formula>
      <formula>0.10499</formula>
    </cfRule>
  </conditionalFormatting>
  <conditionalFormatting sqref="C30">
    <cfRule type="cellIs" dxfId="59" priority="10" operator="between">
      <formula>10.5%</formula>
      <formula>15.49%</formula>
    </cfRule>
    <cfRule type="cellIs" dxfId="58" priority="11" operator="between">
      <formula>15.5%</formula>
      <formula>200%</formula>
    </cfRule>
    <cfRule type="cellIs" dxfId="57" priority="12" operator="between">
      <formula>0</formula>
      <formula>0.10499</formula>
    </cfRule>
  </conditionalFormatting>
  <conditionalFormatting sqref="F31">
    <cfRule type="cellIs" dxfId="56" priority="7" operator="between">
      <formula>10.5%</formula>
      <formula>15.49%</formula>
    </cfRule>
    <cfRule type="cellIs" dxfId="55" priority="8" operator="between">
      <formula>15.5%</formula>
      <formula>200%</formula>
    </cfRule>
    <cfRule type="cellIs" dxfId="54" priority="9" operator="between">
      <formula>0</formula>
      <formula>0.10499</formula>
    </cfRule>
  </conditionalFormatting>
  <conditionalFormatting sqref="G31">
    <cfRule type="cellIs" dxfId="53" priority="4" operator="between">
      <formula>10.5%</formula>
      <formula>15.49%</formula>
    </cfRule>
    <cfRule type="cellIs" dxfId="52" priority="5" operator="between">
      <formula>15.5%</formula>
      <formula>200%</formula>
    </cfRule>
    <cfRule type="cellIs" dxfId="51" priority="6" operator="between">
      <formula>0</formula>
      <formula>0.10499</formula>
    </cfRule>
  </conditionalFormatting>
  <conditionalFormatting sqref="C31">
    <cfRule type="cellIs" dxfId="50" priority="1" operator="between">
      <formula>10.5%</formula>
      <formula>15.49%</formula>
    </cfRule>
    <cfRule type="cellIs" dxfId="49" priority="2" operator="between">
      <formula>15.5%</formula>
      <formula>200%</formula>
    </cfRule>
    <cfRule type="cellIs" dxfId="48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Tablas!B91:L91</xm:f>
              <xm:sqref>K11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Tablas!B7:L7</xm:f>
              <xm:sqref>L3</xm:sqref>
            </x14:sparkline>
            <x14:sparkline>
              <xm:f>Tablas!B95:L95</xm:f>
              <xm:sqref>L11</xm:sqref>
            </x14:sparkline>
            <x14:sparkline>
              <xm:f>Tablas!B73:L73</xm:f>
              <xm:sqref>L10</xm:sqref>
            </x14:sparkline>
            <x14:sparkline>
              <xm:f>Tablas!B84:L84</xm:f>
              <xm:sqref>L9</xm:sqref>
            </x14:sparkline>
            <x14:sparkline>
              <xm:f>Tablas!B62:L62</xm:f>
              <xm:sqref>L8</xm:sqref>
            </x14:sparkline>
            <x14:sparkline>
              <xm:f>Tablas!B51:L51</xm:f>
              <xm:sqref>L7</xm:sqref>
            </x14:sparkline>
            <x14:sparkline>
              <xm:f>Tablas!B29:L29</xm:f>
              <xm:sqref>L5</xm:sqref>
            </x14:sparkline>
            <x14:sparkline>
              <xm:f>Tablas!B40:L40</xm:f>
              <xm:sqref>L6</xm:sqref>
            </x14:sparkline>
            <x14:sparkline>
              <xm:f>Tablas!B18:L18</xm:f>
              <xm:sqref>L4</xm:sqref>
            </x14:sparkline>
            <x14:sparkline>
              <xm:f>Tablas!B106:L106</xm:f>
              <xm:sqref>L12</xm:sqref>
            </x14:sparkline>
            <x14:sparkline>
              <xm:f>Tablas!B150:L150</xm:f>
              <xm:sqref>L16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Tablas!B8:L8</xm:f>
              <xm:sqref>M3</xm:sqref>
            </x14:sparkline>
            <x14:sparkline>
              <xm:f>Tablas!B96:L96</xm:f>
              <xm:sqref>M11</xm:sqref>
            </x14:sparkline>
            <x14:sparkline>
              <xm:f>Tablas!B74:L74</xm:f>
              <xm:sqref>M10</xm:sqref>
            </x14:sparkline>
            <x14:sparkline>
              <xm:f>Tablas!B85:L85</xm:f>
              <xm:sqref>M9</xm:sqref>
            </x14:sparkline>
            <x14:sparkline>
              <xm:f>Tablas!B63:L63</xm:f>
              <xm:sqref>M8</xm:sqref>
            </x14:sparkline>
            <x14:sparkline>
              <xm:f>Tablas!B52:L52</xm:f>
              <xm:sqref>M7</xm:sqref>
            </x14:sparkline>
            <x14:sparkline>
              <xm:f>Tablas!B30:L30</xm:f>
              <xm:sqref>M5</xm:sqref>
            </x14:sparkline>
            <x14:sparkline>
              <xm:f>Tablas!B41:L41</xm:f>
              <xm:sqref>M6</xm:sqref>
            </x14:sparkline>
            <x14:sparkline>
              <xm:f>Tablas!B107:L107</xm:f>
              <xm:sqref>M12</xm:sqref>
            </x14:sparkline>
            <x14:sparkline>
              <xm:f>Tablas!B151:L151</xm:f>
              <xm:sqref>M16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  <x14:sparkline>
              <xm:f>Tablas!B97:K97</xm:f>
              <xm:sqref>N11</xm:sqref>
            </x14:sparkline>
            <x14:sparkline>
              <xm:f>Tablas!B75:K75</xm:f>
              <xm:sqref>N10</xm:sqref>
            </x14:sparkline>
            <x14:sparkline>
              <xm:f>Tablas!B86:K86</xm:f>
              <xm:sqref>N9</xm:sqref>
            </x14:sparkline>
            <x14:sparkline>
              <xm:f>Tablas!B64:K64</xm:f>
              <xm:sqref>N8</xm:sqref>
            </x14:sparkline>
            <x14:sparkline>
              <xm:f>Tablas!B53:K53</xm:f>
              <xm:sqref>N7</xm:sqref>
            </x14:sparkline>
            <x14:sparkline>
              <xm:f>Tablas!B31:K31</xm:f>
              <xm:sqref>N5</xm:sqref>
            </x14:sparkline>
            <x14:sparkline>
              <xm:f>Tablas!B42:K42</xm:f>
              <xm:sqref>N6</xm:sqref>
            </x14:sparkline>
            <x14:sparkline>
              <xm:f>Tablas!B20:K20</xm:f>
              <xm:sqref>N4</xm:sqref>
            </x14:sparkline>
            <x14:sparkline>
              <xm:f>Tablas!B108:K108</xm:f>
              <xm:sqref>N12</xm:sqref>
            </x14:sparkline>
            <x14:sparkline>
              <xm:f>Tablas!B152:K152</xm:f>
              <xm:sqref>N16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Tablas!B19:L19</xm:f>
              <xm:sqref>M4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Tablas!B3:L3</xm:f>
              <xm:sqref>K3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Tablas!B25:L25</xm:f>
              <xm:sqref>K5</xm:sqref>
            </x14:sparkline>
            <x14:sparkline>
              <xm:f>Tablas!B69:L69</xm:f>
              <xm:sqref>K10</xm:sqref>
            </x14:sparkline>
            <x14:sparkline>
              <xm:f>Tablas!B80:L80</xm:f>
              <xm:sqref>K9</xm:sqref>
            </x14:sparkline>
            <x14:sparkline>
              <xm:f>Tablas!B58:L58</xm:f>
              <xm:sqref>K8</xm:sqref>
            </x14:sparkline>
            <x14:sparkline>
              <xm:f>Tablas!B47:L47</xm:f>
              <xm:sqref>K7</xm:sqref>
            </x14:sparkline>
            <x14:sparkline>
              <xm:f>Tablas!B36:L36</xm:f>
              <xm:sqref>K6</xm:sqref>
            </x14:sparkline>
            <x14:sparkline>
              <xm:f>Tablas!B102:L102</xm:f>
              <xm:sqref>K12</xm:sqref>
            </x14:sparkline>
            <x14:sparkline>
              <xm:f>Tablas!B146:L146</xm:f>
              <xm:sqref>K16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Tablas!B14:L14</xm:f>
              <xm:sqref>K4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showGridLines="0" topLeftCell="A2" zoomScaleNormal="100" workbookViewId="0">
      <selection activeCell="C27" sqref="C27"/>
    </sheetView>
  </sheetViews>
  <sheetFormatPr baseColWidth="10" defaultColWidth="11.59765625" defaultRowHeight="13.95" customHeight="1"/>
  <cols>
    <col min="1" max="1" width="6" style="1" customWidth="1"/>
    <col min="2" max="2" width="24.69921875" style="1" bestFit="1" customWidth="1"/>
    <col min="3" max="3" width="11.59765625" style="3" bestFit="1" customWidth="1"/>
    <col min="4" max="7" width="10.69921875" style="3" bestFit="1" customWidth="1"/>
    <col min="8" max="9" width="13" style="3" bestFit="1" customWidth="1"/>
    <col min="10" max="10" width="13.8984375" style="3" bestFit="1" customWidth="1"/>
    <col min="11" max="16384" width="11.59765625" style="1"/>
  </cols>
  <sheetData>
    <row r="1" spans="2:11" ht="13.95" customHeight="1">
      <c r="C1" s="2">
        <f>1335</f>
        <v>1335</v>
      </c>
    </row>
    <row r="2" spans="2:11" ht="24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</row>
    <row r="3" spans="2:11" ht="15" customHeight="1">
      <c r="B3" s="7" t="s">
        <v>5</v>
      </c>
      <c r="C3" s="9"/>
      <c r="D3" s="10"/>
      <c r="E3" s="10">
        <f>C3*0.014293</f>
        <v>0</v>
      </c>
      <c r="F3" s="11">
        <f>D3+E3</f>
        <v>0</v>
      </c>
      <c r="G3" s="12">
        <v>7300000</v>
      </c>
      <c r="H3" s="12">
        <v>484460.02500000002</v>
      </c>
      <c r="I3" s="11">
        <f>G3+H3</f>
        <v>7784460.0250000004</v>
      </c>
      <c r="K3" s="40"/>
    </row>
    <row r="4" spans="2:11" ht="15" customHeight="1">
      <c r="B4" s="7" t="s">
        <v>6</v>
      </c>
      <c r="C4" s="9"/>
      <c r="D4" s="10"/>
      <c r="E4" s="10">
        <f>C4*0.014293</f>
        <v>0</v>
      </c>
      <c r="F4" s="11">
        <f>D4+E4</f>
        <v>0</v>
      </c>
      <c r="G4" s="12">
        <v>2120000</v>
      </c>
      <c r="H4" s="12">
        <v>2131510.3004999999</v>
      </c>
      <c r="I4" s="11">
        <f>G4+H4</f>
        <v>4251510.3004999999</v>
      </c>
      <c r="K4" s="40"/>
    </row>
    <row r="5" spans="2:11" s="14" customFormat="1" ht="15" customHeight="1">
      <c r="B5" s="5" t="s">
        <v>8</v>
      </c>
      <c r="C5" s="13">
        <f>SUM(C3:C4)</f>
        <v>0</v>
      </c>
      <c r="D5" s="13">
        <f t="shared" ref="D5:I5" si="0">SUM(D3:D4)</f>
        <v>0</v>
      </c>
      <c r="E5" s="13">
        <f t="shared" si="0"/>
        <v>0</v>
      </c>
      <c r="F5" s="13">
        <f t="shared" si="0"/>
        <v>0</v>
      </c>
      <c r="G5" s="13">
        <f t="shared" si="0"/>
        <v>9420000</v>
      </c>
      <c r="H5" s="13">
        <f t="shared" si="0"/>
        <v>2615970.3254999998</v>
      </c>
      <c r="I5" s="13">
        <f t="shared" si="0"/>
        <v>12035970.3255</v>
      </c>
      <c r="J5" s="39"/>
      <c r="K5" s="40"/>
    </row>
    <row r="6" spans="2:11" ht="15" customHeight="1">
      <c r="B6" s="7" t="s">
        <v>9</v>
      </c>
      <c r="C6" s="9"/>
      <c r="D6" s="10"/>
      <c r="E6" s="10">
        <f>C6*0.014293</f>
        <v>0</v>
      </c>
      <c r="F6" s="11">
        <f>D6+E6</f>
        <v>0</v>
      </c>
      <c r="G6" s="12">
        <v>2135537.190082645</v>
      </c>
      <c r="H6" s="15">
        <v>565551.32550000004</v>
      </c>
      <c r="I6" s="11">
        <f>G6+H6</f>
        <v>2701088.5155826453</v>
      </c>
      <c r="K6" s="40"/>
    </row>
    <row r="7" spans="2:11" ht="15" customHeight="1">
      <c r="B7" s="7" t="s">
        <v>10</v>
      </c>
      <c r="C7" s="9"/>
      <c r="D7" s="10"/>
      <c r="E7" s="10">
        <f>C7*0.014293</f>
        <v>0</v>
      </c>
      <c r="F7" s="11">
        <f>D7+E7</f>
        <v>0</v>
      </c>
      <c r="G7" s="12">
        <v>703000</v>
      </c>
      <c r="H7" s="15">
        <v>261699.86850000001</v>
      </c>
      <c r="I7" s="11">
        <f>G7+H7</f>
        <v>964699.86849999998</v>
      </c>
      <c r="K7" s="40"/>
    </row>
    <row r="8" spans="2:11" s="14" customFormat="1" ht="15" customHeight="1">
      <c r="B8" s="5" t="s">
        <v>12</v>
      </c>
      <c r="C8" s="13">
        <f t="shared" ref="C8:I8" si="1">SUM(C6:C7)</f>
        <v>0</v>
      </c>
      <c r="D8" s="13">
        <f t="shared" si="1"/>
        <v>0</v>
      </c>
      <c r="E8" s="13">
        <f t="shared" si="1"/>
        <v>0</v>
      </c>
      <c r="F8" s="13">
        <f t="shared" si="1"/>
        <v>0</v>
      </c>
      <c r="G8" s="13">
        <f t="shared" si="1"/>
        <v>2838537.190082645</v>
      </c>
      <c r="H8" s="13">
        <f t="shared" si="1"/>
        <v>827251.19400000002</v>
      </c>
      <c r="I8" s="13">
        <f t="shared" si="1"/>
        <v>3665788.3840826452</v>
      </c>
      <c r="J8" s="39"/>
      <c r="K8" s="41"/>
    </row>
    <row r="9" spans="2:11" ht="15" customHeight="1">
      <c r="B9" s="7" t="s">
        <v>7</v>
      </c>
      <c r="C9" s="9"/>
      <c r="D9" s="10"/>
      <c r="E9" s="10">
        <f>C9*0.014293</f>
        <v>0</v>
      </c>
      <c r="F9" s="11">
        <f>D9+E9</f>
        <v>0</v>
      </c>
      <c r="G9" s="12">
        <v>645612</v>
      </c>
      <c r="H9" s="12">
        <v>373184.7</v>
      </c>
      <c r="I9" s="11">
        <f>G9+H9</f>
        <v>1018796.7</v>
      </c>
      <c r="K9" s="40"/>
    </row>
    <row r="10" spans="2:11" ht="15" customHeight="1">
      <c r="B10" s="7" t="s">
        <v>11</v>
      </c>
      <c r="C10" s="9"/>
      <c r="D10" s="10"/>
      <c r="E10" s="10">
        <f>C10*0.014293</f>
        <v>0</v>
      </c>
      <c r="F10" s="11">
        <f>D10+E10</f>
        <v>0</v>
      </c>
      <c r="G10" s="12">
        <v>1157000</v>
      </c>
      <c r="H10" s="15">
        <v>565551.32550000004</v>
      </c>
      <c r="I10" s="11">
        <f>G10+H10</f>
        <v>1722551.3255</v>
      </c>
      <c r="K10" s="40"/>
    </row>
    <row r="11" spans="2:11" s="14" customFormat="1" ht="15" customHeight="1">
      <c r="B11" s="5" t="s">
        <v>44</v>
      </c>
      <c r="C11" s="13">
        <f>SUM(C9:C10)</f>
        <v>0</v>
      </c>
      <c r="D11" s="13">
        <f t="shared" ref="D11:I11" si="2">SUM(D9:D10)</f>
        <v>0</v>
      </c>
      <c r="E11" s="13">
        <f t="shared" si="2"/>
        <v>0</v>
      </c>
      <c r="F11" s="13">
        <f t="shared" si="2"/>
        <v>0</v>
      </c>
      <c r="G11" s="13">
        <f t="shared" si="2"/>
        <v>1802612</v>
      </c>
      <c r="H11" s="13">
        <f t="shared" si="2"/>
        <v>938736.02549999999</v>
      </c>
      <c r="I11" s="13">
        <f t="shared" si="2"/>
        <v>2741348.0255</v>
      </c>
      <c r="J11" s="39"/>
      <c r="K11" s="41"/>
    </row>
    <row r="12" spans="2:11" ht="15" customHeight="1">
      <c r="B12" s="16" t="s">
        <v>13</v>
      </c>
      <c r="C12" s="9"/>
      <c r="D12" s="17"/>
      <c r="E12" s="10">
        <f>C12*0.014293</f>
        <v>0</v>
      </c>
      <c r="F12" s="18">
        <f>D12+E12</f>
        <v>0</v>
      </c>
      <c r="G12" s="9">
        <v>1361157.0247933883</v>
      </c>
      <c r="H12" s="9">
        <v>1131102.6510000001</v>
      </c>
      <c r="I12" s="18">
        <f>G12+H12</f>
        <v>2492259.6757933884</v>
      </c>
      <c r="K12" s="40"/>
    </row>
    <row r="13" spans="2:11" ht="15" customHeight="1">
      <c r="B13" s="7" t="s">
        <v>47</v>
      </c>
      <c r="C13" s="9"/>
      <c r="D13" s="10"/>
      <c r="E13" s="10">
        <f>C13*0.014293</f>
        <v>0</v>
      </c>
      <c r="F13" s="18">
        <f>D13+E13</f>
        <v>0</v>
      </c>
      <c r="G13" s="12">
        <f>1400000+140000</f>
        <v>1540000</v>
      </c>
      <c r="H13" s="12">
        <v>156000</v>
      </c>
      <c r="I13" s="11">
        <f>G13+H13</f>
        <v>1696000</v>
      </c>
      <c r="K13" s="40"/>
    </row>
    <row r="14" spans="2:11" ht="15" customHeight="1">
      <c r="B14" s="5" t="s">
        <v>45</v>
      </c>
      <c r="C14" s="13">
        <f>+C5+C8+C11+C12+C13</f>
        <v>0</v>
      </c>
      <c r="D14" s="13">
        <f t="shared" ref="D14:I14" si="3">+D5+D8+D11+D12+D13</f>
        <v>0</v>
      </c>
      <c r="E14" s="13">
        <f t="shared" si="3"/>
        <v>0</v>
      </c>
      <c r="F14" s="13">
        <f t="shared" si="3"/>
        <v>0</v>
      </c>
      <c r="G14" s="13">
        <f t="shared" si="3"/>
        <v>16962306.214876033</v>
      </c>
      <c r="H14" s="13">
        <f t="shared" si="3"/>
        <v>5669060.1960000005</v>
      </c>
      <c r="I14" s="13">
        <f t="shared" si="3"/>
        <v>22631366.410876032</v>
      </c>
      <c r="K14" s="40"/>
    </row>
    <row r="15" spans="2:11" ht="15" customHeight="1">
      <c r="B15" s="19"/>
      <c r="C15" s="20"/>
      <c r="D15" s="20"/>
      <c r="E15" s="20"/>
      <c r="F15" s="20"/>
      <c r="G15" s="20"/>
      <c r="H15" s="20"/>
      <c r="I15" s="20"/>
    </row>
    <row r="16" spans="2:11" ht="24">
      <c r="B16" s="5" t="s">
        <v>0</v>
      </c>
      <c r="C16" s="7" t="s">
        <v>1</v>
      </c>
      <c r="D16" s="6" t="s">
        <v>42</v>
      </c>
      <c r="E16" s="8" t="s">
        <v>41</v>
      </c>
      <c r="F16" s="7" t="s">
        <v>2</v>
      </c>
      <c r="G16" s="7" t="s">
        <v>3</v>
      </c>
      <c r="H16" s="8" t="s">
        <v>4</v>
      </c>
      <c r="I16" s="20"/>
    </row>
    <row r="17" spans="1:11" ht="15" customHeight="1">
      <c r="B17" s="7" t="s">
        <v>5</v>
      </c>
      <c r="C17" s="38" t="e">
        <f t="shared" ref="C17:H27" si="4">D3/$C3</f>
        <v>#DIV/0!</v>
      </c>
      <c r="D17" s="38" t="e">
        <f t="shared" si="4"/>
        <v>#DIV/0!</v>
      </c>
      <c r="E17" s="37" t="e">
        <f t="shared" si="4"/>
        <v>#DIV/0!</v>
      </c>
      <c r="F17" s="38" t="e">
        <f t="shared" si="4"/>
        <v>#DIV/0!</v>
      </c>
      <c r="G17" s="38" t="e">
        <f t="shared" si="4"/>
        <v>#DIV/0!</v>
      </c>
      <c r="H17" s="37" t="e">
        <f t="shared" si="4"/>
        <v>#DIV/0!</v>
      </c>
      <c r="I17" s="20"/>
    </row>
    <row r="18" spans="1:11" s="3" customFormat="1" ht="15" customHeight="1">
      <c r="A18" s="1"/>
      <c r="B18" s="7" t="s">
        <v>6</v>
      </c>
      <c r="C18" s="38" t="e">
        <f t="shared" si="4"/>
        <v>#DIV/0!</v>
      </c>
      <c r="D18" s="38" t="e">
        <f t="shared" si="4"/>
        <v>#DIV/0!</v>
      </c>
      <c r="E18" s="37" t="e">
        <f t="shared" si="4"/>
        <v>#DIV/0!</v>
      </c>
      <c r="F18" s="38" t="e">
        <f t="shared" si="4"/>
        <v>#DIV/0!</v>
      </c>
      <c r="G18" s="38" t="e">
        <f t="shared" si="4"/>
        <v>#DIV/0!</v>
      </c>
      <c r="H18" s="37" t="e">
        <f t="shared" si="4"/>
        <v>#DIV/0!</v>
      </c>
      <c r="I18" s="20"/>
      <c r="K18" s="1"/>
    </row>
    <row r="19" spans="1:11" s="3" customFormat="1" ht="15" customHeight="1">
      <c r="A19" s="1"/>
      <c r="B19" s="5" t="s">
        <v>8</v>
      </c>
      <c r="C19" s="38" t="e">
        <f t="shared" si="4"/>
        <v>#DIV/0!</v>
      </c>
      <c r="D19" s="38" t="e">
        <f t="shared" si="4"/>
        <v>#DIV/0!</v>
      </c>
      <c r="E19" s="37" t="e">
        <f t="shared" si="4"/>
        <v>#DIV/0!</v>
      </c>
      <c r="F19" s="38" t="e">
        <f t="shared" si="4"/>
        <v>#DIV/0!</v>
      </c>
      <c r="G19" s="38" t="e">
        <f t="shared" si="4"/>
        <v>#DIV/0!</v>
      </c>
      <c r="H19" s="37" t="e">
        <f t="shared" si="4"/>
        <v>#DIV/0!</v>
      </c>
      <c r="I19" s="20"/>
      <c r="K19" s="1"/>
    </row>
    <row r="20" spans="1:11" s="3" customFormat="1" ht="15" customHeight="1">
      <c r="A20" s="1"/>
      <c r="B20" s="7" t="s">
        <v>9</v>
      </c>
      <c r="C20" s="38" t="e">
        <f t="shared" si="4"/>
        <v>#DIV/0!</v>
      </c>
      <c r="D20" s="38" t="e">
        <f t="shared" si="4"/>
        <v>#DIV/0!</v>
      </c>
      <c r="E20" s="37" t="e">
        <f t="shared" si="4"/>
        <v>#DIV/0!</v>
      </c>
      <c r="F20" s="38" t="e">
        <f t="shared" si="4"/>
        <v>#DIV/0!</v>
      </c>
      <c r="G20" s="38" t="e">
        <f t="shared" si="4"/>
        <v>#DIV/0!</v>
      </c>
      <c r="H20" s="37" t="e">
        <f t="shared" si="4"/>
        <v>#DIV/0!</v>
      </c>
      <c r="I20" s="20"/>
      <c r="K20" s="1"/>
    </row>
    <row r="21" spans="1:11" s="3" customFormat="1" ht="15" customHeight="1">
      <c r="A21" s="1"/>
      <c r="B21" s="7" t="s">
        <v>10</v>
      </c>
      <c r="C21" s="38" t="e">
        <f t="shared" si="4"/>
        <v>#DIV/0!</v>
      </c>
      <c r="D21" s="38" t="e">
        <f t="shared" si="4"/>
        <v>#DIV/0!</v>
      </c>
      <c r="E21" s="37" t="e">
        <f t="shared" si="4"/>
        <v>#DIV/0!</v>
      </c>
      <c r="F21" s="38" t="e">
        <f t="shared" si="4"/>
        <v>#DIV/0!</v>
      </c>
      <c r="G21" s="38" t="e">
        <f t="shared" si="4"/>
        <v>#DIV/0!</v>
      </c>
      <c r="H21" s="37" t="e">
        <f t="shared" si="4"/>
        <v>#DIV/0!</v>
      </c>
      <c r="I21" s="20"/>
      <c r="K21" s="1"/>
    </row>
    <row r="22" spans="1:11" s="3" customFormat="1" ht="15" customHeight="1">
      <c r="A22" s="1"/>
      <c r="B22" s="5" t="s">
        <v>12</v>
      </c>
      <c r="C22" s="38" t="e">
        <f t="shared" si="4"/>
        <v>#DIV/0!</v>
      </c>
      <c r="D22" s="38" t="e">
        <f t="shared" si="4"/>
        <v>#DIV/0!</v>
      </c>
      <c r="E22" s="37" t="e">
        <f t="shared" si="4"/>
        <v>#DIV/0!</v>
      </c>
      <c r="F22" s="38" t="e">
        <f t="shared" si="4"/>
        <v>#DIV/0!</v>
      </c>
      <c r="G22" s="38" t="e">
        <f t="shared" si="4"/>
        <v>#DIV/0!</v>
      </c>
      <c r="H22" s="37" t="e">
        <f t="shared" si="4"/>
        <v>#DIV/0!</v>
      </c>
      <c r="I22" s="20"/>
      <c r="K22" s="1"/>
    </row>
    <row r="23" spans="1:11" s="3" customFormat="1" ht="15" customHeight="1">
      <c r="A23" s="1"/>
      <c r="B23" s="7" t="s">
        <v>7</v>
      </c>
      <c r="C23" s="38" t="e">
        <f t="shared" si="4"/>
        <v>#DIV/0!</v>
      </c>
      <c r="D23" s="38" t="e">
        <f t="shared" si="4"/>
        <v>#DIV/0!</v>
      </c>
      <c r="E23" s="37" t="e">
        <f t="shared" si="4"/>
        <v>#DIV/0!</v>
      </c>
      <c r="F23" s="38" t="e">
        <f t="shared" si="4"/>
        <v>#DIV/0!</v>
      </c>
      <c r="G23" s="38" t="e">
        <f t="shared" si="4"/>
        <v>#DIV/0!</v>
      </c>
      <c r="H23" s="37" t="e">
        <f t="shared" si="4"/>
        <v>#DIV/0!</v>
      </c>
      <c r="I23" s="20"/>
      <c r="K23" s="1"/>
    </row>
    <row r="24" spans="1:11" s="3" customFormat="1" ht="15" customHeight="1">
      <c r="A24" s="1"/>
      <c r="B24" s="7" t="s">
        <v>11</v>
      </c>
      <c r="C24" s="38" t="e">
        <f t="shared" si="4"/>
        <v>#DIV/0!</v>
      </c>
      <c r="D24" s="38" t="e">
        <f t="shared" si="4"/>
        <v>#DIV/0!</v>
      </c>
      <c r="E24" s="37" t="e">
        <f t="shared" si="4"/>
        <v>#DIV/0!</v>
      </c>
      <c r="F24" s="38" t="e">
        <f t="shared" si="4"/>
        <v>#DIV/0!</v>
      </c>
      <c r="G24" s="38" t="e">
        <f t="shared" si="4"/>
        <v>#DIV/0!</v>
      </c>
      <c r="H24" s="37" t="e">
        <f t="shared" si="4"/>
        <v>#DIV/0!</v>
      </c>
      <c r="I24" s="20"/>
      <c r="K24" s="1"/>
    </row>
    <row r="25" spans="1:11" s="3" customFormat="1" ht="15" customHeight="1">
      <c r="A25" s="1"/>
      <c r="B25" s="5" t="s">
        <v>44</v>
      </c>
      <c r="C25" s="38" t="e">
        <f t="shared" si="4"/>
        <v>#DIV/0!</v>
      </c>
      <c r="D25" s="38" t="e">
        <f t="shared" si="4"/>
        <v>#DIV/0!</v>
      </c>
      <c r="E25" s="37" t="e">
        <f t="shared" si="4"/>
        <v>#DIV/0!</v>
      </c>
      <c r="F25" s="38" t="e">
        <f t="shared" si="4"/>
        <v>#DIV/0!</v>
      </c>
      <c r="G25" s="38" t="e">
        <f t="shared" si="4"/>
        <v>#DIV/0!</v>
      </c>
      <c r="H25" s="37" t="e">
        <f t="shared" si="4"/>
        <v>#DIV/0!</v>
      </c>
      <c r="I25" s="20"/>
      <c r="K25" s="1"/>
    </row>
    <row r="26" spans="1:11" s="3" customFormat="1" ht="15" customHeight="1">
      <c r="A26" s="1"/>
      <c r="B26" s="16" t="s">
        <v>13</v>
      </c>
      <c r="C26" s="38" t="e">
        <f t="shared" si="4"/>
        <v>#DIV/0!</v>
      </c>
      <c r="D26" s="38" t="e">
        <f t="shared" si="4"/>
        <v>#DIV/0!</v>
      </c>
      <c r="E26" s="37" t="e">
        <f t="shared" si="4"/>
        <v>#DIV/0!</v>
      </c>
      <c r="F26" s="38" t="e">
        <f t="shared" si="4"/>
        <v>#DIV/0!</v>
      </c>
      <c r="G26" s="38" t="e">
        <f t="shared" si="4"/>
        <v>#DIV/0!</v>
      </c>
      <c r="H26" s="37" t="e">
        <f t="shared" si="4"/>
        <v>#DIV/0!</v>
      </c>
      <c r="I26" s="20"/>
      <c r="K26" s="1"/>
    </row>
    <row r="27" spans="1:11" s="3" customFormat="1" ht="15" customHeight="1">
      <c r="A27" s="1"/>
      <c r="B27" s="7" t="s">
        <v>47</v>
      </c>
      <c r="C27" s="38" t="e">
        <f t="shared" si="4"/>
        <v>#DIV/0!</v>
      </c>
      <c r="D27" s="38" t="e">
        <f t="shared" si="4"/>
        <v>#DIV/0!</v>
      </c>
      <c r="E27" s="37" t="e">
        <f t="shared" si="4"/>
        <v>#DIV/0!</v>
      </c>
      <c r="F27" s="38" t="e">
        <f t="shared" si="4"/>
        <v>#DIV/0!</v>
      </c>
      <c r="G27" s="38" t="e">
        <f t="shared" si="4"/>
        <v>#DIV/0!</v>
      </c>
      <c r="H27" s="37" t="e">
        <f t="shared" si="4"/>
        <v>#DIV/0!</v>
      </c>
      <c r="I27" s="20"/>
      <c r="K27" s="1"/>
    </row>
    <row r="28" spans="1:11" s="3" customFormat="1" ht="13.95" customHeight="1">
      <c r="A28" s="1"/>
      <c r="B28" s="5" t="s">
        <v>45</v>
      </c>
      <c r="C28" s="42" t="e">
        <f t="shared" ref="C28:H28" si="5">D14/$C14</f>
        <v>#DIV/0!</v>
      </c>
      <c r="D28" s="42" t="e">
        <f t="shared" si="5"/>
        <v>#DIV/0!</v>
      </c>
      <c r="E28" s="43" t="e">
        <f t="shared" si="5"/>
        <v>#DIV/0!</v>
      </c>
      <c r="F28" s="42" t="e">
        <f t="shared" si="5"/>
        <v>#DIV/0!</v>
      </c>
      <c r="G28" s="42" t="e">
        <f t="shared" si="5"/>
        <v>#DIV/0!</v>
      </c>
      <c r="H28" s="43" t="e">
        <f t="shared" si="5"/>
        <v>#DIV/0!</v>
      </c>
      <c r="K28" s="1"/>
    </row>
  </sheetData>
  <conditionalFormatting sqref="E17:E28">
    <cfRule type="cellIs" dxfId="47" priority="7" operator="between">
      <formula>10.5%</formula>
      <formula>15.49%</formula>
    </cfRule>
    <cfRule type="cellIs" dxfId="46" priority="8" operator="between">
      <formula>0</formula>
      <formula>0.1049</formula>
    </cfRule>
    <cfRule type="cellIs" dxfId="45" priority="9" operator="between">
      <formula>15.5%</formula>
      <formula>200%</formula>
    </cfRule>
  </conditionalFormatting>
  <conditionalFormatting sqref="H17:H26 H28">
    <cfRule type="cellIs" dxfId="44" priority="4" operator="between">
      <formula>10.5%</formula>
      <formula>15.49%</formula>
    </cfRule>
    <cfRule type="cellIs" dxfId="43" priority="5" operator="between">
      <formula>0</formula>
      <formula>0.10499</formula>
    </cfRule>
    <cfRule type="cellIs" dxfId="42" priority="6" operator="between">
      <formula>15.5%</formula>
      <formula>200%</formula>
    </cfRule>
  </conditionalFormatting>
  <conditionalFormatting sqref="H27">
    <cfRule type="cellIs" dxfId="41" priority="1" operator="between">
      <formula>10.5%</formula>
      <formula>15.49%</formula>
    </cfRule>
    <cfRule type="cellIs" dxfId="40" priority="2" operator="between">
      <formula>0</formula>
      <formula>0.10499</formula>
    </cfRule>
    <cfRule type="cellIs" dxfId="39" priority="3" operator="between">
      <formula>15.5%</formula>
      <formula>200%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6"/>
  <sheetViews>
    <sheetView showGridLines="0" zoomScaleNormal="100" workbookViewId="0">
      <selection activeCell="D13" sqref="D13"/>
    </sheetView>
  </sheetViews>
  <sheetFormatPr baseColWidth="10" defaultColWidth="11.59765625" defaultRowHeight="13.95" customHeight="1"/>
  <cols>
    <col min="1" max="1" width="6" style="1" customWidth="1"/>
    <col min="2" max="2" width="24.69921875" style="1" bestFit="1" customWidth="1"/>
    <col min="3" max="3" width="11.59765625" style="3" bestFit="1" customWidth="1"/>
    <col min="4" max="7" width="10.69921875" style="3" bestFit="1" customWidth="1"/>
    <col min="8" max="9" width="13" style="3" bestFit="1" customWidth="1"/>
    <col min="10" max="10" width="13.8984375" style="3" bestFit="1" customWidth="1"/>
    <col min="11" max="16384" width="11.59765625" style="1"/>
  </cols>
  <sheetData>
    <row r="1" spans="2:11" ht="13.95" customHeight="1">
      <c r="C1" s="2">
        <f>1335</f>
        <v>1335</v>
      </c>
    </row>
    <row r="2" spans="2:11" ht="24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</row>
    <row r="3" spans="2:11" ht="15" customHeight="1">
      <c r="B3" s="7" t="s">
        <v>5</v>
      </c>
      <c r="C3" s="9">
        <v>68551715.100000009</v>
      </c>
      <c r="D3" s="10">
        <v>5328900</v>
      </c>
      <c r="E3" s="10">
        <f>C3*0.014293</f>
        <v>979809.66392430011</v>
      </c>
      <c r="F3" s="11">
        <f>D3+E3</f>
        <v>6308709.6639243001</v>
      </c>
      <c r="G3" s="12">
        <v>7000000</v>
      </c>
      <c r="H3" s="12">
        <v>515040.5</v>
      </c>
      <c r="I3" s="11">
        <f>G3+H3</f>
        <v>7515040.5</v>
      </c>
      <c r="K3" s="40"/>
    </row>
    <row r="4" spans="2:11" ht="15" customHeight="1">
      <c r="B4" s="7" t="s">
        <v>6</v>
      </c>
      <c r="C4" s="9">
        <v>28417188</v>
      </c>
      <c r="D4" s="10">
        <v>3256550</v>
      </c>
      <c r="E4" s="10">
        <f>C4*0.014293</f>
        <v>406166.86808400002</v>
      </c>
      <c r="F4" s="11">
        <f>D4+E4</f>
        <v>3662716.868084</v>
      </c>
      <c r="G4" s="12">
        <v>1575471</v>
      </c>
      <c r="H4" s="12">
        <v>2045417</v>
      </c>
      <c r="I4" s="11">
        <f>G4+H4</f>
        <v>3620888</v>
      </c>
      <c r="K4" s="40"/>
    </row>
    <row r="5" spans="2:11" s="14" customFormat="1" ht="15" customHeight="1">
      <c r="B5" s="5" t="s">
        <v>8</v>
      </c>
      <c r="C5" s="13">
        <f t="shared" ref="C5:I5" si="0">SUM(C3:C4)</f>
        <v>96968903.100000009</v>
      </c>
      <c r="D5" s="13">
        <f t="shared" si="0"/>
        <v>8585450</v>
      </c>
      <c r="E5" s="13">
        <f t="shared" si="0"/>
        <v>1385976.5320083001</v>
      </c>
      <c r="F5" s="13">
        <f t="shared" si="0"/>
        <v>9971426.5320082996</v>
      </c>
      <c r="G5" s="13">
        <f t="shared" si="0"/>
        <v>8575471</v>
      </c>
      <c r="H5" s="13">
        <f t="shared" si="0"/>
        <v>2560457.5</v>
      </c>
      <c r="I5" s="13">
        <f t="shared" si="0"/>
        <v>11135928.5</v>
      </c>
      <c r="J5" s="39"/>
      <c r="K5" s="40"/>
    </row>
    <row r="6" spans="2:11" ht="15" customHeight="1">
      <c r="B6" s="7" t="s">
        <v>9</v>
      </c>
      <c r="C6" s="9">
        <v>53365632</v>
      </c>
      <c r="D6" s="10">
        <v>2979600</v>
      </c>
      <c r="E6" s="10">
        <f>C6*0.014293</f>
        <v>762754.97817600006</v>
      </c>
      <c r="F6" s="11">
        <f>D6+E6</f>
        <v>3742354.9781760001</v>
      </c>
      <c r="G6" s="12">
        <v>2205191</v>
      </c>
      <c r="H6" s="15">
        <v>557887</v>
      </c>
      <c r="I6" s="11">
        <f>G6+H6</f>
        <v>2763078</v>
      </c>
      <c r="K6" s="40"/>
    </row>
    <row r="7" spans="2:11" ht="15" customHeight="1">
      <c r="B7" s="7" t="s">
        <v>10</v>
      </c>
      <c r="C7" s="9">
        <v>24216000</v>
      </c>
      <c r="D7" s="10">
        <v>2540300</v>
      </c>
      <c r="E7" s="10">
        <f>C7*0.014293</f>
        <v>346119.288</v>
      </c>
      <c r="F7" s="11">
        <f>D7+E7</f>
        <v>2886419.2880000002</v>
      </c>
      <c r="G7" s="12">
        <v>703000</v>
      </c>
      <c r="H7" s="15">
        <v>231882</v>
      </c>
      <c r="I7" s="11">
        <f>G7+H7</f>
        <v>934882</v>
      </c>
      <c r="K7" s="40"/>
    </row>
    <row r="8" spans="2:11" s="14" customFormat="1" ht="15" customHeight="1">
      <c r="B8" s="5" t="s">
        <v>12</v>
      </c>
      <c r="C8" s="13">
        <f t="shared" ref="C8:I8" si="1">SUM(C6:C7)</f>
        <v>77581632</v>
      </c>
      <c r="D8" s="13">
        <f t="shared" si="1"/>
        <v>5519900</v>
      </c>
      <c r="E8" s="13">
        <f t="shared" si="1"/>
        <v>1108874.266176</v>
      </c>
      <c r="F8" s="13">
        <f t="shared" si="1"/>
        <v>6628774.2661760002</v>
      </c>
      <c r="G8" s="13">
        <f t="shared" si="1"/>
        <v>2908191</v>
      </c>
      <c r="H8" s="13">
        <f t="shared" si="1"/>
        <v>789769</v>
      </c>
      <c r="I8" s="13">
        <f t="shared" si="1"/>
        <v>3697960</v>
      </c>
      <c r="J8" s="39"/>
      <c r="K8" s="41"/>
    </row>
    <row r="9" spans="2:11" ht="15" customHeight="1">
      <c r="B9" s="7" t="s">
        <v>7</v>
      </c>
      <c r="C9" s="9">
        <v>5776908</v>
      </c>
      <c r="D9" s="10">
        <v>1976850</v>
      </c>
      <c r="E9" s="10">
        <f>C9*0.014293</f>
        <v>82569.346044000005</v>
      </c>
      <c r="F9" s="11">
        <f>D9+E9</f>
        <v>2059419.346044</v>
      </c>
      <c r="G9" s="12">
        <v>644652</v>
      </c>
      <c r="H9" s="12">
        <v>355773</v>
      </c>
      <c r="I9" s="11">
        <f>G9+H9</f>
        <v>1000425</v>
      </c>
      <c r="K9" s="40"/>
    </row>
    <row r="10" spans="2:11" ht="15" customHeight="1">
      <c r="B10" s="7" t="s">
        <v>11</v>
      </c>
      <c r="C10" s="9">
        <v>15461400</v>
      </c>
      <c r="D10" s="10">
        <v>2368400</v>
      </c>
      <c r="E10" s="10">
        <f>C10*0.014293</f>
        <v>220989.79019999999</v>
      </c>
      <c r="F10" s="11">
        <f>D10+E10</f>
        <v>2589389.7902000002</v>
      </c>
      <c r="G10" s="12">
        <v>1064835</v>
      </c>
      <c r="H10" s="15">
        <v>557887</v>
      </c>
      <c r="I10" s="11">
        <f>G10+H10</f>
        <v>1622722</v>
      </c>
      <c r="K10" s="40"/>
    </row>
    <row r="11" spans="2:11" s="14" customFormat="1" ht="15" customHeight="1">
      <c r="B11" s="5" t="s">
        <v>44</v>
      </c>
      <c r="C11" s="13">
        <f>SUM(C9:C10)</f>
        <v>21238308</v>
      </c>
      <c r="D11" s="13">
        <f t="shared" ref="D11:I11" si="2">SUM(D9:D10)</f>
        <v>4345250</v>
      </c>
      <c r="E11" s="13">
        <f t="shared" si="2"/>
        <v>303559.13624399999</v>
      </c>
      <c r="F11" s="13">
        <f t="shared" si="2"/>
        <v>4648809.1362439999</v>
      </c>
      <c r="G11" s="13">
        <f t="shared" si="2"/>
        <v>1709487</v>
      </c>
      <c r="H11" s="13">
        <f t="shared" si="2"/>
        <v>913660</v>
      </c>
      <c r="I11" s="13">
        <f t="shared" si="2"/>
        <v>2623147</v>
      </c>
      <c r="J11" s="39"/>
      <c r="K11" s="41"/>
    </row>
    <row r="12" spans="2:11" ht="15" customHeight="1">
      <c r="B12" s="16" t="s">
        <v>13</v>
      </c>
      <c r="C12" s="9">
        <v>18012064</v>
      </c>
      <c r="D12" s="17">
        <v>2674000</v>
      </c>
      <c r="E12" s="10">
        <f>C12*0.014293</f>
        <v>257446.43075200001</v>
      </c>
      <c r="F12" s="18">
        <f>D12+E12</f>
        <v>2931446.4307519998</v>
      </c>
      <c r="G12" s="9">
        <v>955537</v>
      </c>
      <c r="H12" s="9">
        <v>1115774</v>
      </c>
      <c r="I12" s="18">
        <f>G12+H12</f>
        <v>2071311</v>
      </c>
      <c r="K12" s="40"/>
    </row>
    <row r="13" spans="2:11" ht="15" customHeight="1">
      <c r="B13" s="5" t="s">
        <v>45</v>
      </c>
      <c r="C13" s="13">
        <f>+C5+C8+C11+C12</f>
        <v>213800907.10000002</v>
      </c>
      <c r="D13" s="13">
        <f t="shared" ref="D13:I13" si="3">+D5+D8+D11+D12</f>
        <v>21124600</v>
      </c>
      <c r="E13" s="13">
        <f t="shared" si="3"/>
        <v>3055856.3651802996</v>
      </c>
      <c r="F13" s="13">
        <f t="shared" si="3"/>
        <v>24180456.365180299</v>
      </c>
      <c r="G13" s="13">
        <f t="shared" si="3"/>
        <v>14148686</v>
      </c>
      <c r="H13" s="13">
        <f t="shared" si="3"/>
        <v>5379660.5</v>
      </c>
      <c r="I13" s="13">
        <f t="shared" si="3"/>
        <v>19528346.5</v>
      </c>
      <c r="K13" s="40"/>
    </row>
    <row r="14" spans="2:11" ht="15" customHeight="1">
      <c r="B14" s="19"/>
      <c r="C14" s="20"/>
      <c r="D14" s="20"/>
      <c r="E14" s="20"/>
      <c r="F14" s="20"/>
      <c r="G14" s="20"/>
      <c r="H14" s="20"/>
      <c r="I14" s="20"/>
    </row>
    <row r="15" spans="2:11" ht="24">
      <c r="B15" s="5" t="s">
        <v>0</v>
      </c>
      <c r="C15" s="7" t="s">
        <v>1</v>
      </c>
      <c r="D15" s="6" t="s">
        <v>42</v>
      </c>
      <c r="E15" s="8" t="s">
        <v>41</v>
      </c>
      <c r="F15" s="7" t="s">
        <v>2</v>
      </c>
      <c r="G15" s="7" t="s">
        <v>3</v>
      </c>
      <c r="H15" s="8" t="s">
        <v>4</v>
      </c>
      <c r="I15" s="20"/>
    </row>
    <row r="16" spans="2:11" ht="15" customHeight="1">
      <c r="B16" s="7" t="s">
        <v>5</v>
      </c>
      <c r="C16" s="38">
        <f>D3/$C3</f>
        <v>7.773547302538604E-2</v>
      </c>
      <c r="D16" s="38">
        <f t="shared" ref="D16:H16" si="4">E3/$C3</f>
        <v>1.4293E-2</v>
      </c>
      <c r="E16" s="37">
        <f t="shared" si="4"/>
        <v>9.202847302538604E-2</v>
      </c>
      <c r="F16" s="38">
        <f t="shared" si="4"/>
        <v>0.10211268951898184</v>
      </c>
      <c r="G16" s="38">
        <f t="shared" si="4"/>
        <v>7.5131672380287376E-3</v>
      </c>
      <c r="H16" s="37">
        <f t="shared" si="4"/>
        <v>0.10962585675701057</v>
      </c>
      <c r="I16" s="20"/>
    </row>
    <row r="17" spans="2:9" ht="15" customHeight="1">
      <c r="B17" s="7" t="s">
        <v>6</v>
      </c>
      <c r="C17" s="38">
        <f t="shared" ref="C17:H26" si="5">D4/$C4</f>
        <v>0.11459789758226606</v>
      </c>
      <c r="D17" s="38">
        <f t="shared" si="5"/>
        <v>1.4293E-2</v>
      </c>
      <c r="E17" s="37">
        <f t="shared" si="5"/>
        <v>0.12889089758226605</v>
      </c>
      <c r="F17" s="38">
        <f t="shared" si="5"/>
        <v>5.5440777602625564E-2</v>
      </c>
      <c r="G17" s="38">
        <f t="shared" si="5"/>
        <v>7.1978163356627684E-2</v>
      </c>
      <c r="H17" s="37">
        <f t="shared" si="5"/>
        <v>0.12741894095925324</v>
      </c>
      <c r="I17" s="20"/>
    </row>
    <row r="18" spans="2:9" ht="15" customHeight="1">
      <c r="B18" s="5" t="s">
        <v>8</v>
      </c>
      <c r="C18" s="38">
        <f t="shared" si="5"/>
        <v>8.8538177967695281E-2</v>
      </c>
      <c r="D18" s="38">
        <f t="shared" si="5"/>
        <v>1.4293E-2</v>
      </c>
      <c r="E18" s="37">
        <f t="shared" si="5"/>
        <v>0.10283117796769528</v>
      </c>
      <c r="F18" s="38">
        <f t="shared" si="5"/>
        <v>8.843526868769952E-2</v>
      </c>
      <c r="G18" s="38">
        <f t="shared" si="5"/>
        <v>2.6404934140169724E-2</v>
      </c>
      <c r="H18" s="37">
        <f t="shared" si="5"/>
        <v>0.11484020282786925</v>
      </c>
      <c r="I18" s="20"/>
    </row>
    <row r="19" spans="2:9" ht="15" customHeight="1">
      <c r="B19" s="7" t="s">
        <v>9</v>
      </c>
      <c r="C19" s="38">
        <f t="shared" si="5"/>
        <v>5.5833687119080683E-2</v>
      </c>
      <c r="D19" s="38">
        <f t="shared" si="5"/>
        <v>1.4293000000000002E-2</v>
      </c>
      <c r="E19" s="37">
        <f t="shared" si="5"/>
        <v>7.0126687119080683E-2</v>
      </c>
      <c r="F19" s="38">
        <f t="shared" si="5"/>
        <v>4.1322306461207096E-2</v>
      </c>
      <c r="G19" s="38">
        <f t="shared" si="5"/>
        <v>1.0454050277152157E-2</v>
      </c>
      <c r="H19" s="37">
        <f t="shared" si="5"/>
        <v>5.1776356738359251E-2</v>
      </c>
      <c r="I19" s="20"/>
    </row>
    <row r="20" spans="2:9" ht="15" customHeight="1">
      <c r="B20" s="7" t="s">
        <v>10</v>
      </c>
      <c r="C20" s="38">
        <f t="shared" si="5"/>
        <v>0.10490171787248101</v>
      </c>
      <c r="D20" s="38">
        <f t="shared" si="5"/>
        <v>1.4293E-2</v>
      </c>
      <c r="E20" s="37">
        <f t="shared" si="5"/>
        <v>0.11919471787248101</v>
      </c>
      <c r="F20" s="38">
        <f t="shared" si="5"/>
        <v>2.9030393128510076E-2</v>
      </c>
      <c r="G20" s="38">
        <f t="shared" si="5"/>
        <v>9.5755698711595637E-3</v>
      </c>
      <c r="H20" s="37">
        <f t="shared" si="5"/>
        <v>3.8605962999669639E-2</v>
      </c>
      <c r="I20" s="20"/>
    </row>
    <row r="21" spans="2:9" ht="15" customHeight="1">
      <c r="B21" s="5" t="s">
        <v>12</v>
      </c>
      <c r="C21" s="38">
        <f t="shared" si="5"/>
        <v>7.1149573136074271E-2</v>
      </c>
      <c r="D21" s="38">
        <f t="shared" si="5"/>
        <v>1.4293E-2</v>
      </c>
      <c r="E21" s="37">
        <f t="shared" si="5"/>
        <v>8.5442573136074271E-2</v>
      </c>
      <c r="F21" s="38">
        <f t="shared" si="5"/>
        <v>3.7485561015267121E-2</v>
      </c>
      <c r="G21" s="38">
        <f t="shared" si="5"/>
        <v>1.0179845146851255E-2</v>
      </c>
      <c r="H21" s="37">
        <f t="shared" si="5"/>
        <v>4.7665406162118375E-2</v>
      </c>
      <c r="I21" s="20"/>
    </row>
    <row r="22" spans="2:9" ht="15" customHeight="1">
      <c r="B22" s="7" t="s">
        <v>7</v>
      </c>
      <c r="C22" s="38">
        <f t="shared" si="5"/>
        <v>0.34219862943983181</v>
      </c>
      <c r="D22" s="38">
        <f t="shared" si="5"/>
        <v>1.4293E-2</v>
      </c>
      <c r="E22" s="37">
        <f t="shared" si="5"/>
        <v>0.35649162943983181</v>
      </c>
      <c r="F22" s="38">
        <f t="shared" si="5"/>
        <v>0.11159118338045196</v>
      </c>
      <c r="G22" s="38">
        <f t="shared" si="5"/>
        <v>6.1585367120265723E-2</v>
      </c>
      <c r="H22" s="37">
        <f t="shared" si="5"/>
        <v>0.17317655050071767</v>
      </c>
      <c r="I22" s="20"/>
    </row>
    <row r="23" spans="2:9" ht="15" customHeight="1">
      <c r="B23" s="7" t="s">
        <v>11</v>
      </c>
      <c r="C23" s="38">
        <f t="shared" si="5"/>
        <v>0.15318147127685722</v>
      </c>
      <c r="D23" s="38">
        <f t="shared" si="5"/>
        <v>1.4292999999999998E-2</v>
      </c>
      <c r="E23" s="37">
        <f t="shared" si="5"/>
        <v>0.16747447127685722</v>
      </c>
      <c r="F23" s="38">
        <f t="shared" si="5"/>
        <v>6.8870542124257833E-2</v>
      </c>
      <c r="G23" s="38">
        <f t="shared" si="5"/>
        <v>3.6082566908559377E-2</v>
      </c>
      <c r="H23" s="37">
        <f t="shared" si="5"/>
        <v>0.10495310903281721</v>
      </c>
      <c r="I23" s="20"/>
    </row>
    <row r="24" spans="2:9" ht="15" customHeight="1">
      <c r="B24" s="5" t="s">
        <v>44</v>
      </c>
      <c r="C24" s="38">
        <f t="shared" si="5"/>
        <v>0.20459492347507155</v>
      </c>
      <c r="D24" s="38">
        <f t="shared" si="5"/>
        <v>1.4293E-2</v>
      </c>
      <c r="E24" s="37">
        <f t="shared" si="5"/>
        <v>0.21888792347507155</v>
      </c>
      <c r="F24" s="38">
        <f t="shared" si="5"/>
        <v>8.049073400762434E-2</v>
      </c>
      <c r="G24" s="38">
        <f t="shared" si="5"/>
        <v>4.3019434504857922E-2</v>
      </c>
      <c r="H24" s="37">
        <f t="shared" si="5"/>
        <v>0.12351016851248225</v>
      </c>
      <c r="I24" s="20"/>
    </row>
    <row r="25" spans="2:9" ht="15" customHeight="1">
      <c r="B25" s="16" t="s">
        <v>13</v>
      </c>
      <c r="C25" s="38">
        <f t="shared" si="5"/>
        <v>0.14845605700712589</v>
      </c>
      <c r="D25" s="38">
        <f t="shared" si="5"/>
        <v>1.4293E-2</v>
      </c>
      <c r="E25" s="37">
        <f t="shared" si="5"/>
        <v>0.16274905700712589</v>
      </c>
      <c r="F25" s="38">
        <f t="shared" si="5"/>
        <v>5.3049833711450278E-2</v>
      </c>
      <c r="G25" s="38">
        <f t="shared" si="5"/>
        <v>6.1945926907654783E-2</v>
      </c>
      <c r="H25" s="37">
        <f t="shared" si="5"/>
        <v>0.11499576061910506</v>
      </c>
      <c r="I25" s="20"/>
    </row>
    <row r="26" spans="2:9" ht="13.95" customHeight="1">
      <c r="B26" s="5" t="s">
        <v>45</v>
      </c>
      <c r="C26" s="42">
        <f t="shared" si="5"/>
        <v>9.8805006426467112E-2</v>
      </c>
      <c r="D26" s="42">
        <f t="shared" si="5"/>
        <v>1.4292999999999997E-2</v>
      </c>
      <c r="E26" s="43">
        <f t="shared" si="5"/>
        <v>0.1130980064264671</v>
      </c>
      <c r="F26" s="42">
        <f t="shared" si="5"/>
        <v>6.6176922221299589E-2</v>
      </c>
      <c r="G26" s="42">
        <f t="shared" si="5"/>
        <v>2.5162009707862459E-2</v>
      </c>
      <c r="H26" s="43">
        <f t="shared" si="5"/>
        <v>9.1338931929162037E-2</v>
      </c>
    </row>
  </sheetData>
  <conditionalFormatting sqref="E16:E26">
    <cfRule type="cellIs" dxfId="38" priority="4" operator="between">
      <formula>10.5%</formula>
      <formula>15.49%</formula>
    </cfRule>
    <cfRule type="cellIs" dxfId="37" priority="5" operator="between">
      <formula>0</formula>
      <formula>0.1049</formula>
    </cfRule>
    <cfRule type="cellIs" dxfId="36" priority="6" operator="between">
      <formula>15.5%</formula>
      <formula>200%</formula>
    </cfRule>
  </conditionalFormatting>
  <conditionalFormatting sqref="H16:H26">
    <cfRule type="cellIs" dxfId="35" priority="1" operator="between">
      <formula>10.5%</formula>
      <formula>15.49%</formula>
    </cfRule>
    <cfRule type="cellIs" dxfId="34" priority="2" operator="between">
      <formula>0</formula>
      <formula>0.10499</formula>
    </cfRule>
    <cfRule type="cellIs" dxfId="33" priority="3" operator="between">
      <formula>15.5%</formula>
      <formula>200%</formula>
    </cfRule>
  </conditionalFormatting>
  <pageMargins left="0.7" right="0.7" top="0.75" bottom="0.75" header="0.3" footer="0.3"/>
  <pageSetup paperSize="9" orientation="portrait" r:id="rId1"/>
  <ignoredErrors>
    <ignoredError sqref="E5:J20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8"/>
  <sheetViews>
    <sheetView showGridLines="0" topLeftCell="A2" zoomScaleNormal="100" workbookViewId="0">
      <selection activeCell="C28" sqref="C28"/>
    </sheetView>
  </sheetViews>
  <sheetFormatPr baseColWidth="10" defaultColWidth="11.59765625" defaultRowHeight="13.95" customHeight="1"/>
  <cols>
    <col min="1" max="1" width="6" style="1" customWidth="1"/>
    <col min="2" max="2" width="24.69921875" style="1" bestFit="1" customWidth="1"/>
    <col min="3" max="3" width="11.59765625" style="3" bestFit="1" customWidth="1"/>
    <col min="4" max="7" width="10.69921875" style="3" bestFit="1" customWidth="1"/>
    <col min="8" max="9" width="13" style="3" bestFit="1" customWidth="1"/>
    <col min="10" max="10" width="23.3984375" style="3" customWidth="1"/>
    <col min="11" max="16384" width="11.59765625" style="1"/>
  </cols>
  <sheetData>
    <row r="1" spans="2:14" ht="13.95" customHeight="1">
      <c r="C1" s="2">
        <f>1335</f>
        <v>1335</v>
      </c>
      <c r="J1" s="28" t="s">
        <v>36</v>
      </c>
    </row>
    <row r="2" spans="2:14" ht="36">
      <c r="B2" s="5" t="s">
        <v>0</v>
      </c>
      <c r="C2" s="8" t="s">
        <v>14</v>
      </c>
      <c r="D2" s="5" t="s">
        <v>1</v>
      </c>
      <c r="E2" s="7" t="s">
        <v>2</v>
      </c>
      <c r="F2" s="7" t="s">
        <v>3</v>
      </c>
      <c r="G2" s="8" t="s">
        <v>4</v>
      </c>
      <c r="H2" s="5" t="s">
        <v>15</v>
      </c>
      <c r="J2" s="5" t="s">
        <v>0</v>
      </c>
      <c r="K2" s="6" t="s">
        <v>14</v>
      </c>
      <c r="L2" s="7" t="s">
        <v>51</v>
      </c>
      <c r="M2" s="6" t="s">
        <v>52</v>
      </c>
      <c r="N2" s="7" t="s">
        <v>53</v>
      </c>
    </row>
    <row r="3" spans="2:14" ht="15" customHeight="1">
      <c r="B3" s="7" t="s">
        <v>5</v>
      </c>
      <c r="C3" s="9">
        <v>58604767</v>
      </c>
      <c r="D3" s="10">
        <v>5231714</v>
      </c>
      <c r="E3" s="12">
        <v>7275000</v>
      </c>
      <c r="F3" s="12">
        <v>461390.5</v>
      </c>
      <c r="G3" s="11">
        <f>E3+F3</f>
        <v>7736390.5</v>
      </c>
      <c r="H3" s="12">
        <v>1966770.31</v>
      </c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>
        <v>31723946.02</v>
      </c>
      <c r="D4" s="10">
        <v>3488427</v>
      </c>
      <c r="E4" s="12">
        <v>1572090</v>
      </c>
      <c r="F4" s="12">
        <v>2030009.81</v>
      </c>
      <c r="G4" s="11">
        <f>E4+F4</f>
        <v>3602099.81</v>
      </c>
      <c r="H4" s="12">
        <v>560026.23</v>
      </c>
      <c r="J4" s="7" t="s">
        <v>6</v>
      </c>
      <c r="K4" s="9"/>
      <c r="L4" s="10"/>
      <c r="M4" s="10"/>
      <c r="N4" s="12"/>
    </row>
    <row r="5" spans="2:14" s="14" customFormat="1" ht="15" customHeight="1">
      <c r="B5" s="5" t="s">
        <v>8</v>
      </c>
      <c r="C5" s="13">
        <f>SUM(C3:C4)</f>
        <v>90328713.019999996</v>
      </c>
      <c r="D5" s="13">
        <f t="shared" ref="D5:H5" si="0">SUM(D3:D4)</f>
        <v>8720141</v>
      </c>
      <c r="E5" s="13">
        <f t="shared" si="0"/>
        <v>8847090</v>
      </c>
      <c r="F5" s="13">
        <f t="shared" si="0"/>
        <v>2491400.31</v>
      </c>
      <c r="G5" s="13">
        <f t="shared" si="0"/>
        <v>11338490.310000001</v>
      </c>
      <c r="H5" s="13">
        <f t="shared" si="0"/>
        <v>2526796.54</v>
      </c>
      <c r="J5" s="5" t="s">
        <v>8</v>
      </c>
      <c r="K5" s="13"/>
      <c r="L5" s="13"/>
      <c r="M5" s="11"/>
      <c r="N5" s="13"/>
    </row>
    <row r="6" spans="2:14" ht="15" customHeight="1">
      <c r="B6" s="7" t="s">
        <v>9</v>
      </c>
      <c r="C6" s="9">
        <v>32348519.800000001</v>
      </c>
      <c r="D6" s="10">
        <v>3210558</v>
      </c>
      <c r="E6" s="12">
        <v>2190647</v>
      </c>
      <c r="F6" s="15">
        <v>538620.31000000006</v>
      </c>
      <c r="G6" s="11">
        <f>E6+F6</f>
        <v>2729267.31</v>
      </c>
      <c r="H6" s="10">
        <v>251999.59</v>
      </c>
      <c r="J6" s="7" t="s">
        <v>9</v>
      </c>
      <c r="K6" s="9"/>
      <c r="L6" s="10"/>
      <c r="M6" s="11"/>
      <c r="N6" s="12"/>
    </row>
    <row r="7" spans="2:14" ht="15" customHeight="1">
      <c r="B7" s="7" t="s">
        <v>10</v>
      </c>
      <c r="C7" s="9">
        <v>19749648.989999998</v>
      </c>
      <c r="D7" s="10">
        <v>2611013</v>
      </c>
      <c r="E7" s="12">
        <v>703000</v>
      </c>
      <c r="F7" s="15">
        <v>249237.97</v>
      </c>
      <c r="G7" s="11">
        <f>E7+F7</f>
        <v>952237.97</v>
      </c>
      <c r="H7" s="10">
        <v>523330.01</v>
      </c>
      <c r="J7" s="7" t="s">
        <v>10</v>
      </c>
      <c r="K7" s="9"/>
      <c r="L7" s="10"/>
      <c r="M7" s="11"/>
      <c r="N7" s="15"/>
    </row>
    <row r="8" spans="2:14" s="14" customFormat="1" ht="15" customHeight="1">
      <c r="B8" s="5" t="s">
        <v>12</v>
      </c>
      <c r="C8" s="13">
        <f t="shared" ref="C8:D8" si="1">SUM(C6:C7)</f>
        <v>52098168.789999999</v>
      </c>
      <c r="D8" s="13">
        <f t="shared" si="1"/>
        <v>5821571</v>
      </c>
      <c r="E8" s="13">
        <f>SUM(E6:E7)</f>
        <v>2893647</v>
      </c>
      <c r="F8" s="13">
        <f>SUM(F6:F7)</f>
        <v>787858.28</v>
      </c>
      <c r="G8" s="13">
        <f>SUM(G6:G7)</f>
        <v>3681505.2800000003</v>
      </c>
      <c r="H8" s="13">
        <f>SUM(H6:H7)</f>
        <v>775329.6</v>
      </c>
      <c r="J8" s="5" t="s">
        <v>12</v>
      </c>
      <c r="K8" s="9"/>
      <c r="L8" s="10"/>
      <c r="M8" s="11"/>
      <c r="N8" s="15"/>
    </row>
    <row r="9" spans="2:14" ht="15" customHeight="1">
      <c r="B9" s="7" t="s">
        <v>7</v>
      </c>
      <c r="C9" s="9">
        <v>5985345.9900000002</v>
      </c>
      <c r="D9" s="10">
        <v>2111208</v>
      </c>
      <c r="E9" s="12">
        <f>599275+46204</f>
        <v>645479</v>
      </c>
      <c r="F9" s="12">
        <v>355414</v>
      </c>
      <c r="G9" s="11">
        <f>E9+F9</f>
        <v>1000893</v>
      </c>
      <c r="H9" s="12">
        <v>409319</v>
      </c>
      <c r="J9" s="7" t="s">
        <v>7</v>
      </c>
      <c r="K9" s="9"/>
      <c r="L9" s="10"/>
      <c r="M9" s="11"/>
      <c r="N9" s="15"/>
    </row>
    <row r="10" spans="2:14" ht="15" customHeight="1">
      <c r="B10" s="7" t="s">
        <v>11</v>
      </c>
      <c r="C10" s="9">
        <v>14527110</v>
      </c>
      <c r="D10" s="10">
        <v>2640837</v>
      </c>
      <c r="E10" s="12">
        <v>1058553</v>
      </c>
      <c r="F10" s="15">
        <v>538620.31000000006</v>
      </c>
      <c r="G10" s="11">
        <f>E10+F10</f>
        <v>1597173.31</v>
      </c>
      <c r="H10" s="10">
        <v>146799.82</v>
      </c>
      <c r="J10" s="7" t="s">
        <v>11</v>
      </c>
      <c r="K10" s="13"/>
      <c r="L10" s="13"/>
      <c r="M10" s="13"/>
      <c r="N10" s="13"/>
    </row>
    <row r="11" spans="2:14" s="14" customFormat="1" ht="15" customHeight="1">
      <c r="B11" s="5" t="s">
        <v>44</v>
      </c>
      <c r="C11" s="13">
        <f>SUM(C9:C10)</f>
        <v>20512455.990000002</v>
      </c>
      <c r="D11" s="13">
        <f t="shared" ref="D11" si="2">SUM(D9:D10)</f>
        <v>4752045</v>
      </c>
      <c r="E11" s="13">
        <f>SUM(E9:E10)</f>
        <v>1704032</v>
      </c>
      <c r="F11" s="13">
        <f>SUM(F9:F10)</f>
        <v>894034.31</v>
      </c>
      <c r="G11" s="13">
        <f>SUM(G9:G10)</f>
        <v>2598066.31</v>
      </c>
      <c r="H11" s="13">
        <f t="shared" ref="H11" si="3">SUM(H9:H10)</f>
        <v>556118.82000000007</v>
      </c>
      <c r="J11" s="5" t="s">
        <v>44</v>
      </c>
      <c r="K11" s="9"/>
      <c r="L11" s="17"/>
      <c r="M11" s="18"/>
      <c r="N11" s="25"/>
    </row>
    <row r="12" spans="2:14" ht="15" customHeight="1">
      <c r="B12" s="16" t="s">
        <v>13</v>
      </c>
      <c r="C12" s="9">
        <v>19169518</v>
      </c>
      <c r="D12" s="17">
        <v>3435615</v>
      </c>
      <c r="E12" s="9">
        <v>957292.11</v>
      </c>
      <c r="F12" s="9">
        <v>1077240.6200000001</v>
      </c>
      <c r="G12" s="18">
        <f>E12+F12</f>
        <v>2034532.73</v>
      </c>
      <c r="H12" s="25">
        <v>470452.8</v>
      </c>
      <c r="J12" s="16" t="s">
        <v>13</v>
      </c>
      <c r="K12" s="9"/>
      <c r="L12" s="10"/>
      <c r="M12" s="11"/>
      <c r="N12" s="12"/>
    </row>
    <row r="13" spans="2:14" ht="15" customHeight="1">
      <c r="B13" s="7" t="s">
        <v>47</v>
      </c>
      <c r="C13" s="9">
        <v>6544524.0199999996</v>
      </c>
      <c r="D13" s="10">
        <v>4586090.0695947744</v>
      </c>
      <c r="E13" s="12">
        <f>1350000*1.1</f>
        <v>1485000.0000000002</v>
      </c>
      <c r="F13" s="12">
        <v>150000</v>
      </c>
      <c r="G13" s="11">
        <f>E13+F13</f>
        <v>1635000.0000000002</v>
      </c>
      <c r="H13" s="12">
        <v>0</v>
      </c>
      <c r="J13" s="7" t="s">
        <v>47</v>
      </c>
      <c r="K13" s="9"/>
      <c r="L13" s="10"/>
      <c r="M13" s="11"/>
      <c r="N13" s="12"/>
    </row>
    <row r="14" spans="2:14" ht="15" customHeight="1">
      <c r="B14" s="5" t="s">
        <v>45</v>
      </c>
      <c r="C14" s="13">
        <f t="shared" ref="C14:H14" si="4">+C5+C8+C11+C12+C13</f>
        <v>188653379.82000002</v>
      </c>
      <c r="D14" s="13">
        <f t="shared" si="4"/>
        <v>27315462.069594774</v>
      </c>
      <c r="E14" s="13">
        <f t="shared" si="4"/>
        <v>15887061.109999999</v>
      </c>
      <c r="F14" s="13">
        <f t="shared" si="4"/>
        <v>5400533.5199999996</v>
      </c>
      <c r="G14" s="13">
        <f t="shared" si="4"/>
        <v>21287594.629999999</v>
      </c>
      <c r="H14" s="13">
        <f t="shared" si="4"/>
        <v>4328697.76</v>
      </c>
      <c r="J14" s="5" t="s">
        <v>45</v>
      </c>
      <c r="K14" s="9"/>
      <c r="L14" s="10"/>
      <c r="M14" s="11"/>
      <c r="N14" s="12"/>
    </row>
    <row r="15" spans="2:14" ht="15" customHeight="1">
      <c r="B15" s="19"/>
      <c r="C15" s="20"/>
      <c r="D15" s="20"/>
      <c r="E15" s="20"/>
      <c r="F15" s="20"/>
      <c r="G15" s="20"/>
      <c r="H15" s="20"/>
      <c r="I15" s="20"/>
    </row>
    <row r="16" spans="2:14" ht="36">
      <c r="B16" s="5" t="s">
        <v>0</v>
      </c>
      <c r="C16" s="5" t="s">
        <v>1</v>
      </c>
      <c r="D16" s="7" t="s">
        <v>2</v>
      </c>
      <c r="E16" s="7" t="s">
        <v>3</v>
      </c>
      <c r="F16" s="8" t="s">
        <v>4</v>
      </c>
      <c r="G16" s="8" t="s">
        <v>15</v>
      </c>
      <c r="I16" s="20"/>
    </row>
    <row r="17" spans="2:13" ht="15" customHeight="1">
      <c r="B17" s="7" t="s">
        <v>5</v>
      </c>
      <c r="C17" s="37">
        <f t="shared" ref="C17:G26" si="5">D3/$C3</f>
        <v>8.9271133865270719E-2</v>
      </c>
      <c r="D17" s="38">
        <f t="shared" si="5"/>
        <v>0.12413665939496014</v>
      </c>
      <c r="E17" s="38">
        <f t="shared" si="5"/>
        <v>7.8729175734117331E-3</v>
      </c>
      <c r="F17" s="37">
        <f t="shared" si="5"/>
        <v>0.13200957696837187</v>
      </c>
      <c r="G17" s="37">
        <f t="shared" si="5"/>
        <v>3.3559903241318238E-2</v>
      </c>
      <c r="I17" s="20"/>
    </row>
    <row r="18" spans="2:13" s="3" customFormat="1" ht="15" customHeight="1">
      <c r="B18" s="7" t="s">
        <v>6</v>
      </c>
      <c r="C18" s="37">
        <f t="shared" si="5"/>
        <v>0.10996195107004536</v>
      </c>
      <c r="D18" s="38">
        <f t="shared" si="5"/>
        <v>4.9555310647953245E-2</v>
      </c>
      <c r="E18" s="38">
        <f t="shared" si="5"/>
        <v>6.3989826761153973E-2</v>
      </c>
      <c r="F18" s="37">
        <f t="shared" si="5"/>
        <v>0.11354513740910722</v>
      </c>
      <c r="G18" s="37">
        <f t="shared" si="5"/>
        <v>1.7653107518432222E-2</v>
      </c>
      <c r="I18" s="20"/>
      <c r="K18" s="7" t="s">
        <v>38</v>
      </c>
      <c r="L18" s="7" t="s">
        <v>39</v>
      </c>
      <c r="M18" s="7" t="s">
        <v>40</v>
      </c>
    </row>
    <row r="19" spans="2:13" s="3" customFormat="1" ht="15" customHeight="1">
      <c r="B19" s="5" t="s">
        <v>8</v>
      </c>
      <c r="C19" s="53">
        <f t="shared" si="5"/>
        <v>9.6537863858076264E-2</v>
      </c>
      <c r="D19" s="42">
        <f t="shared" si="5"/>
        <v>9.794327522458042E-2</v>
      </c>
      <c r="E19" s="42">
        <f t="shared" si="5"/>
        <v>2.7581487953319675E-2</v>
      </c>
      <c r="F19" s="53">
        <f t="shared" si="5"/>
        <v>0.12552476317790009</v>
      </c>
      <c r="G19" s="53">
        <f t="shared" si="5"/>
        <v>2.7973348180445494E-2</v>
      </c>
      <c r="I19" s="20"/>
      <c r="J19" s="7" t="s">
        <v>37</v>
      </c>
      <c r="K19" s="15">
        <f>'Octubre 2025_proy'!F13</f>
        <v>24180456.365180299</v>
      </c>
      <c r="L19" s="15">
        <f>D14-D13</f>
        <v>22729372</v>
      </c>
      <c r="M19" s="23">
        <f>L19/K19-1</f>
        <v>-6.0010627726193366E-2</v>
      </c>
    </row>
    <row r="20" spans="2:13" s="3" customFormat="1" ht="15" customHeight="1">
      <c r="B20" s="7" t="s">
        <v>9</v>
      </c>
      <c r="C20" s="37">
        <f t="shared" si="5"/>
        <v>9.9248992530409377E-2</v>
      </c>
      <c r="D20" s="38">
        <f t="shared" si="5"/>
        <v>6.7720161959311659E-2</v>
      </c>
      <c r="E20" s="38">
        <f t="shared" si="5"/>
        <v>1.6650539602124238E-2</v>
      </c>
      <c r="F20" s="37">
        <f t="shared" si="5"/>
        <v>8.437070156143589E-2</v>
      </c>
      <c r="G20" s="37">
        <f t="shared" si="5"/>
        <v>7.7901428429501124E-3</v>
      </c>
      <c r="I20" s="20"/>
      <c r="J20" s="7" t="s">
        <v>8</v>
      </c>
      <c r="K20" s="15">
        <f>'Octubre 2025_proy'!F5</f>
        <v>9971426.5320082996</v>
      </c>
      <c r="L20" s="15">
        <f>D5</f>
        <v>8720141</v>
      </c>
      <c r="M20" s="23">
        <f t="shared" ref="M20:M22" si="6">L20/K20-1</f>
        <v>-0.12548711340264807</v>
      </c>
    </row>
    <row r="21" spans="2:13" s="3" customFormat="1" ht="15" customHeight="1">
      <c r="B21" s="7" t="s">
        <v>10</v>
      </c>
      <c r="C21" s="37">
        <f t="shared" si="5"/>
        <v>0.13220553951728739</v>
      </c>
      <c r="D21" s="38">
        <f t="shared" si="5"/>
        <v>3.5595569336749011E-2</v>
      </c>
      <c r="E21" s="38">
        <f t="shared" si="5"/>
        <v>1.2619868339239787E-2</v>
      </c>
      <c r="F21" s="37">
        <f t="shared" si="5"/>
        <v>4.8215437675988793E-2</v>
      </c>
      <c r="G21" s="37">
        <f t="shared" si="5"/>
        <v>2.6498192968643745E-2</v>
      </c>
      <c r="I21" s="20"/>
      <c r="J21" s="7" t="s">
        <v>12</v>
      </c>
      <c r="K21" s="15">
        <f>'Octubre 2025_proy'!F8</f>
        <v>6628774.2661760002</v>
      </c>
      <c r="L21" s="15">
        <f>D8</f>
        <v>5821571</v>
      </c>
      <c r="M21" s="23">
        <f t="shared" si="6"/>
        <v>-0.12177262850763193</v>
      </c>
    </row>
    <row r="22" spans="2:13" s="3" customFormat="1" ht="15" customHeight="1">
      <c r="B22" s="5" t="s">
        <v>12</v>
      </c>
      <c r="C22" s="53">
        <f t="shared" si="5"/>
        <v>0.11174233442764352</v>
      </c>
      <c r="D22" s="42">
        <f t="shared" si="5"/>
        <v>5.5542201716606635E-2</v>
      </c>
      <c r="E22" s="42">
        <f t="shared" si="5"/>
        <v>1.5122571451133725E-2</v>
      </c>
      <c r="F22" s="53">
        <f t="shared" si="5"/>
        <v>7.0664773167740363E-2</v>
      </c>
      <c r="G22" s="53">
        <f t="shared" si="5"/>
        <v>1.488208929425598E-2</v>
      </c>
      <c r="I22" s="20"/>
      <c r="J22" s="7" t="s">
        <v>44</v>
      </c>
      <c r="K22" s="15">
        <f>'Octubre 2025_proy'!F11</f>
        <v>4648809.1362439999</v>
      </c>
      <c r="L22" s="15">
        <f>D11</f>
        <v>4752045</v>
      </c>
      <c r="M22" s="23">
        <f t="shared" si="6"/>
        <v>2.2206948216292988E-2</v>
      </c>
    </row>
    <row r="23" spans="2:13" s="3" customFormat="1" ht="15" customHeight="1">
      <c r="B23" s="7" t="s">
        <v>7</v>
      </c>
      <c r="C23" s="37">
        <f t="shared" si="5"/>
        <v>0.35272948356323841</v>
      </c>
      <c r="D23" s="38">
        <f t="shared" si="5"/>
        <v>0.10784322261042757</v>
      </c>
      <c r="E23" s="38">
        <f t="shared" si="5"/>
        <v>5.9380694214470967E-2</v>
      </c>
      <c r="F23" s="37">
        <f t="shared" si="5"/>
        <v>0.16722391682489854</v>
      </c>
      <c r="G23" s="37">
        <f t="shared" si="5"/>
        <v>6.8386856947596442E-2</v>
      </c>
      <c r="I23" s="20"/>
      <c r="J23" s="7" t="s">
        <v>13</v>
      </c>
      <c r="K23" s="15">
        <f>'Octubre 2025_proy'!F12</f>
        <v>2931446.4307519998</v>
      </c>
      <c r="L23" s="15">
        <f>D12</f>
        <v>3435615</v>
      </c>
      <c r="M23" s="23">
        <f t="shared" ref="M23" si="7">L23/K23-1</f>
        <v>0.17198628088819157</v>
      </c>
    </row>
    <row r="24" spans="2:13" s="3" customFormat="1" ht="15" customHeight="1">
      <c r="B24" s="7" t="s">
        <v>11</v>
      </c>
      <c r="C24" s="37">
        <f t="shared" si="5"/>
        <v>0.18178681100370273</v>
      </c>
      <c r="D24" s="38">
        <f t="shared" si="5"/>
        <v>7.2867418227025194E-2</v>
      </c>
      <c r="E24" s="38">
        <f t="shared" si="5"/>
        <v>3.7076907244455372E-2</v>
      </c>
      <c r="F24" s="37">
        <f t="shared" si="5"/>
        <v>0.10994432547148057</v>
      </c>
      <c r="G24" s="37">
        <f t="shared" si="5"/>
        <v>1.0105232217557381E-2</v>
      </c>
      <c r="I24" s="20"/>
      <c r="K24" s="1"/>
    </row>
    <row r="25" spans="2:13" s="3" customFormat="1" ht="15" customHeight="1">
      <c r="B25" s="5" t="s">
        <v>44</v>
      </c>
      <c r="C25" s="53">
        <f t="shared" si="5"/>
        <v>0.23166631057327619</v>
      </c>
      <c r="D25" s="42">
        <f t="shared" si="5"/>
        <v>8.3073036248352231E-2</v>
      </c>
      <c r="E25" s="42">
        <f t="shared" si="5"/>
        <v>4.3584947138258306E-2</v>
      </c>
      <c r="F25" s="53">
        <f t="shared" si="5"/>
        <v>0.12665798338661052</v>
      </c>
      <c r="G25" s="53">
        <f t="shared" si="5"/>
        <v>2.7111274255560269E-2</v>
      </c>
      <c r="I25" s="20"/>
      <c r="K25" s="1"/>
    </row>
    <row r="26" spans="2:13" s="3" customFormat="1" ht="15" customHeight="1">
      <c r="B26" s="16" t="s">
        <v>13</v>
      </c>
      <c r="C26" s="37">
        <f t="shared" si="5"/>
        <v>0.17922281613966506</v>
      </c>
      <c r="D26" s="38">
        <f t="shared" si="5"/>
        <v>4.9938246230291236E-2</v>
      </c>
      <c r="E26" s="38">
        <f t="shared" si="5"/>
        <v>5.6195498499231965E-2</v>
      </c>
      <c r="F26" s="37">
        <f t="shared" si="5"/>
        <v>0.10613374472952319</v>
      </c>
      <c r="G26" s="37">
        <f t="shared" si="5"/>
        <v>2.4541712525061925E-2</v>
      </c>
      <c r="I26" s="20"/>
      <c r="K26" s="1"/>
    </row>
    <row r="27" spans="2:13" s="3" customFormat="1" ht="15" customHeight="1">
      <c r="B27" s="7" t="s">
        <v>47</v>
      </c>
      <c r="C27" s="37">
        <f>D13/$C13</f>
        <v>0.70075227099476289</v>
      </c>
      <c r="D27" s="38">
        <f>E13/$C13</f>
        <v>0.22690725795517827</v>
      </c>
      <c r="E27" s="38">
        <f>F13/$C13</f>
        <v>2.2919925045977601E-2</v>
      </c>
      <c r="F27" s="37">
        <f>G13/$C13</f>
        <v>0.24982718300115589</v>
      </c>
      <c r="G27" s="37">
        <f>H13/$C13</f>
        <v>0</v>
      </c>
      <c r="I27" s="20"/>
      <c r="K27" s="1"/>
    </row>
    <row r="28" spans="2:13" s="3" customFormat="1" ht="13.95" customHeight="1">
      <c r="B28" s="5" t="s">
        <v>45</v>
      </c>
      <c r="C28" s="43">
        <f t="shared" ref="C28" si="8">D14/$C14</f>
        <v>0.14479179803540915</v>
      </c>
      <c r="D28" s="42">
        <f>E14/$C14</f>
        <v>8.4212968382322811E-2</v>
      </c>
      <c r="E28" s="42">
        <f>F14/$C14</f>
        <v>2.8626752010235991E-2</v>
      </c>
      <c r="F28" s="43">
        <f>G14/$C14</f>
        <v>0.11283972039255881</v>
      </c>
      <c r="G28" s="43">
        <f>H14/$C14</f>
        <v>2.2945243621556862E-2</v>
      </c>
      <c r="K28" s="1"/>
    </row>
  </sheetData>
  <conditionalFormatting sqref="F17:F28">
    <cfRule type="cellIs" dxfId="32" priority="10" operator="between">
      <formula>10.5%</formula>
      <formula>15.49%</formula>
    </cfRule>
    <cfRule type="cellIs" dxfId="31" priority="12" operator="between">
      <formula>15.5%</formula>
      <formula>200%</formula>
    </cfRule>
    <cfRule type="cellIs" dxfId="30" priority="17" operator="between">
      <formula>0</formula>
      <formula>0.10499</formula>
    </cfRule>
  </conditionalFormatting>
  <conditionalFormatting sqref="G17:G28">
    <cfRule type="cellIs" dxfId="29" priority="4" operator="between">
      <formula>10.5%</formula>
      <formula>15.49%</formula>
    </cfRule>
    <cfRule type="cellIs" dxfId="28" priority="5" operator="between">
      <formula>15.5%</formula>
      <formula>200%</formula>
    </cfRule>
    <cfRule type="cellIs" dxfId="27" priority="6" operator="between">
      <formula>0</formula>
      <formula>0.10499</formula>
    </cfRule>
  </conditionalFormatting>
  <conditionalFormatting sqref="C17:C28">
    <cfRule type="cellIs" dxfId="26" priority="1" operator="between">
      <formula>10.5%</formula>
      <formula>15.49%</formula>
    </cfRule>
    <cfRule type="cellIs" dxfId="25" priority="2" operator="between">
      <formula>15.5%</formula>
      <formula>200%</formula>
    </cfRule>
    <cfRule type="cellIs" dxfId="24" priority="3" operator="between">
      <formula>0</formula>
      <formula>0.10499</formula>
    </cfRule>
  </conditionalFormatting>
  <pageMargins left="0.7" right="0.7" top="0.75" bottom="0.75" header="0.3" footer="0.3"/>
  <pageSetup paperSize="9" orientation="portrait" r:id="rId1"/>
  <ignoredErrors>
    <ignoredError sqref="G5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Tablas!B97:K97</xm:f>
              <xm:sqref>N11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Tablas!B96:K96</xm:f>
              <xm:sqref>M11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Tablas!B95:K95</xm:f>
              <xm:sqref>L11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Tablas!B91:K91</xm:f>
              <xm:sqref>K11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Tablas!B75:K75</xm:f>
              <xm:sqref>N10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Tablas!B74:K74</xm:f>
              <xm:sqref>M10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Tablas!B73:K73</xm:f>
              <xm:sqref>L10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Tablas!B69:K69</xm:f>
              <xm:sqref>K10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Tablas!B86:K86</xm:f>
              <xm:sqref>N9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Tablas!B85:K85</xm:f>
              <xm:sqref>M9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Tablas!B84:K84</xm:f>
              <xm:sqref>L9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Tablas!B80:K80</xm:f>
              <xm:sqref>K9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Tablas!B64:K64</xm:f>
              <xm:sqref>N8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Tablas!B63:K63</xm:f>
              <xm:sqref>M8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Tablas!B62:K62</xm:f>
              <xm:sqref>L8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Tablas!B58:K58</xm:f>
              <xm:sqref>K8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Tablas!B53:K53</xm:f>
              <xm:sqref>N7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Tablas!B52:K52</xm:f>
              <xm:sqref>M7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Tablas!B51:K51</xm:f>
              <xm:sqref>L7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Tablas!B47:K47</xm:f>
              <xm:sqref>K7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Tablas!B31:K31</xm:f>
              <xm:sqref>N5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Tablas!B30:K30</xm:f>
              <xm:sqref>M5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Tablas!B29:K29</xm:f>
              <xm:sqref>L5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Tablas!B25:K25</xm:f>
              <xm:sqref>K5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Tablas!B42:K42</xm:f>
              <xm:sqref>N6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Tablas!B41:K41</xm:f>
              <xm:sqref>M6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Tablas!B40:K40</xm:f>
              <xm:sqref>L6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Tablas!B36:K36</xm:f>
              <xm:sqref>K6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Tablas!B20:K20</xm:f>
              <xm:sqref>N4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Tablas!B19:K19</xm:f>
              <xm:sqref>M4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Tablas!B3:K3</xm:f>
              <xm:sqref>K3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Tablas!B14:K14</xm:f>
              <xm:sqref>K4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Tablas!B7:K7</xm:f>
              <xm:sqref>L3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Tablas!B8:K8</xm:f>
              <xm:sqref>M3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Tablas!B9:K9</xm:f>
              <xm:sqref>N3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Tablas!B18:K18</xm:f>
              <xm:sqref>L4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Tablas!B108:K108</xm:f>
              <xm:sqref>N12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Tablas!B107:K107</xm:f>
              <xm:sqref>M12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Tablas!B106:K106</xm:f>
              <xm:sqref>L12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Tablas!B102:K102</xm:f>
              <xm:sqref>K12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Tablas!B152:K152</xm:f>
              <xm:sqref>N14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Tablas!B151:K151</xm:f>
              <xm:sqref>M14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Tablas!B150:K150</xm:f>
              <xm:sqref>L14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Tablas!B146:K146</xm:f>
              <xm:sqref>K14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topLeftCell="A2" zoomScale="120" zoomScaleNormal="120" workbookViewId="0">
      <selection activeCell="E4" sqref="E4"/>
    </sheetView>
  </sheetViews>
  <sheetFormatPr baseColWidth="10" defaultColWidth="11.59765625" defaultRowHeight="13.95" customHeight="1"/>
  <cols>
    <col min="1" max="1" width="6" style="1" customWidth="1"/>
    <col min="2" max="2" width="24.69921875" style="1" bestFit="1" customWidth="1"/>
    <col min="3" max="3" width="11.69921875" style="3" customWidth="1"/>
    <col min="4" max="7" width="10.69921875" style="3" bestFit="1" customWidth="1"/>
    <col min="8" max="9" width="13" style="3" bestFit="1" customWidth="1"/>
    <col min="10" max="11" width="13.8984375" style="3" bestFit="1" customWidth="1"/>
    <col min="12" max="12" width="15.09765625" style="1" bestFit="1" customWidth="1"/>
    <col min="13" max="16384" width="11.59765625" style="1"/>
  </cols>
  <sheetData>
    <row r="1" spans="2:12" ht="13.95" customHeight="1">
      <c r="C1" s="2">
        <f>1335</f>
        <v>1335</v>
      </c>
      <c r="G1" s="4"/>
    </row>
    <row r="2" spans="2:12" ht="36">
      <c r="B2" s="5" t="s">
        <v>0</v>
      </c>
      <c r="C2" s="6" t="s">
        <v>46</v>
      </c>
      <c r="D2" s="6" t="s">
        <v>1</v>
      </c>
      <c r="E2" s="7" t="s">
        <v>2</v>
      </c>
      <c r="F2" s="7" t="s">
        <v>3</v>
      </c>
      <c r="G2" s="44" t="s">
        <v>4</v>
      </c>
      <c r="H2" s="7" t="s">
        <v>15</v>
      </c>
      <c r="L2" s="3"/>
    </row>
    <row r="3" spans="2:12" ht="15" customHeight="1">
      <c r="B3" s="7" t="s">
        <v>5</v>
      </c>
      <c r="C3" s="10">
        <v>62713661.020000003</v>
      </c>
      <c r="D3" s="49">
        <v>5345060</v>
      </c>
      <c r="E3" s="12">
        <v>7000000</v>
      </c>
      <c r="F3" s="12">
        <v>300440.5</v>
      </c>
      <c r="G3" s="45">
        <f>E3+F3</f>
        <v>7300440.5</v>
      </c>
      <c r="H3" s="12">
        <v>1773489.1600000001</v>
      </c>
      <c r="K3" s="4"/>
      <c r="L3" s="3"/>
    </row>
    <row r="4" spans="2:12" ht="15" customHeight="1">
      <c r="B4" s="7" t="s">
        <v>6</v>
      </c>
      <c r="C4" s="10">
        <v>22885149.989999998</v>
      </c>
      <c r="D4" s="49">
        <v>3082266</v>
      </c>
      <c r="E4" s="12">
        <v>1448355.71</v>
      </c>
      <c r="F4" s="12">
        <v>1948016.5</v>
      </c>
      <c r="G4" s="45">
        <f>E4+F4</f>
        <v>3396372.21</v>
      </c>
      <c r="H4" s="12">
        <v>209674.47</v>
      </c>
      <c r="K4" s="4"/>
      <c r="L4" s="3"/>
    </row>
    <row r="5" spans="2:12" s="14" customFormat="1" ht="15" customHeight="1">
      <c r="B5" s="5" t="s">
        <v>8</v>
      </c>
      <c r="C5" s="13">
        <f t="shared" ref="C5" si="0">SUM(C3:C4)</f>
        <v>85598811.010000005</v>
      </c>
      <c r="D5" s="50">
        <f>SUM(D3:D4)</f>
        <v>8427326</v>
      </c>
      <c r="E5" s="13">
        <f>SUM(E3:E4)</f>
        <v>8448355.7100000009</v>
      </c>
      <c r="F5" s="13">
        <f>SUM(F3:F4)</f>
        <v>2248457</v>
      </c>
      <c r="G5" s="46">
        <f>SUM(G3:G4)</f>
        <v>10696812.710000001</v>
      </c>
      <c r="H5" s="13">
        <f>SUM(H3:H4)</f>
        <v>1983163.6300000001</v>
      </c>
      <c r="K5" s="39"/>
      <c r="L5" s="39"/>
    </row>
    <row r="6" spans="2:12" ht="15" customHeight="1">
      <c r="B6" s="7" t="s">
        <v>9</v>
      </c>
      <c r="C6" s="10">
        <v>33133540</v>
      </c>
      <c r="D6" s="49">
        <v>2263663</v>
      </c>
      <c r="E6" s="12">
        <v>2250334.64</v>
      </c>
      <c r="F6" s="15">
        <v>531320.80000000005</v>
      </c>
      <c r="G6" s="45">
        <f>E6+F6</f>
        <v>2781655.4400000004</v>
      </c>
      <c r="H6" s="10">
        <v>200815.63</v>
      </c>
      <c r="K6" s="4"/>
      <c r="L6" s="3"/>
    </row>
    <row r="7" spans="2:12" ht="15" customHeight="1">
      <c r="B7" s="7" t="s">
        <v>10</v>
      </c>
      <c r="C7" s="10">
        <v>19997040.02</v>
      </c>
      <c r="D7" s="49">
        <v>2444318</v>
      </c>
      <c r="E7" s="12">
        <v>703000</v>
      </c>
      <c r="F7" s="15">
        <v>220840</v>
      </c>
      <c r="G7" s="45">
        <f>E7+F7</f>
        <v>923840</v>
      </c>
      <c r="H7" s="10">
        <v>419343.85</v>
      </c>
      <c r="K7" s="4"/>
      <c r="L7" s="3"/>
    </row>
    <row r="8" spans="2:12" s="14" customFormat="1" ht="15" customHeight="1">
      <c r="B8" s="5" t="s">
        <v>12</v>
      </c>
      <c r="C8" s="13">
        <f t="shared" ref="C8" si="1">SUM(C6:C7)</f>
        <v>53130580.019999996</v>
      </c>
      <c r="D8" s="50">
        <f>SUM(D6:D7)</f>
        <v>4707981</v>
      </c>
      <c r="E8" s="13">
        <f>SUM(E6:E7)</f>
        <v>2953334.64</v>
      </c>
      <c r="F8" s="13">
        <f>SUM(F6:F7)</f>
        <v>752160.8</v>
      </c>
      <c r="G8" s="46">
        <f>SUM(G6:G7)</f>
        <v>3705495.4400000004</v>
      </c>
      <c r="H8" s="13">
        <f>SUM(H6:H7)</f>
        <v>620159.48</v>
      </c>
      <c r="K8" s="39"/>
      <c r="L8" s="39"/>
    </row>
    <row r="9" spans="2:12" ht="15" customHeight="1">
      <c r="B9" s="7" t="s">
        <v>7</v>
      </c>
      <c r="C9" s="10">
        <v>4814090</v>
      </c>
      <c r="D9" s="49">
        <v>1976546</v>
      </c>
      <c r="E9" s="12">
        <v>599275.1</v>
      </c>
      <c r="F9" s="12">
        <v>338831.14</v>
      </c>
      <c r="G9" s="45">
        <f>E9+F9</f>
        <v>938106.24</v>
      </c>
      <c r="H9" s="12">
        <v>159124</v>
      </c>
      <c r="K9" s="4"/>
      <c r="L9" s="3"/>
    </row>
    <row r="10" spans="2:12" ht="15" customHeight="1">
      <c r="B10" s="7" t="s">
        <v>11</v>
      </c>
      <c r="C10" s="10">
        <v>12808500.01</v>
      </c>
      <c r="D10" s="49">
        <v>2087438</v>
      </c>
      <c r="E10" s="12">
        <v>900710.7</v>
      </c>
      <c r="F10" s="15">
        <v>531320.80000000005</v>
      </c>
      <c r="G10" s="45">
        <f>E10+F10</f>
        <v>1432031.5</v>
      </c>
      <c r="H10" s="10">
        <v>189129.62</v>
      </c>
      <c r="K10" s="4"/>
      <c r="L10" s="3"/>
    </row>
    <row r="11" spans="2:12" s="14" customFormat="1" ht="15" customHeight="1">
      <c r="B11" s="5" t="s">
        <v>44</v>
      </c>
      <c r="C11" s="13">
        <f t="shared" ref="C11:H11" si="2">SUM(C9:C10)</f>
        <v>17622590.009999998</v>
      </c>
      <c r="D11" s="50">
        <f t="shared" si="2"/>
        <v>4063984</v>
      </c>
      <c r="E11" s="13">
        <f t="shared" si="2"/>
        <v>1499985.7999999998</v>
      </c>
      <c r="F11" s="13">
        <f t="shared" si="2"/>
        <v>870151.94000000006</v>
      </c>
      <c r="G11" s="46">
        <f t="shared" si="2"/>
        <v>2370137.7400000002</v>
      </c>
      <c r="H11" s="13">
        <f t="shared" si="2"/>
        <v>348253.62</v>
      </c>
      <c r="K11" s="39"/>
      <c r="L11" s="39"/>
    </row>
    <row r="12" spans="2:12" ht="15" customHeight="1">
      <c r="B12" s="16" t="s">
        <v>13</v>
      </c>
      <c r="C12" s="17">
        <v>12870480.02</v>
      </c>
      <c r="D12" s="51">
        <v>2855608</v>
      </c>
      <c r="E12" s="9">
        <v>1091639.7</v>
      </c>
      <c r="F12" s="9">
        <v>1062641.6000000001</v>
      </c>
      <c r="G12" s="47">
        <f>E12+F12</f>
        <v>2154281.2999999998</v>
      </c>
      <c r="H12" s="25">
        <v>2038403.42</v>
      </c>
      <c r="K12" s="4"/>
      <c r="L12" s="3"/>
    </row>
    <row r="13" spans="2:12" ht="15" customHeight="1">
      <c r="B13" s="5" t="s">
        <v>45</v>
      </c>
      <c r="C13" s="13">
        <f t="shared" ref="C13:H13" si="3">+C5+C8+C11+C12</f>
        <v>169222461.06</v>
      </c>
      <c r="D13" s="50">
        <f t="shared" si="3"/>
        <v>20054899</v>
      </c>
      <c r="E13" s="13">
        <f t="shared" si="3"/>
        <v>13993315.850000001</v>
      </c>
      <c r="F13" s="13">
        <f t="shared" si="3"/>
        <v>4933411.34</v>
      </c>
      <c r="G13" s="46">
        <f t="shared" si="3"/>
        <v>18926727.190000001</v>
      </c>
      <c r="H13" s="13">
        <f t="shared" si="3"/>
        <v>4989980.1500000004</v>
      </c>
      <c r="K13" s="40"/>
    </row>
    <row r="14" spans="2:12" ht="15" customHeight="1">
      <c r="B14" s="19"/>
      <c r="C14" s="20"/>
      <c r="D14" s="20"/>
      <c r="E14" s="20"/>
      <c r="F14" s="20"/>
      <c r="G14" s="20"/>
      <c r="H14" s="20"/>
      <c r="I14" s="20"/>
    </row>
    <row r="15" spans="2:12" ht="36">
      <c r="B15" s="5" t="s">
        <v>0</v>
      </c>
      <c r="C15" s="8" t="s">
        <v>1</v>
      </c>
      <c r="D15" s="7" t="s">
        <v>2</v>
      </c>
      <c r="E15" s="7" t="s">
        <v>3</v>
      </c>
      <c r="F15" s="8" t="s">
        <v>4</v>
      </c>
      <c r="G15" s="8" t="s">
        <v>15</v>
      </c>
      <c r="K15" s="1"/>
    </row>
    <row r="16" spans="2:12" ht="15" customHeight="1">
      <c r="B16" s="7" t="s">
        <v>5</v>
      </c>
      <c r="C16" s="37">
        <f t="shared" ref="C16:G26" si="4">D3/$C3</f>
        <v>8.5229596120937792E-2</v>
      </c>
      <c r="D16" s="21">
        <f t="shared" si="4"/>
        <v>0.11161842389918253</v>
      </c>
      <c r="E16" s="21">
        <f t="shared" si="4"/>
        <v>4.790670726497478E-3</v>
      </c>
      <c r="F16" s="37">
        <f t="shared" si="4"/>
        <v>0.11640909462568</v>
      </c>
      <c r="G16" s="37">
        <f t="shared" si="4"/>
        <v>2.8279152120212165E-2</v>
      </c>
      <c r="K16" s="1"/>
    </row>
    <row r="17" spans="2:11" ht="15" customHeight="1">
      <c r="B17" s="7" t="s">
        <v>6</v>
      </c>
      <c r="C17" s="37">
        <f t="shared" si="4"/>
        <v>0.13468410743852854</v>
      </c>
      <c r="D17" s="21">
        <f t="shared" si="4"/>
        <v>6.3288014744621743E-2</v>
      </c>
      <c r="E17" s="21">
        <f t="shared" si="4"/>
        <v>8.5121421570372682E-2</v>
      </c>
      <c r="F17" s="37">
        <f t="shared" si="4"/>
        <v>0.14840943631499443</v>
      </c>
      <c r="G17" s="37">
        <f t="shared" si="4"/>
        <v>9.1620317145231882E-3</v>
      </c>
      <c r="K17" s="1"/>
    </row>
    <row r="18" spans="2:11" ht="15" customHeight="1">
      <c r="B18" s="5" t="s">
        <v>8</v>
      </c>
      <c r="C18" s="37">
        <f t="shared" si="4"/>
        <v>9.8451437590826876E-2</v>
      </c>
      <c r="D18" s="21">
        <f t="shared" si="4"/>
        <v>9.8697115185548884E-2</v>
      </c>
      <c r="E18" s="21">
        <f t="shared" si="4"/>
        <v>2.6267385883868479E-2</v>
      </c>
      <c r="F18" s="37">
        <f t="shared" si="4"/>
        <v>0.12496450106941737</v>
      </c>
      <c r="G18" s="37">
        <f t="shared" si="4"/>
        <v>2.3168121222715568E-2</v>
      </c>
      <c r="K18" s="1"/>
    </row>
    <row r="19" spans="2:11" ht="15" customHeight="1">
      <c r="B19" s="7" t="s">
        <v>9</v>
      </c>
      <c r="C19" s="37">
        <f t="shared" si="4"/>
        <v>6.8319382716123908E-2</v>
      </c>
      <c r="D19" s="21">
        <f t="shared" si="4"/>
        <v>6.7917120838884112E-2</v>
      </c>
      <c r="E19" s="21">
        <f t="shared" si="4"/>
        <v>1.6035739012493083E-2</v>
      </c>
      <c r="F19" s="37">
        <f t="shared" si="4"/>
        <v>8.3952859851377196E-2</v>
      </c>
      <c r="G19" s="37">
        <f t="shared" si="4"/>
        <v>6.0607960996621555E-3</v>
      </c>
      <c r="K19" s="1"/>
    </row>
    <row r="20" spans="2:11" ht="15" customHeight="1">
      <c r="B20" s="7" t="s">
        <v>10</v>
      </c>
      <c r="C20" s="37">
        <f t="shared" si="4"/>
        <v>0.12223399050836126</v>
      </c>
      <c r="D20" s="21">
        <f t="shared" si="4"/>
        <v>3.5155202934879157E-2</v>
      </c>
      <c r="E20" s="21">
        <f t="shared" si="4"/>
        <v>1.10436344468545E-2</v>
      </c>
      <c r="F20" s="37">
        <f t="shared" si="4"/>
        <v>4.6198837381733658E-2</v>
      </c>
      <c r="G20" s="37">
        <f t="shared" si="4"/>
        <v>2.0970296082849966E-2</v>
      </c>
      <c r="K20" s="1"/>
    </row>
    <row r="21" spans="2:11" ht="15" customHeight="1">
      <c r="B21" s="5" t="s">
        <v>12</v>
      </c>
      <c r="C21" s="37">
        <f t="shared" si="4"/>
        <v>8.8611511454002007E-2</v>
      </c>
      <c r="D21" s="21">
        <f t="shared" si="4"/>
        <v>5.5586342910020438E-2</v>
      </c>
      <c r="E21" s="21">
        <f t="shared" si="4"/>
        <v>1.4156833968627172E-2</v>
      </c>
      <c r="F21" s="37">
        <f t="shared" si="4"/>
        <v>6.9743176878647617E-2</v>
      </c>
      <c r="G21" s="37">
        <f t="shared" si="4"/>
        <v>1.1672364197163908E-2</v>
      </c>
      <c r="K21" s="1"/>
    </row>
    <row r="22" spans="2:11" ht="15" customHeight="1">
      <c r="B22" s="7" t="s">
        <v>7</v>
      </c>
      <c r="C22" s="37">
        <f t="shared" si="4"/>
        <v>0.41057520736006181</v>
      </c>
      <c r="D22" s="21">
        <f t="shared" si="4"/>
        <v>0.12448356802635596</v>
      </c>
      <c r="E22" s="21">
        <f t="shared" si="4"/>
        <v>7.0383216765785434E-2</v>
      </c>
      <c r="F22" s="37">
        <f t="shared" si="4"/>
        <v>0.1948667847921414</v>
      </c>
      <c r="G22" s="37">
        <f t="shared" si="4"/>
        <v>3.3053806638430105E-2</v>
      </c>
      <c r="K22" s="1"/>
    </row>
    <row r="23" spans="2:11" ht="15" customHeight="1">
      <c r="B23" s="7" t="s">
        <v>11</v>
      </c>
      <c r="C23" s="37">
        <f t="shared" si="4"/>
        <v>0.16297286945155728</v>
      </c>
      <c r="D23" s="21">
        <f t="shared" si="4"/>
        <v>7.0321325627262107E-2</v>
      </c>
      <c r="E23" s="21">
        <f t="shared" si="4"/>
        <v>4.1481890899416882E-2</v>
      </c>
      <c r="F23" s="37">
        <f t="shared" si="4"/>
        <v>0.11180321652667899</v>
      </c>
      <c r="G23" s="37">
        <f t="shared" si="4"/>
        <v>1.4765946039921969E-2</v>
      </c>
      <c r="K23" s="1"/>
    </row>
    <row r="24" spans="2:11" ht="15" customHeight="1">
      <c r="B24" s="5" t="s">
        <v>44</v>
      </c>
      <c r="C24" s="37">
        <f t="shared" si="4"/>
        <v>0.23061218570561301</v>
      </c>
      <c r="D24" s="21">
        <f t="shared" si="4"/>
        <v>8.5117215979536934E-2</v>
      </c>
      <c r="E24" s="21">
        <f t="shared" si="4"/>
        <v>4.9377074510967421E-2</v>
      </c>
      <c r="F24" s="37">
        <f t="shared" si="4"/>
        <v>0.13449429049050438</v>
      </c>
      <c r="G24" s="37">
        <f t="shared" si="4"/>
        <v>1.9761772804246271E-2</v>
      </c>
      <c r="K24" s="1"/>
    </row>
    <row r="25" spans="2:11" ht="15" customHeight="1">
      <c r="B25" s="16" t="s">
        <v>13</v>
      </c>
      <c r="C25" s="37">
        <f t="shared" si="4"/>
        <v>0.22187268816412026</v>
      </c>
      <c r="D25" s="21">
        <f t="shared" si="4"/>
        <v>8.4817326028528345E-2</v>
      </c>
      <c r="E25" s="21">
        <f t="shared" si="4"/>
        <v>8.256425543947972E-2</v>
      </c>
      <c r="F25" s="37">
        <f t="shared" si="4"/>
        <v>0.16738158146800805</v>
      </c>
      <c r="G25" s="37">
        <f t="shared" si="4"/>
        <v>0.15837819699284222</v>
      </c>
      <c r="K25" s="1"/>
    </row>
    <row r="26" spans="2:11" ht="15" customHeight="1">
      <c r="B26" s="5" t="s">
        <v>45</v>
      </c>
      <c r="C26" s="37">
        <f t="shared" si="4"/>
        <v>0.11851203956246256</v>
      </c>
      <c r="D26" s="21">
        <f t="shared" si="4"/>
        <v>8.2691835128425956E-2</v>
      </c>
      <c r="E26" s="21">
        <f t="shared" si="4"/>
        <v>2.9153407349694526E-2</v>
      </c>
      <c r="F26" s="37">
        <f t="shared" si="4"/>
        <v>0.11184524247812049</v>
      </c>
      <c r="G26" s="37">
        <f t="shared" si="4"/>
        <v>2.9487694001984397E-2</v>
      </c>
      <c r="K26" s="1"/>
    </row>
  </sheetData>
  <conditionalFormatting sqref="C16:C26">
    <cfRule type="cellIs" dxfId="23" priority="7" operator="between">
      <formula>10.5%</formula>
      <formula>15.49%</formula>
    </cfRule>
    <cfRule type="cellIs" dxfId="22" priority="8" operator="between">
      <formula>0</formula>
      <formula>0.1049</formula>
    </cfRule>
    <cfRule type="cellIs" dxfId="21" priority="9" operator="between">
      <formula>15.5%</formula>
      <formula>200%</formula>
    </cfRule>
  </conditionalFormatting>
  <conditionalFormatting sqref="F16:F26">
    <cfRule type="cellIs" dxfId="20" priority="4" operator="between">
      <formula>10.5%</formula>
      <formula>15.49%</formula>
    </cfRule>
    <cfRule type="cellIs" dxfId="19" priority="5" operator="between">
      <formula>0</formula>
      <formula>0.1049</formula>
    </cfRule>
    <cfRule type="cellIs" dxfId="18" priority="6" operator="between">
      <formula>15.5%</formula>
      <formula>200%</formula>
    </cfRule>
  </conditionalFormatting>
  <conditionalFormatting sqref="G16:G26">
    <cfRule type="cellIs" dxfId="17" priority="1" operator="between">
      <formula>10.5%</formula>
      <formula>15.49%</formula>
    </cfRule>
    <cfRule type="cellIs" dxfId="16" priority="2" operator="between">
      <formula>0</formula>
      <formula>0.1049</formula>
    </cfRule>
    <cfRule type="cellIs" dxfId="15" priority="3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showGridLines="0" zoomScaleNormal="100" workbookViewId="0">
      <selection activeCell="F3" sqref="F3"/>
    </sheetView>
  </sheetViews>
  <sheetFormatPr baseColWidth="10" defaultColWidth="11.59765625" defaultRowHeight="13.95" customHeight="1"/>
  <cols>
    <col min="1" max="1" width="6" style="1" customWidth="1"/>
    <col min="2" max="2" width="24.69921875" style="1" bestFit="1" customWidth="1"/>
    <col min="3" max="3" width="11.69921875" style="3" customWidth="1"/>
    <col min="4" max="7" width="10.69921875" style="3" bestFit="1" customWidth="1"/>
    <col min="8" max="9" width="13" style="3" bestFit="1" customWidth="1"/>
    <col min="10" max="11" width="13.8984375" style="3" bestFit="1" customWidth="1"/>
    <col min="12" max="12" width="15.09765625" style="1" bestFit="1" customWidth="1"/>
    <col min="13" max="16384" width="11.59765625" style="1"/>
  </cols>
  <sheetData>
    <row r="1" spans="2:12" ht="13.95" customHeight="1">
      <c r="C1" s="2">
        <f>1335</f>
        <v>1335</v>
      </c>
      <c r="G1" s="4"/>
    </row>
    <row r="2" spans="2:12" ht="24">
      <c r="B2" s="5" t="s">
        <v>0</v>
      </c>
      <c r="C2" s="6" t="s">
        <v>43</v>
      </c>
      <c r="D2" s="7" t="s">
        <v>1</v>
      </c>
      <c r="E2" s="6" t="s">
        <v>42</v>
      </c>
      <c r="F2" s="8" t="s">
        <v>41</v>
      </c>
      <c r="G2" s="7" t="s">
        <v>2</v>
      </c>
      <c r="H2" s="7" t="s">
        <v>3</v>
      </c>
      <c r="I2" s="8" t="s">
        <v>4</v>
      </c>
      <c r="L2" s="3"/>
    </row>
    <row r="3" spans="2:12" ht="15" customHeight="1">
      <c r="B3" s="7" t="s">
        <v>5</v>
      </c>
      <c r="C3" s="9">
        <v>49500000</v>
      </c>
      <c r="D3" s="10">
        <v>4973400</v>
      </c>
      <c r="E3" s="10">
        <f>C3*0.014293</f>
        <v>707503.5</v>
      </c>
      <c r="F3" s="11">
        <f>D3+E3</f>
        <v>5680903.5</v>
      </c>
      <c r="G3" s="12">
        <v>6875000</v>
      </c>
      <c r="H3" s="12">
        <v>515040.5</v>
      </c>
      <c r="I3" s="11">
        <f>G3+H3</f>
        <v>7390040.5</v>
      </c>
      <c r="K3" s="4"/>
      <c r="L3" s="3"/>
    </row>
    <row r="4" spans="2:12" ht="15" customHeight="1">
      <c r="B4" s="7" t="s">
        <v>6</v>
      </c>
      <c r="C4" s="9">
        <v>23500000</v>
      </c>
      <c r="D4" s="10">
        <v>3039300</v>
      </c>
      <c r="E4" s="10">
        <f>C4*0.014293</f>
        <v>335885.5</v>
      </c>
      <c r="F4" s="11">
        <f>D4+E4</f>
        <v>3375185.5</v>
      </c>
      <c r="G4" s="12">
        <v>1495384.831818182</v>
      </c>
      <c r="H4" s="12">
        <v>1912694.22</v>
      </c>
      <c r="I4" s="11">
        <f>G4+H4</f>
        <v>3408079.0518181818</v>
      </c>
      <c r="K4" s="4"/>
      <c r="L4" s="3"/>
    </row>
    <row r="5" spans="2:12" s="14" customFormat="1" ht="15" customHeight="1">
      <c r="B5" s="5" t="s">
        <v>8</v>
      </c>
      <c r="C5" s="13">
        <f t="shared" ref="C5:I5" si="0">SUM(C3:C4)</f>
        <v>73000000</v>
      </c>
      <c r="D5" s="13">
        <f t="shared" si="0"/>
        <v>8012700</v>
      </c>
      <c r="E5" s="13">
        <f t="shared" si="0"/>
        <v>1043389</v>
      </c>
      <c r="F5" s="13">
        <f t="shared" si="0"/>
        <v>9056089</v>
      </c>
      <c r="G5" s="13">
        <f t="shared" si="0"/>
        <v>8370384.831818182</v>
      </c>
      <c r="H5" s="13">
        <f t="shared" si="0"/>
        <v>2427734.7199999997</v>
      </c>
      <c r="I5" s="13">
        <f t="shared" si="0"/>
        <v>10798119.551818181</v>
      </c>
      <c r="J5" s="39"/>
      <c r="K5" s="39"/>
      <c r="L5" s="39"/>
    </row>
    <row r="6" spans="2:12" ht="15" customHeight="1">
      <c r="B6" s="7" t="s">
        <v>9</v>
      </c>
      <c r="C6" s="9">
        <v>36000000</v>
      </c>
      <c r="D6" s="10">
        <v>2947200</v>
      </c>
      <c r="E6" s="10">
        <f>C6*0.014293</f>
        <v>514548</v>
      </c>
      <c r="F6" s="11">
        <f>D6+E6</f>
        <v>3461748</v>
      </c>
      <c r="G6" s="12">
        <v>2268093.2231404963</v>
      </c>
      <c r="H6" s="15">
        <v>573285.05000000005</v>
      </c>
      <c r="I6" s="11">
        <f>G6+H6</f>
        <v>2841378.2731404966</v>
      </c>
      <c r="K6" s="4"/>
      <c r="L6" s="3"/>
    </row>
    <row r="7" spans="2:12" ht="15" customHeight="1">
      <c r="B7" s="7" t="s">
        <v>10</v>
      </c>
      <c r="C7" s="9">
        <v>17000000</v>
      </c>
      <c r="D7" s="10">
        <v>2394600</v>
      </c>
      <c r="E7" s="10">
        <f>C7*0.014293</f>
        <v>242981</v>
      </c>
      <c r="F7" s="11">
        <f>D7+E7</f>
        <v>2637581</v>
      </c>
      <c r="G7" s="12">
        <v>718564</v>
      </c>
      <c r="H7" s="15">
        <v>242602.21</v>
      </c>
      <c r="I7" s="11">
        <f>G7+H7</f>
        <v>961166.21</v>
      </c>
      <c r="K7" s="4"/>
      <c r="L7" s="3"/>
    </row>
    <row r="8" spans="2:12" s="14" customFormat="1" ht="15" customHeight="1">
      <c r="B8" s="5" t="s">
        <v>12</v>
      </c>
      <c r="C8" s="13">
        <f t="shared" ref="C8:I8" si="1">SUM(C6:C7)</f>
        <v>53000000</v>
      </c>
      <c r="D8" s="13">
        <f t="shared" si="1"/>
        <v>5341800</v>
      </c>
      <c r="E8" s="13">
        <f t="shared" si="1"/>
        <v>757529</v>
      </c>
      <c r="F8" s="13">
        <f t="shared" si="1"/>
        <v>6099329</v>
      </c>
      <c r="G8" s="13">
        <f t="shared" si="1"/>
        <v>2986657.2231404963</v>
      </c>
      <c r="H8" s="13">
        <f t="shared" si="1"/>
        <v>815887.26</v>
      </c>
      <c r="I8" s="13">
        <f t="shared" si="1"/>
        <v>3802544.4831404965</v>
      </c>
      <c r="J8" s="39"/>
      <c r="K8" s="39"/>
      <c r="L8" s="39"/>
    </row>
    <row r="9" spans="2:12" ht="15" hidden="1" customHeight="1">
      <c r="B9" s="7" t="s">
        <v>7</v>
      </c>
      <c r="C9" s="9">
        <v>4700000</v>
      </c>
      <c r="D9" s="10">
        <v>1823580</v>
      </c>
      <c r="E9" s="10">
        <f>C9*0.014293</f>
        <v>67177.100000000006</v>
      </c>
      <c r="F9" s="11">
        <f>D9+E9</f>
        <v>1890757.1</v>
      </c>
      <c r="G9" s="12">
        <v>599544</v>
      </c>
      <c r="H9" s="12">
        <v>328003.06</v>
      </c>
      <c r="I9" s="11">
        <f>G9+H9</f>
        <v>927547.06</v>
      </c>
      <c r="K9" s="4"/>
      <c r="L9" s="3"/>
    </row>
    <row r="10" spans="2:12" ht="15" hidden="1" customHeight="1">
      <c r="B10" s="7" t="s">
        <v>11</v>
      </c>
      <c r="C10" s="9">
        <v>11500000</v>
      </c>
      <c r="D10" s="10">
        <v>2210400</v>
      </c>
      <c r="E10" s="10">
        <f>C10*0.014293</f>
        <v>164369.5</v>
      </c>
      <c r="F10" s="11">
        <f>D10+E10</f>
        <v>2374769.5</v>
      </c>
      <c r="G10" s="12">
        <v>897405.7851239671</v>
      </c>
      <c r="H10" s="15">
        <v>573285.05000000005</v>
      </c>
      <c r="I10" s="11">
        <f>G10+H10</f>
        <v>1470690.8351239671</v>
      </c>
      <c r="K10" s="4"/>
      <c r="L10" s="3"/>
    </row>
    <row r="11" spans="2:12" s="14" customFormat="1" ht="15" customHeight="1">
      <c r="B11" s="5" t="s">
        <v>44</v>
      </c>
      <c r="C11" s="13">
        <f>SUM(C9:C10)</f>
        <v>16200000</v>
      </c>
      <c r="D11" s="13">
        <f t="shared" ref="D11:I11" si="2">SUM(D9:D10)</f>
        <v>4033980</v>
      </c>
      <c r="E11" s="13">
        <f t="shared" si="2"/>
        <v>231546.6</v>
      </c>
      <c r="F11" s="13">
        <f t="shared" si="2"/>
        <v>4265526.5999999996</v>
      </c>
      <c r="G11" s="13">
        <f t="shared" si="2"/>
        <v>1496949.7851239671</v>
      </c>
      <c r="H11" s="13">
        <f t="shared" si="2"/>
        <v>901288.1100000001</v>
      </c>
      <c r="I11" s="13">
        <f t="shared" si="2"/>
        <v>2398237.895123967</v>
      </c>
      <c r="J11" s="39"/>
      <c r="K11" s="39"/>
      <c r="L11" s="39"/>
    </row>
    <row r="12" spans="2:12" ht="15" customHeight="1">
      <c r="B12" s="16" t="s">
        <v>13</v>
      </c>
      <c r="C12" s="9">
        <v>16000000</v>
      </c>
      <c r="D12" s="17">
        <v>2947200</v>
      </c>
      <c r="E12" s="10">
        <f>C12*0.014293</f>
        <v>228688</v>
      </c>
      <c r="F12" s="18">
        <f>D12+E12</f>
        <v>3175888</v>
      </c>
      <c r="G12" s="9">
        <v>1085858.1818181819</v>
      </c>
      <c r="H12" s="9">
        <v>1146570.01</v>
      </c>
      <c r="I12" s="18">
        <f>G12+H12</f>
        <v>2232428.1918181819</v>
      </c>
      <c r="K12" s="4"/>
      <c r="L12" s="3"/>
    </row>
    <row r="13" spans="2:12" ht="15" customHeight="1">
      <c r="B13" s="5" t="s">
        <v>45</v>
      </c>
      <c r="C13" s="13">
        <f>+C5+C8+C11+C12</f>
        <v>158200000</v>
      </c>
      <c r="D13" s="13">
        <f t="shared" ref="D13:I13" si="3">+D5+D8+D11+D12</f>
        <v>20335680</v>
      </c>
      <c r="E13" s="13">
        <f t="shared" si="3"/>
        <v>2261152.6</v>
      </c>
      <c r="F13" s="13">
        <f t="shared" si="3"/>
        <v>22596832.600000001</v>
      </c>
      <c r="G13" s="13">
        <f t="shared" si="3"/>
        <v>13939850.021900827</v>
      </c>
      <c r="H13" s="13">
        <f t="shared" si="3"/>
        <v>5291480.0999999996</v>
      </c>
      <c r="I13" s="13">
        <f t="shared" si="3"/>
        <v>19231330.121900827</v>
      </c>
      <c r="K13" s="40"/>
    </row>
    <row r="14" spans="2:12" ht="15" customHeight="1">
      <c r="B14" s="19"/>
      <c r="C14" s="20"/>
      <c r="D14" s="20"/>
      <c r="E14" s="20"/>
      <c r="F14" s="20"/>
      <c r="G14" s="20"/>
      <c r="H14" s="20"/>
      <c r="I14" s="20"/>
    </row>
    <row r="15" spans="2:12" ht="24">
      <c r="B15" s="5" t="s">
        <v>0</v>
      </c>
      <c r="C15" s="7" t="s">
        <v>1</v>
      </c>
      <c r="D15" s="6" t="s">
        <v>42</v>
      </c>
      <c r="E15" s="8" t="s">
        <v>41</v>
      </c>
      <c r="F15" s="7" t="s">
        <v>2</v>
      </c>
      <c r="G15" s="7" t="s">
        <v>3</v>
      </c>
      <c r="H15" s="8" t="s">
        <v>4</v>
      </c>
      <c r="I15" s="20"/>
      <c r="K15" s="1"/>
    </row>
    <row r="16" spans="2:12" ht="15" customHeight="1">
      <c r="B16" s="7" t="s">
        <v>5</v>
      </c>
      <c r="C16" s="38">
        <f t="shared" ref="C16:H16" si="4">D3/$C3</f>
        <v>0.10047272727272727</v>
      </c>
      <c r="D16" s="38">
        <f t="shared" si="4"/>
        <v>1.4293E-2</v>
      </c>
      <c r="E16" s="37">
        <f t="shared" si="4"/>
        <v>0.11476572727272727</v>
      </c>
      <c r="F16" s="21">
        <f t="shared" si="4"/>
        <v>0.1388888888888889</v>
      </c>
      <c r="G16" s="21">
        <f t="shared" si="4"/>
        <v>1.0404858585858585E-2</v>
      </c>
      <c r="H16" s="37">
        <f t="shared" si="4"/>
        <v>0.14929374747474747</v>
      </c>
      <c r="I16" s="20"/>
      <c r="K16" s="1"/>
    </row>
    <row r="17" spans="2:11" ht="15" customHeight="1">
      <c r="B17" s="7" t="s">
        <v>6</v>
      </c>
      <c r="C17" s="38">
        <f t="shared" ref="C17:H17" si="5">D4/$C4</f>
        <v>0.12933191489361703</v>
      </c>
      <c r="D17" s="38">
        <f t="shared" si="5"/>
        <v>1.4293E-2</v>
      </c>
      <c r="E17" s="37">
        <f t="shared" si="5"/>
        <v>0.14362491489361703</v>
      </c>
      <c r="F17" s="21">
        <f t="shared" si="5"/>
        <v>6.3633397098646044E-2</v>
      </c>
      <c r="G17" s="21">
        <f t="shared" si="5"/>
        <v>8.1391243404255312E-2</v>
      </c>
      <c r="H17" s="37">
        <f t="shared" si="5"/>
        <v>0.14502464050290134</v>
      </c>
      <c r="I17" s="20"/>
      <c r="K17" s="1"/>
    </row>
    <row r="18" spans="2:11" ht="15" customHeight="1">
      <c r="B18" s="5" t="s">
        <v>8</v>
      </c>
      <c r="C18" s="38">
        <f t="shared" ref="C18:H18" si="6">D5/$C5</f>
        <v>0.10976301369863013</v>
      </c>
      <c r="D18" s="38">
        <f t="shared" si="6"/>
        <v>1.4293E-2</v>
      </c>
      <c r="E18" s="37">
        <f t="shared" si="6"/>
        <v>0.12405601369863013</v>
      </c>
      <c r="F18" s="21">
        <f t="shared" si="6"/>
        <v>0.11466280591531756</v>
      </c>
      <c r="G18" s="21">
        <f t="shared" si="6"/>
        <v>3.3256639999999997E-2</v>
      </c>
      <c r="H18" s="37">
        <f t="shared" si="6"/>
        <v>0.14791944591531755</v>
      </c>
      <c r="I18" s="20"/>
      <c r="K18" s="1"/>
    </row>
    <row r="19" spans="2:11" ht="15" customHeight="1">
      <c r="B19" s="7" t="s">
        <v>9</v>
      </c>
      <c r="C19" s="38">
        <f t="shared" ref="C19:H19" si="7">D6/$C6</f>
        <v>8.1866666666666671E-2</v>
      </c>
      <c r="D19" s="38">
        <f t="shared" si="7"/>
        <v>1.4293E-2</v>
      </c>
      <c r="E19" s="37">
        <f t="shared" si="7"/>
        <v>9.6159666666666671E-2</v>
      </c>
      <c r="F19" s="21">
        <f t="shared" si="7"/>
        <v>6.3002589531680447E-2</v>
      </c>
      <c r="G19" s="21">
        <f t="shared" si="7"/>
        <v>1.5924584722222225E-2</v>
      </c>
      <c r="H19" s="37">
        <f t="shared" si="7"/>
        <v>7.8927174253902679E-2</v>
      </c>
      <c r="I19" s="20"/>
      <c r="K19" s="1"/>
    </row>
    <row r="20" spans="2:11" ht="15" customHeight="1">
      <c r="B20" s="7" t="s">
        <v>10</v>
      </c>
      <c r="C20" s="38">
        <f t="shared" ref="C20:H20" si="8">D7/$C7</f>
        <v>0.14085882352941176</v>
      </c>
      <c r="D20" s="38">
        <f t="shared" si="8"/>
        <v>1.4293E-2</v>
      </c>
      <c r="E20" s="37">
        <f t="shared" si="8"/>
        <v>0.15515182352941176</v>
      </c>
      <c r="F20" s="21">
        <f t="shared" si="8"/>
        <v>4.2268470588235296E-2</v>
      </c>
      <c r="G20" s="21">
        <f t="shared" si="8"/>
        <v>1.4270718235294117E-2</v>
      </c>
      <c r="H20" s="37">
        <f t="shared" si="8"/>
        <v>5.6539188823529409E-2</v>
      </c>
      <c r="I20" s="20"/>
      <c r="K20" s="1"/>
    </row>
    <row r="21" spans="2:11" ht="15" customHeight="1">
      <c r="B21" s="5" t="s">
        <v>12</v>
      </c>
      <c r="C21" s="38">
        <f t="shared" ref="C21:H21" si="9">D8/$C8</f>
        <v>0.10078867924528302</v>
      </c>
      <c r="D21" s="38">
        <f t="shared" si="9"/>
        <v>1.4293E-2</v>
      </c>
      <c r="E21" s="37">
        <f t="shared" si="9"/>
        <v>0.11508167924528302</v>
      </c>
      <c r="F21" s="21">
        <f t="shared" si="9"/>
        <v>5.6352023078122572E-2</v>
      </c>
      <c r="G21" s="21">
        <f t="shared" si="9"/>
        <v>1.5394099245283019E-2</v>
      </c>
      <c r="H21" s="37">
        <f t="shared" si="9"/>
        <v>7.1746122323405589E-2</v>
      </c>
      <c r="I21" s="20"/>
      <c r="K21" s="1"/>
    </row>
    <row r="22" spans="2:11" ht="15" hidden="1" customHeight="1">
      <c r="B22" s="7" t="s">
        <v>7</v>
      </c>
      <c r="C22" s="38">
        <f t="shared" ref="C22:H22" si="10">D9/$C9</f>
        <v>0.38799574468085107</v>
      </c>
      <c r="D22" s="38">
        <f t="shared" si="10"/>
        <v>1.4293000000000002E-2</v>
      </c>
      <c r="E22" s="37">
        <f t="shared" si="10"/>
        <v>0.40228874468085107</v>
      </c>
      <c r="F22" s="21">
        <f t="shared" si="10"/>
        <v>0.12756255319148938</v>
      </c>
      <c r="G22" s="21">
        <f t="shared" si="10"/>
        <v>6.978788510638298E-2</v>
      </c>
      <c r="H22" s="37">
        <f t="shared" si="10"/>
        <v>0.19735043829787235</v>
      </c>
      <c r="I22" s="20"/>
      <c r="K22" s="1"/>
    </row>
    <row r="23" spans="2:11" ht="15" hidden="1" customHeight="1">
      <c r="B23" s="7" t="s">
        <v>11</v>
      </c>
      <c r="C23" s="38">
        <f t="shared" ref="C23:H23" si="11">D10/$C10</f>
        <v>0.19220869565217391</v>
      </c>
      <c r="D23" s="38">
        <f t="shared" si="11"/>
        <v>1.4293E-2</v>
      </c>
      <c r="E23" s="37">
        <f t="shared" si="11"/>
        <v>0.20650169565217391</v>
      </c>
      <c r="F23" s="21">
        <f t="shared" si="11"/>
        <v>7.803528566295366E-2</v>
      </c>
      <c r="G23" s="21">
        <f t="shared" si="11"/>
        <v>4.9850873913043485E-2</v>
      </c>
      <c r="H23" s="37">
        <f t="shared" si="11"/>
        <v>0.12788615957599714</v>
      </c>
      <c r="I23" s="20"/>
      <c r="K23" s="1"/>
    </row>
    <row r="24" spans="2:11" ht="15" customHeight="1">
      <c r="B24" s="5" t="s">
        <v>44</v>
      </c>
      <c r="C24" s="38">
        <f t="shared" ref="C24:H24" si="12">D11/$C11</f>
        <v>0.2490111111111111</v>
      </c>
      <c r="D24" s="38">
        <f t="shared" si="12"/>
        <v>1.4293E-2</v>
      </c>
      <c r="E24" s="37">
        <f t="shared" si="12"/>
        <v>0.26330411111111107</v>
      </c>
      <c r="F24" s="21">
        <f t="shared" si="12"/>
        <v>9.2404307723701673E-2</v>
      </c>
      <c r="G24" s="21">
        <f t="shared" si="12"/>
        <v>5.5635068518518523E-2</v>
      </c>
      <c r="H24" s="37">
        <f t="shared" si="12"/>
        <v>0.14803937624222019</v>
      </c>
      <c r="I24" s="20"/>
      <c r="K24" s="1"/>
    </row>
    <row r="25" spans="2:11" ht="15" customHeight="1">
      <c r="B25" s="16" t="s">
        <v>13</v>
      </c>
      <c r="C25" s="38">
        <f t="shared" ref="C25:H25" si="13">D12/$C12</f>
        <v>0.1842</v>
      </c>
      <c r="D25" s="38">
        <f t="shared" si="13"/>
        <v>1.4293E-2</v>
      </c>
      <c r="E25" s="37">
        <f t="shared" si="13"/>
        <v>0.198493</v>
      </c>
      <c r="F25" s="21">
        <f t="shared" si="13"/>
        <v>6.7866136363636365E-2</v>
      </c>
      <c r="G25" s="21">
        <f t="shared" si="13"/>
        <v>7.1660625625000002E-2</v>
      </c>
      <c r="H25" s="37">
        <f t="shared" si="13"/>
        <v>0.13952676198863637</v>
      </c>
      <c r="I25" s="20"/>
      <c r="K25" s="1"/>
    </row>
    <row r="26" spans="2:11" ht="15" customHeight="1">
      <c r="B26" s="5" t="s">
        <v>45</v>
      </c>
      <c r="C26" s="38">
        <f t="shared" ref="C26:H26" si="14">D13/$C13</f>
        <v>0.12854412136536031</v>
      </c>
      <c r="D26" s="38">
        <f t="shared" si="14"/>
        <v>1.4293E-2</v>
      </c>
      <c r="E26" s="37">
        <f t="shared" si="14"/>
        <v>0.14283712136536031</v>
      </c>
      <c r="F26" s="21">
        <f t="shared" si="14"/>
        <v>8.811536044185099E-2</v>
      </c>
      <c r="G26" s="21">
        <f t="shared" si="14"/>
        <v>3.3448041087231352E-2</v>
      </c>
      <c r="H26" s="37">
        <f t="shared" si="14"/>
        <v>0.12156340152908235</v>
      </c>
      <c r="I26" s="20"/>
      <c r="K26" s="1"/>
    </row>
  </sheetData>
  <conditionalFormatting sqref="E16:E26">
    <cfRule type="cellIs" dxfId="14" priority="4" operator="between">
      <formula>10.5%</formula>
      <formula>15.49%</formula>
    </cfRule>
    <cfRule type="cellIs" dxfId="13" priority="5" operator="between">
      <formula>0</formula>
      <formula>0.1049</formula>
    </cfRule>
    <cfRule type="cellIs" dxfId="12" priority="6" operator="between">
      <formula>15.5%</formula>
      <formula>200%</formula>
    </cfRule>
  </conditionalFormatting>
  <conditionalFormatting sqref="H16:H26">
    <cfRule type="cellIs" dxfId="11" priority="1" operator="between">
      <formula>10.5%</formula>
      <formula>15.49%</formula>
    </cfRule>
    <cfRule type="cellIs" dxfId="10" priority="2" operator="between">
      <formula>0</formula>
      <formula>0.1049</formula>
    </cfRule>
    <cfRule type="cellIs" dxfId="9" priority="3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C3:I11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showGridLines="0" zoomScaleNormal="100" workbookViewId="0">
      <selection activeCell="F1" sqref="F1"/>
    </sheetView>
  </sheetViews>
  <sheetFormatPr baseColWidth="10" defaultColWidth="11.59765625" defaultRowHeight="13.95" customHeight="1"/>
  <cols>
    <col min="1" max="1" width="5.69921875" style="1" customWidth="1"/>
    <col min="2" max="2" width="20.3984375" style="1" bestFit="1" customWidth="1"/>
    <col min="3" max="4" width="10.59765625" style="3" bestFit="1" customWidth="1"/>
    <col min="5" max="5" width="9.69921875" style="3" bestFit="1" customWidth="1"/>
    <col min="6" max="6" width="10.296875" style="3" bestFit="1" customWidth="1"/>
    <col min="7" max="7" width="10.59765625" style="3" bestFit="1" customWidth="1"/>
    <col min="8" max="8" width="10.296875" style="3" bestFit="1" customWidth="1"/>
    <col min="9" max="9" width="5.69921875" style="3" customWidth="1"/>
    <col min="10" max="10" width="20.59765625" style="3" customWidth="1"/>
    <col min="11" max="11" width="15.09765625" style="1" customWidth="1"/>
    <col min="12" max="16384" width="11.59765625" style="1"/>
  </cols>
  <sheetData>
    <row r="1" spans="2:14" ht="13.95" customHeight="1">
      <c r="C1" s="2">
        <f>1335</f>
        <v>1335</v>
      </c>
      <c r="F1" s="12"/>
      <c r="G1" s="4"/>
      <c r="J1" s="28" t="s">
        <v>36</v>
      </c>
    </row>
    <row r="2" spans="2:14" ht="36">
      <c r="B2" s="5" t="s">
        <v>0</v>
      </c>
      <c r="C2" s="6" t="s">
        <v>14</v>
      </c>
      <c r="D2" s="7" t="s">
        <v>1</v>
      </c>
      <c r="E2" s="7" t="s">
        <v>2</v>
      </c>
      <c r="F2" s="7" t="s">
        <v>3</v>
      </c>
      <c r="G2" s="8" t="s">
        <v>4</v>
      </c>
      <c r="H2" s="7" t="s">
        <v>15</v>
      </c>
      <c r="J2" s="5" t="s">
        <v>0</v>
      </c>
      <c r="K2" s="6" t="s">
        <v>14</v>
      </c>
      <c r="L2" s="7" t="s">
        <v>1</v>
      </c>
      <c r="M2" s="6" t="s">
        <v>35</v>
      </c>
      <c r="N2" s="7" t="s">
        <v>15</v>
      </c>
    </row>
    <row r="3" spans="2:14" ht="15" customHeight="1">
      <c r="B3" s="7" t="s">
        <v>5</v>
      </c>
      <c r="C3" s="9">
        <v>45735238.490000002</v>
      </c>
      <c r="D3" s="10">
        <v>5359007</v>
      </c>
      <c r="E3" s="12">
        <v>6550000</v>
      </c>
      <c r="F3" s="12">
        <v>407740.5</v>
      </c>
      <c r="G3" s="11">
        <f>E3+F3</f>
        <v>6957740.5</v>
      </c>
      <c r="H3" s="12">
        <v>1845033.0699999998</v>
      </c>
      <c r="I3" s="36"/>
      <c r="J3" s="7" t="s">
        <v>5</v>
      </c>
      <c r="K3" s="9"/>
      <c r="L3" s="10"/>
      <c r="M3" s="11"/>
      <c r="N3" s="12"/>
    </row>
    <row r="4" spans="2:14" ht="15" customHeight="1">
      <c r="B4" s="7" t="s">
        <v>6</v>
      </c>
      <c r="C4" s="9">
        <v>21770315.739999998</v>
      </c>
      <c r="D4" s="10">
        <v>3174723.0137748914</v>
      </c>
      <c r="E4" s="12">
        <v>1299988.6000000001</v>
      </c>
      <c r="F4" s="12">
        <v>1901854.12</v>
      </c>
      <c r="G4" s="11">
        <f>E4+F4</f>
        <v>3201842.72</v>
      </c>
      <c r="H4" s="12">
        <v>509583.35</v>
      </c>
      <c r="I4" s="36"/>
      <c r="J4" s="7" t="s">
        <v>6</v>
      </c>
      <c r="K4" s="9"/>
      <c r="L4" s="10"/>
      <c r="M4" s="10"/>
      <c r="N4" s="12"/>
    </row>
    <row r="5" spans="2:14" ht="15" customHeight="1">
      <c r="B5" s="7" t="s">
        <v>7</v>
      </c>
      <c r="C5" s="9">
        <v>4168817.5</v>
      </c>
      <c r="D5" s="10">
        <v>1914315.8043718264</v>
      </c>
      <c r="E5" s="12">
        <v>599275.1</v>
      </c>
      <c r="F5" s="12">
        <v>328003.06</v>
      </c>
      <c r="G5" s="11">
        <f>E5+F5</f>
        <v>927278.15999999992</v>
      </c>
      <c r="H5" s="12">
        <v>315055</v>
      </c>
      <c r="I5" s="36"/>
      <c r="J5" s="7" t="s">
        <v>7</v>
      </c>
      <c r="K5" s="9"/>
      <c r="L5" s="10"/>
      <c r="M5" s="11"/>
      <c r="N5" s="12"/>
    </row>
    <row r="6" spans="2:14" s="14" customFormat="1" ht="15" customHeight="1">
      <c r="B6" s="5" t="s">
        <v>8</v>
      </c>
      <c r="C6" s="13">
        <f t="shared" ref="C6:D6" si="0">SUM(C3:C5)</f>
        <v>71674371.730000004</v>
      </c>
      <c r="D6" s="13">
        <f t="shared" si="0"/>
        <v>10448045.818146717</v>
      </c>
      <c r="E6" s="13">
        <f>SUM(E3:E5)</f>
        <v>8449263.6999999993</v>
      </c>
      <c r="F6" s="13">
        <f>SUM(F3:F5)</f>
        <v>2637597.6800000002</v>
      </c>
      <c r="G6" s="13">
        <f>SUM(G3:G5)</f>
        <v>11086861.380000001</v>
      </c>
      <c r="H6" s="13">
        <f t="shared" ref="H6" si="1">SUM(H3:H5)</f>
        <v>2669671.42</v>
      </c>
      <c r="I6" s="36"/>
      <c r="J6" s="5" t="s">
        <v>8</v>
      </c>
      <c r="K6" s="13"/>
      <c r="L6" s="13"/>
      <c r="M6" s="11"/>
      <c r="N6" s="13"/>
    </row>
    <row r="7" spans="2:14" ht="15" customHeight="1">
      <c r="B7" s="7" t="s">
        <v>9</v>
      </c>
      <c r="C7" s="9">
        <v>34037279.990000002</v>
      </c>
      <c r="D7" s="10">
        <v>3084694.6996290316</v>
      </c>
      <c r="E7" s="12">
        <v>1741513.44</v>
      </c>
      <c r="F7" s="15">
        <v>573285.05000000005</v>
      </c>
      <c r="G7" s="11">
        <f>E7+F7</f>
        <v>2314798.4900000002</v>
      </c>
      <c r="H7" s="15">
        <v>276404.91000000003</v>
      </c>
      <c r="I7" s="36"/>
      <c r="J7" s="7" t="s">
        <v>9</v>
      </c>
      <c r="K7" s="9"/>
      <c r="L7" s="10"/>
      <c r="M7" s="11"/>
      <c r="N7" s="15"/>
    </row>
    <row r="8" spans="2:14" ht="15" customHeight="1">
      <c r="B8" s="7" t="s">
        <v>10</v>
      </c>
      <c r="C8" s="9">
        <v>16141623</v>
      </c>
      <c r="D8" s="10">
        <v>2609720.2241289611</v>
      </c>
      <c r="E8" s="12">
        <v>667200</v>
      </c>
      <c r="F8" s="15">
        <v>242602.21</v>
      </c>
      <c r="G8" s="11">
        <f>E8+F8</f>
        <v>909802.21</v>
      </c>
      <c r="H8" s="15">
        <v>462502.76</v>
      </c>
      <c r="I8" s="36"/>
      <c r="J8" s="7" t="s">
        <v>10</v>
      </c>
      <c r="K8" s="9"/>
      <c r="L8" s="10"/>
      <c r="M8" s="11"/>
      <c r="N8" s="15"/>
    </row>
    <row r="9" spans="2:14" ht="15" customHeight="1">
      <c r="B9" s="7" t="s">
        <v>11</v>
      </c>
      <c r="C9" s="9">
        <v>10898600.01</v>
      </c>
      <c r="D9" s="10">
        <v>2415229.7584741502</v>
      </c>
      <c r="E9" s="12">
        <v>887700</v>
      </c>
      <c r="F9" s="15">
        <v>573285.05000000005</v>
      </c>
      <c r="G9" s="11">
        <f>E9+F9</f>
        <v>1460985.05</v>
      </c>
      <c r="H9" s="15">
        <v>444315.8</v>
      </c>
      <c r="I9" s="36"/>
      <c r="J9" s="7" t="s">
        <v>11</v>
      </c>
      <c r="K9" s="9"/>
      <c r="L9" s="10"/>
      <c r="M9" s="11"/>
      <c r="N9" s="15"/>
    </row>
    <row r="10" spans="2:14" s="14" customFormat="1" ht="15" customHeight="1">
      <c r="B10" s="5" t="s">
        <v>12</v>
      </c>
      <c r="C10" s="13">
        <f t="shared" ref="C10:D10" si="2">SUM(C7:C9)</f>
        <v>61077503</v>
      </c>
      <c r="D10" s="13">
        <f t="shared" si="2"/>
        <v>8109644.6822321434</v>
      </c>
      <c r="E10" s="13">
        <f>SUM(E7:E9)</f>
        <v>3296413.44</v>
      </c>
      <c r="F10" s="13">
        <f>SUM(F7:F9)</f>
        <v>1389172.31</v>
      </c>
      <c r="G10" s="13">
        <f>SUM(G7:G9)</f>
        <v>4685585.75</v>
      </c>
      <c r="H10" s="13">
        <f t="shared" ref="H10" si="3">SUM(H7:H9)</f>
        <v>1183223.47</v>
      </c>
      <c r="I10" s="36"/>
      <c r="J10" s="5" t="s">
        <v>12</v>
      </c>
      <c r="K10" s="13"/>
      <c r="L10" s="13"/>
      <c r="M10" s="13"/>
      <c r="N10" s="13"/>
    </row>
    <row r="11" spans="2:14" ht="15" customHeight="1">
      <c r="B11" s="16" t="s">
        <v>13</v>
      </c>
      <c r="C11" s="9">
        <v>14676490.01</v>
      </c>
      <c r="D11" s="17">
        <v>3434064.9233333329</v>
      </c>
      <c r="E11" s="9">
        <v>1569764.97</v>
      </c>
      <c r="F11" s="9">
        <v>1146570.01</v>
      </c>
      <c r="G11" s="18">
        <f>E11+F11</f>
        <v>2716334.98</v>
      </c>
      <c r="H11" s="25">
        <v>2895999.95</v>
      </c>
      <c r="I11" s="36"/>
      <c r="J11" s="16" t="s">
        <v>13</v>
      </c>
      <c r="K11" s="9"/>
      <c r="L11" s="17"/>
      <c r="M11" s="18"/>
      <c r="N11" s="25"/>
    </row>
    <row r="12" spans="2:14" ht="15" customHeight="1">
      <c r="B12" s="19"/>
      <c r="C12" s="20"/>
      <c r="D12" s="20"/>
      <c r="E12" s="20"/>
      <c r="F12" s="20"/>
      <c r="G12" s="20"/>
      <c r="H12" s="20"/>
      <c r="I12" s="20"/>
    </row>
    <row r="13" spans="2:14" ht="36">
      <c r="B13" s="5" t="s">
        <v>0</v>
      </c>
      <c r="C13" s="7" t="s">
        <v>1</v>
      </c>
      <c r="D13" s="7" t="s">
        <v>2</v>
      </c>
      <c r="E13" s="7" t="s">
        <v>3</v>
      </c>
      <c r="F13" s="8" t="s">
        <v>4</v>
      </c>
      <c r="G13" s="8" t="s">
        <v>15</v>
      </c>
      <c r="K13" s="7" t="s">
        <v>38</v>
      </c>
      <c r="L13" s="7" t="s">
        <v>39</v>
      </c>
      <c r="M13" s="7" t="s">
        <v>40</v>
      </c>
    </row>
    <row r="14" spans="2:14" ht="15" customHeight="1">
      <c r="B14" s="7" t="s">
        <v>5</v>
      </c>
      <c r="C14" s="33">
        <f t="shared" ref="C14:C22" si="4">D3/$C3</f>
        <v>0.11717457210093581</v>
      </c>
      <c r="D14" s="21">
        <f t="shared" ref="D14:G22" si="5">E3/$C3</f>
        <v>0.14321560827614699</v>
      </c>
      <c r="E14" s="21">
        <f t="shared" si="5"/>
        <v>8.9152372101252379E-3</v>
      </c>
      <c r="F14" s="33">
        <f t="shared" si="5"/>
        <v>0.1521308454862722</v>
      </c>
      <c r="G14" s="33">
        <f t="shared" si="5"/>
        <v>4.0341608154146079E-2</v>
      </c>
      <c r="J14" s="7" t="s">
        <v>37</v>
      </c>
      <c r="K14" s="15">
        <f>SUM(K15:K17)</f>
        <v>21671969.41</v>
      </c>
      <c r="L14" s="15">
        <f>SUM(L15:L17)</f>
        <v>21991755.423712194</v>
      </c>
      <c r="M14" s="23">
        <f>L14/K14-1</f>
        <v>1.4755743128939569E-2</v>
      </c>
    </row>
    <row r="15" spans="2:14" ht="15" customHeight="1">
      <c r="B15" s="7" t="s">
        <v>6</v>
      </c>
      <c r="C15" s="33">
        <f t="shared" si="4"/>
        <v>0.14582806476902715</v>
      </c>
      <c r="D15" s="21">
        <f t="shared" si="5"/>
        <v>5.9713814697296634E-2</v>
      </c>
      <c r="E15" s="21">
        <f t="shared" si="5"/>
        <v>8.7359969543556112E-2</v>
      </c>
      <c r="F15" s="33">
        <f t="shared" si="5"/>
        <v>0.14707378424085274</v>
      </c>
      <c r="G15" s="33">
        <f t="shared" si="5"/>
        <v>2.3407255828803153E-2</v>
      </c>
      <c r="J15" s="7" t="s">
        <v>8</v>
      </c>
      <c r="K15" s="15">
        <v>10350791.359999999</v>
      </c>
      <c r="L15" s="15">
        <v>10448045.818146717</v>
      </c>
      <c r="M15" s="23">
        <f t="shared" ref="M15:M17" si="6">L15/K15-1</f>
        <v>9.3958475989142087E-3</v>
      </c>
    </row>
    <row r="16" spans="2:14" ht="15" customHeight="1">
      <c r="B16" s="7" t="s">
        <v>7</v>
      </c>
      <c r="C16" s="33">
        <f t="shared" si="4"/>
        <v>0.45919875465208693</v>
      </c>
      <c r="D16" s="21">
        <f t="shared" si="5"/>
        <v>0.14375181931087172</v>
      </c>
      <c r="E16" s="21">
        <f t="shared" si="5"/>
        <v>7.8680119722199404E-2</v>
      </c>
      <c r="F16" s="33">
        <f t="shared" si="5"/>
        <v>0.2224319390330711</v>
      </c>
      <c r="G16" s="33">
        <f t="shared" si="5"/>
        <v>7.5574188603842699E-2</v>
      </c>
      <c r="J16" s="7" t="s">
        <v>12</v>
      </c>
      <c r="K16" s="15">
        <v>8010446.9900000002</v>
      </c>
      <c r="L16" s="15">
        <v>8109644.6822321434</v>
      </c>
      <c r="M16" s="23">
        <f t="shared" si="6"/>
        <v>1.2383540188953157E-2</v>
      </c>
    </row>
    <row r="17" spans="2:13" ht="15" customHeight="1">
      <c r="B17" s="5" t="s">
        <v>8</v>
      </c>
      <c r="C17" s="34">
        <f t="shared" si="4"/>
        <v>0.14577101362680778</v>
      </c>
      <c r="D17" s="22">
        <f t="shared" si="5"/>
        <v>0.11788402878268242</v>
      </c>
      <c r="E17" s="22">
        <f t="shared" si="5"/>
        <v>3.6799732126511379E-2</v>
      </c>
      <c r="F17" s="34">
        <f t="shared" si="5"/>
        <v>0.15468376090919381</v>
      </c>
      <c r="G17" s="34">
        <f t="shared" si="5"/>
        <v>3.7247224573613992E-2</v>
      </c>
      <c r="J17" s="7" t="s">
        <v>13</v>
      </c>
      <c r="K17" s="15">
        <v>3310731.0599999996</v>
      </c>
      <c r="L17" s="15">
        <v>3434064.9233333329</v>
      </c>
      <c r="M17" s="23">
        <f t="shared" si="6"/>
        <v>3.7252758106341988E-2</v>
      </c>
    </row>
    <row r="18" spans="2:13" ht="15" customHeight="1">
      <c r="B18" s="7" t="s">
        <v>9</v>
      </c>
      <c r="C18" s="33">
        <f t="shared" si="4"/>
        <v>9.0626944941995982E-2</v>
      </c>
      <c r="D18" s="21">
        <f t="shared" si="5"/>
        <v>5.1164882755368485E-2</v>
      </c>
      <c r="E18" s="23">
        <f t="shared" si="5"/>
        <v>1.6842857307294491E-2</v>
      </c>
      <c r="F18" s="33">
        <f t="shared" si="5"/>
        <v>6.8007740062662983E-2</v>
      </c>
      <c r="G18" s="33">
        <f t="shared" si="5"/>
        <v>8.1206521226492405E-3</v>
      </c>
      <c r="J18" s="35"/>
    </row>
    <row r="19" spans="2:13" ht="15" customHeight="1">
      <c r="B19" s="7" t="s">
        <v>10</v>
      </c>
      <c r="C19" s="33">
        <f t="shared" si="4"/>
        <v>0.16167644505939466</v>
      </c>
      <c r="D19" s="21">
        <f t="shared" si="5"/>
        <v>4.1334133500701878E-2</v>
      </c>
      <c r="E19" s="23">
        <f t="shared" si="5"/>
        <v>1.5029604519942015E-2</v>
      </c>
      <c r="F19" s="33">
        <f t="shared" si="5"/>
        <v>5.6363738020643893E-2</v>
      </c>
      <c r="G19" s="33">
        <f t="shared" si="5"/>
        <v>2.8652803996227643E-2</v>
      </c>
    </row>
    <row r="20" spans="2:13" ht="15" customHeight="1">
      <c r="B20" s="7" t="s">
        <v>11</v>
      </c>
      <c r="C20" s="33">
        <f t="shared" si="4"/>
        <v>0.22160917514708847</v>
      </c>
      <c r="D20" s="21">
        <f t="shared" si="5"/>
        <v>8.1450828472050693E-2</v>
      </c>
      <c r="E20" s="23">
        <f t="shared" si="5"/>
        <v>5.2601714850896715E-2</v>
      </c>
      <c r="F20" s="33">
        <f t="shared" si="5"/>
        <v>0.13405254332294742</v>
      </c>
      <c r="G20" s="33">
        <f t="shared" si="5"/>
        <v>4.0768153670408903E-2</v>
      </c>
    </row>
    <row r="21" spans="2:13" ht="15" customHeight="1">
      <c r="B21" s="5" t="s">
        <v>12</v>
      </c>
      <c r="C21" s="34">
        <f t="shared" si="4"/>
        <v>0.13277629706362001</v>
      </c>
      <c r="D21" s="22">
        <f t="shared" si="5"/>
        <v>5.3970992232606499E-2</v>
      </c>
      <c r="E21" s="22">
        <f t="shared" si="5"/>
        <v>2.274441884109113E-2</v>
      </c>
      <c r="F21" s="34">
        <f t="shared" si="5"/>
        <v>7.6715411073697629E-2</v>
      </c>
      <c r="G21" s="34">
        <f t="shared" si="5"/>
        <v>1.937249251987266E-2</v>
      </c>
    </row>
    <row r="22" spans="2:13" ht="15" customHeight="1">
      <c r="B22" s="16" t="s">
        <v>13</v>
      </c>
      <c r="C22" s="33">
        <f t="shared" si="4"/>
        <v>0.23398407391641274</v>
      </c>
      <c r="D22" s="24">
        <f t="shared" si="5"/>
        <v>0.106957792287558</v>
      </c>
      <c r="E22" s="24">
        <f t="shared" si="5"/>
        <v>7.8122903311266589E-2</v>
      </c>
      <c r="F22" s="33">
        <f t="shared" si="5"/>
        <v>0.18508069559882459</v>
      </c>
      <c r="G22" s="33">
        <f t="shared" si="5"/>
        <v>0.19732238076180181</v>
      </c>
    </row>
  </sheetData>
  <conditionalFormatting sqref="C14:C22">
    <cfRule type="cellIs" dxfId="8" priority="1" operator="between">
      <formula>10.5%</formula>
      <formula>15.49%</formula>
    </cfRule>
    <cfRule type="cellIs" dxfId="7" priority="2" operator="between">
      <formula>0</formula>
      <formula>0.1049</formula>
    </cfRule>
    <cfRule type="cellIs" dxfId="6" priority="3" operator="between">
      <formula>15.5%</formula>
      <formula>200%</formula>
    </cfRule>
  </conditionalFormatting>
  <conditionalFormatting sqref="F14:G22">
    <cfRule type="cellIs" dxfId="5" priority="4" operator="between">
      <formula>10.5%</formula>
      <formula>15.49%</formula>
    </cfRule>
    <cfRule type="cellIs" dxfId="4" priority="5" operator="between">
      <formula>0</formula>
      <formula>0.1049</formula>
    </cfRule>
    <cfRule type="cellIs" dxfId="3" priority="6" operator="between">
      <formula>15.5%</formula>
      <formula>200%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G6:H11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Tablas!B18:I18</xm:f>
              <xm:sqref>L4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Tablas!B9:I9</xm:f>
              <xm:sqref>N3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Tablas!B8:I8</xm:f>
              <xm:sqref>M3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Tablas!B7:I7</xm:f>
              <xm:sqref>L3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Tablas!B14:I14</xm:f>
              <xm:sqref>K4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Tablas!B3:I3</xm:f>
              <xm:sqref>K3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Tablas!B19:I19</xm:f>
              <xm:sqref>M4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Tablas!B20:I20</xm:f>
              <xm:sqref>N4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Tablas!B80:I80</xm:f>
              <xm:sqref>K5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Tablas!B84:I84</xm:f>
              <xm:sqref>L5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Tablas!B85:I85</xm:f>
              <xm:sqref>M5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Tablas!B86:I86</xm:f>
              <xm:sqref>N5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Tablas!B25:I25</xm:f>
              <xm:sqref>K6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Tablas!B29:I29</xm:f>
              <xm:sqref>L6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Tablas!B30:I30</xm:f>
              <xm:sqref>M6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Tablas!B31:I31</xm:f>
              <xm:sqref>N6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Tablas!B36:I36</xm:f>
              <xm:sqref>K7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Tablas!B40:I40</xm:f>
              <xm:sqref>L7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Tablas!B41:I41</xm:f>
              <xm:sqref>M7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Tablas!B42:I42</xm:f>
              <xm:sqref>N7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Tablas!B47:I47</xm:f>
              <xm:sqref>K8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Tablas!B51:I51</xm:f>
              <xm:sqref>L8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Tablas!B52:I52</xm:f>
              <xm:sqref>M8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Tablas!B53:I53</xm:f>
              <xm:sqref>N8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Tablas!B69:I69</xm:f>
              <xm:sqref>K9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Tablas!B73:I73</xm:f>
              <xm:sqref>L9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Tablas!B74:I74</xm:f>
              <xm:sqref>M9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Tablas!B75:I75</xm:f>
              <xm:sqref>N9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Tablas!B58:I58</xm:f>
              <xm:sqref>K10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Tablas!B62:I62</xm:f>
              <xm:sqref>L10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Tablas!B63:I63</xm:f>
              <xm:sqref>M10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Tablas!B64:I64</xm:f>
              <xm:sqref>N10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Tablas!B102:I102</xm:f>
              <xm:sqref>K11</xm:sqref>
            </x14:sparkline>
          </x14:sparklines>
        </x14:sparklineGroup>
        <x14:sparklineGroup displayEmptyCellsAs="gap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Tablas!B106:I106</xm:f>
              <xm:sqref>L11</xm:sqref>
            </x14:sparkline>
          </x14:sparklines>
        </x14:sparklineGroup>
        <x14:sparklineGroup displayEmptyCellsAs="gap">
          <x14:colorSeries theme="9" tint="-0.249977111117893"/>
          <x14:colorNegative theme="4"/>
          <x14:colorAxis rgb="FF000000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Tablas!B107:I107</xm:f>
              <xm:sqref>M11</xm:sqref>
            </x14:sparkline>
          </x14:sparklines>
        </x14:sparklineGroup>
        <x14:sparklineGroup displayEmptyCellsAs="gap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Tablas!B108:I108</xm:f>
              <xm:sqref>N11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zoomScale="80" zoomScaleNormal="80" workbookViewId="0">
      <pane xSplit="1" topLeftCell="C1" activePane="topRight" state="frozen"/>
      <selection pane="topRight" activeCell="F5" sqref="F5"/>
    </sheetView>
  </sheetViews>
  <sheetFormatPr baseColWidth="10" defaultRowHeight="13.8"/>
  <cols>
    <col min="1" max="1" width="22.09765625" bestFit="1" customWidth="1"/>
    <col min="2" max="9" width="16.19921875" style="26" bestFit="1" customWidth="1"/>
    <col min="10" max="11" width="16.19921875" bestFit="1" customWidth="1"/>
    <col min="12" max="12" width="16.796875" bestFit="1" customWidth="1"/>
    <col min="13" max="13" width="14.8984375" bestFit="1" customWidth="1"/>
    <col min="14" max="14" width="12.3984375" customWidth="1"/>
    <col min="15" max="16" width="13.3984375" bestFit="1" customWidth="1"/>
    <col min="17" max="17" width="17.09765625" customWidth="1"/>
    <col min="18" max="18" width="11.69921875" customWidth="1"/>
    <col min="19" max="19" width="12.3984375" customWidth="1"/>
    <col min="20" max="21" width="13.3984375" bestFit="1" customWidth="1"/>
    <col min="22" max="22" width="17.09765625" customWidth="1"/>
    <col min="23" max="23" width="11.69921875" customWidth="1"/>
    <col min="24" max="24" width="12.3984375" customWidth="1"/>
    <col min="25" max="26" width="13.3984375" bestFit="1" customWidth="1"/>
    <col min="27" max="27" width="17.09765625" customWidth="1"/>
    <col min="28" max="28" width="11.69921875" customWidth="1"/>
    <col min="29" max="29" width="12.3984375" bestFit="1" customWidth="1"/>
    <col min="30" max="31" width="13.3984375" bestFit="1" customWidth="1"/>
    <col min="32" max="32" width="17.09765625" customWidth="1"/>
    <col min="33" max="33" width="11.69921875" customWidth="1"/>
    <col min="34" max="34" width="12.3984375" customWidth="1"/>
    <col min="35" max="36" width="13.3984375" bestFit="1" customWidth="1"/>
    <col min="37" max="37" width="17.09765625" customWidth="1"/>
    <col min="38" max="38" width="11.69921875" customWidth="1"/>
    <col min="39" max="39" width="12.3984375" bestFit="1" customWidth="1"/>
    <col min="40" max="41" width="13.3984375" bestFit="1" customWidth="1"/>
    <col min="42" max="42" width="14.8984375" customWidth="1"/>
  </cols>
  <sheetData>
    <row r="1" spans="1:13">
      <c r="A1" s="30" t="s">
        <v>26</v>
      </c>
    </row>
    <row r="2" spans="1:13">
      <c r="A2" s="29" t="s">
        <v>17</v>
      </c>
      <c r="B2" s="31" t="s">
        <v>18</v>
      </c>
      <c r="C2" s="31" t="s">
        <v>19</v>
      </c>
      <c r="D2" s="31" t="s">
        <v>20</v>
      </c>
      <c r="E2" s="31" t="s">
        <v>21</v>
      </c>
      <c r="F2" s="31" t="s">
        <v>22</v>
      </c>
      <c r="G2" s="31" t="s">
        <v>23</v>
      </c>
      <c r="H2" s="31" t="s">
        <v>24</v>
      </c>
      <c r="I2" s="31" t="s">
        <v>25</v>
      </c>
      <c r="J2" s="48">
        <v>45901</v>
      </c>
      <c r="K2" s="48">
        <v>45931</v>
      </c>
      <c r="L2" s="48">
        <v>45962</v>
      </c>
      <c r="M2" s="48">
        <v>45992</v>
      </c>
    </row>
    <row r="3" spans="1:13">
      <c r="A3" t="s">
        <v>14</v>
      </c>
      <c r="B3" s="26">
        <v>40118678</v>
      </c>
      <c r="C3" s="26">
        <v>23978279</v>
      </c>
      <c r="D3" s="26">
        <v>44687119</v>
      </c>
      <c r="E3" s="26">
        <v>33033180</v>
      </c>
      <c r="F3" s="26">
        <v>35772422</v>
      </c>
      <c r="G3" s="26">
        <v>29767639</v>
      </c>
      <c r="H3" s="26">
        <v>35622735</v>
      </c>
      <c r="I3" s="26">
        <f>'Agosto 2025-real'!C3</f>
        <v>45735238.490000002</v>
      </c>
      <c r="J3" s="26">
        <f>'Septiembre 2025_real'!C3</f>
        <v>62713661.020000003</v>
      </c>
      <c r="K3" s="26">
        <f>'Octubre 2025_real'!C3</f>
        <v>58604767</v>
      </c>
      <c r="L3" s="26">
        <f>'Noviembre 2025_real'!C3</f>
        <v>84288372</v>
      </c>
      <c r="M3" s="26">
        <f>'Diciembre 2025'!C3</f>
        <v>75154430.091200009</v>
      </c>
    </row>
    <row r="4" spans="1:13">
      <c r="A4" t="s">
        <v>1</v>
      </c>
      <c r="B4" s="26">
        <v>4472073.3002399998</v>
      </c>
      <c r="C4" s="26">
        <v>4562990.1903600004</v>
      </c>
      <c r="D4" s="26">
        <v>6276593.3444979992</v>
      </c>
      <c r="E4" s="26">
        <v>7019683.5124999909</v>
      </c>
      <c r="F4" s="26">
        <v>5916115.2444000002</v>
      </c>
      <c r="G4" s="26">
        <v>6458324.5899999999</v>
      </c>
      <c r="H4" s="26">
        <v>5522865.2361499891</v>
      </c>
      <c r="I4" s="26">
        <f>'Agosto 2025-real'!D3</f>
        <v>5359007</v>
      </c>
      <c r="J4" s="26">
        <f>'Septiembre 2025_real'!D3</f>
        <v>5345060</v>
      </c>
      <c r="K4" s="26">
        <f>'Octubre 2025_real'!D3</f>
        <v>5231714</v>
      </c>
      <c r="L4" s="26">
        <f>'Noviembre 2025_real'!D3</f>
        <v>6586095</v>
      </c>
      <c r="M4" s="26">
        <f>'Diciembre 2025'!D3</f>
        <v>5769355</v>
      </c>
    </row>
    <row r="5" spans="1:13">
      <c r="A5" t="s">
        <v>16</v>
      </c>
      <c r="B5" s="26">
        <v>3772412.08</v>
      </c>
      <c r="C5" s="26">
        <v>3114680.98</v>
      </c>
      <c r="D5" s="26">
        <v>1963560.42</v>
      </c>
      <c r="E5" s="26">
        <v>3332116.58</v>
      </c>
      <c r="F5" s="26">
        <v>2654438.2599999998</v>
      </c>
      <c r="G5" s="26">
        <v>2853389.06</v>
      </c>
      <c r="H5" s="26">
        <v>6890040.5</v>
      </c>
      <c r="I5" s="26">
        <f>'Agosto 2025-real'!G3</f>
        <v>6957740.5</v>
      </c>
      <c r="J5" s="26">
        <f>'Septiembre 2025_real'!G3</f>
        <v>7300440.5</v>
      </c>
      <c r="K5" s="26">
        <f>'Octubre 2025_real'!G3</f>
        <v>7736390.5</v>
      </c>
      <c r="L5" s="26">
        <f>'Noviembre 2025_real'!G3</f>
        <v>7532850.5</v>
      </c>
      <c r="M5" s="26">
        <f>'Diciembre 2025'!G3</f>
        <v>7682850.5</v>
      </c>
    </row>
    <row r="6" spans="1:13">
      <c r="A6" t="s">
        <v>15</v>
      </c>
      <c r="B6" s="26">
        <v>1727784.4300000002</v>
      </c>
      <c r="C6" s="26">
        <v>1353670.44</v>
      </c>
      <c r="D6" s="26">
        <v>1730685.67</v>
      </c>
      <c r="E6" s="26">
        <v>1635733.92</v>
      </c>
      <c r="F6" s="26">
        <v>1831466.3</v>
      </c>
      <c r="G6" s="26">
        <v>1208216.31</v>
      </c>
      <c r="H6" s="26">
        <v>1988927.13</v>
      </c>
      <c r="I6" s="26">
        <f>'Agosto 2025-real'!H3</f>
        <v>1845033.0699999998</v>
      </c>
      <c r="J6" s="26">
        <f>'Septiembre 2025_real'!H3</f>
        <v>1773489.1600000001</v>
      </c>
      <c r="K6" s="26">
        <f>'Octubre 2025_real'!H3</f>
        <v>1966770.31</v>
      </c>
      <c r="L6" s="26">
        <f>'Noviembre 2025_real'!H3</f>
        <v>1732487.7</v>
      </c>
      <c r="M6" s="26">
        <f>'Diciembre 2025'!H3</f>
        <v>1923824.2400000002</v>
      </c>
    </row>
    <row r="7" spans="1:13">
      <c r="A7" t="s">
        <v>1</v>
      </c>
      <c r="B7" s="32">
        <f t="shared" ref="B7:I9" si="0">B4/B$3</f>
        <v>0.11147110331601653</v>
      </c>
      <c r="C7" s="32">
        <f t="shared" si="0"/>
        <v>0.19029681781415589</v>
      </c>
      <c r="D7" s="32">
        <f t="shared" si="0"/>
        <v>0.14045643319494369</v>
      </c>
      <c r="E7" s="32">
        <f t="shared" si="0"/>
        <v>0.21250401906507307</v>
      </c>
      <c r="F7" s="32">
        <f t="shared" si="0"/>
        <v>0.16538201535249697</v>
      </c>
      <c r="G7" s="32">
        <f t="shared" si="0"/>
        <v>0.2169579048576879</v>
      </c>
      <c r="H7" s="32">
        <f t="shared" si="0"/>
        <v>0.15503765323325086</v>
      </c>
      <c r="I7" s="32">
        <f t="shared" si="0"/>
        <v>0.11717457210093581</v>
      </c>
      <c r="J7" s="32">
        <f t="shared" ref="J7" si="1">J4/J$3</f>
        <v>8.5229596120937792E-2</v>
      </c>
      <c r="K7" s="32">
        <f t="shared" ref="K7" si="2">K4/K$3</f>
        <v>8.9271133865270719E-2</v>
      </c>
      <c r="L7" s="32">
        <f>L4/L$3</f>
        <v>7.8137646317335441E-2</v>
      </c>
      <c r="M7" s="32">
        <f>M4/M$3</f>
        <v>7.6766665557823799E-2</v>
      </c>
    </row>
    <row r="8" spans="1:13">
      <c r="A8" t="s">
        <v>16</v>
      </c>
      <c r="B8" s="32">
        <f t="shared" si="0"/>
        <v>9.4031315787623915E-2</v>
      </c>
      <c r="C8" s="32">
        <f t="shared" si="0"/>
        <v>0.12989593540053479</v>
      </c>
      <c r="D8" s="32">
        <f t="shared" si="0"/>
        <v>4.3940188222919452E-2</v>
      </c>
      <c r="E8" s="32">
        <f t="shared" si="0"/>
        <v>0.1008718076794302</v>
      </c>
      <c r="F8" s="32">
        <f t="shared" si="0"/>
        <v>7.4203481665289533E-2</v>
      </c>
      <c r="G8" s="32">
        <f t="shared" si="0"/>
        <v>9.585540391698516E-2</v>
      </c>
      <c r="H8" s="32">
        <f t="shared" si="0"/>
        <v>0.19341694285966532</v>
      </c>
      <c r="I8" s="32">
        <f t="shared" si="0"/>
        <v>0.1521308454862722</v>
      </c>
      <c r="J8" s="32">
        <f t="shared" ref="J8" si="3">J5/J$3</f>
        <v>0.11640909462568</v>
      </c>
      <c r="K8" s="32">
        <f t="shared" ref="K8" si="4">K5/K$3</f>
        <v>0.13200957696837187</v>
      </c>
      <c r="L8" s="32">
        <f>L5/L$3</f>
        <v>8.9369984509844375E-2</v>
      </c>
      <c r="M8" s="32">
        <f>M5/M$3</f>
        <v>0.10222751327735238</v>
      </c>
    </row>
    <row r="9" spans="1:13">
      <c r="A9" t="s">
        <v>15</v>
      </c>
      <c r="B9" s="32">
        <f t="shared" si="0"/>
        <v>4.3066833608026669E-2</v>
      </c>
      <c r="C9" s="32">
        <f t="shared" si="0"/>
        <v>5.6454028247815445E-2</v>
      </c>
      <c r="D9" s="32">
        <f t="shared" si="0"/>
        <v>3.8728960575865272E-2</v>
      </c>
      <c r="E9" s="32">
        <f t="shared" si="0"/>
        <v>4.9517906541241261E-2</v>
      </c>
      <c r="F9" s="32">
        <f t="shared" si="0"/>
        <v>5.1197715938831316E-2</v>
      </c>
      <c r="G9" s="32">
        <f t="shared" si="0"/>
        <v>4.058824786204912E-2</v>
      </c>
      <c r="H9" s="32">
        <f t="shared" si="0"/>
        <v>5.583308328234763E-2</v>
      </c>
      <c r="I9" s="32">
        <f t="shared" si="0"/>
        <v>4.0341608154146079E-2</v>
      </c>
      <c r="J9" s="32">
        <f t="shared" ref="J9" si="5">J6/J$3</f>
        <v>2.8279152120212165E-2</v>
      </c>
      <c r="K9" s="32">
        <f t="shared" ref="K9" si="6">K6/K$3</f>
        <v>3.3559903241318238E-2</v>
      </c>
      <c r="L9" s="32">
        <f>L6/L$3</f>
        <v>2.0554290691484702E-2</v>
      </c>
      <c r="M9" s="32">
        <f t="shared" ref="M9" si="7">M6/M$3</f>
        <v>2.5598281267856557E-2</v>
      </c>
    </row>
    <row r="10" spans="1:13">
      <c r="J10" s="26"/>
      <c r="K10" s="26"/>
      <c r="L10" s="26"/>
      <c r="M10" s="26"/>
    </row>
    <row r="11" spans="1:13">
      <c r="J11" s="26"/>
      <c r="K11" s="26"/>
      <c r="L11" s="26"/>
      <c r="M11" s="26"/>
    </row>
    <row r="12" spans="1:13">
      <c r="A12" s="29" t="s">
        <v>28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>
      <c r="A13" s="29" t="s">
        <v>17</v>
      </c>
      <c r="B13" s="31" t="s">
        <v>18</v>
      </c>
      <c r="C13" s="31" t="s">
        <v>19</v>
      </c>
      <c r="D13" s="31" t="s">
        <v>20</v>
      </c>
      <c r="E13" s="31" t="s">
        <v>21</v>
      </c>
      <c r="F13" s="31" t="s">
        <v>22</v>
      </c>
      <c r="G13" s="31" t="s">
        <v>23</v>
      </c>
      <c r="H13" s="31" t="s">
        <v>24</v>
      </c>
      <c r="I13" s="31" t="s">
        <v>25</v>
      </c>
      <c r="J13" s="48">
        <v>45901</v>
      </c>
      <c r="K13" s="48">
        <v>45931</v>
      </c>
      <c r="L13" s="48">
        <v>45962</v>
      </c>
      <c r="M13" s="48">
        <v>45992</v>
      </c>
    </row>
    <row r="14" spans="1:13">
      <c r="A14" t="s">
        <v>14</v>
      </c>
      <c r="B14" s="26">
        <v>20476370</v>
      </c>
      <c r="C14" s="26">
        <v>15336680</v>
      </c>
      <c r="D14" s="26">
        <v>25739876</v>
      </c>
      <c r="E14" s="26">
        <v>17076570</v>
      </c>
      <c r="F14" s="26">
        <v>15486300</v>
      </c>
      <c r="G14" s="26">
        <v>17483909</v>
      </c>
      <c r="H14" s="26">
        <v>18589226</v>
      </c>
      <c r="I14" s="26">
        <f>'Agosto 2025-real'!C4</f>
        <v>21770315.739999998</v>
      </c>
      <c r="J14" s="26">
        <f>'Septiembre 2025_real'!C4</f>
        <v>22885149.989999998</v>
      </c>
      <c r="K14" s="26">
        <f>'Octubre 2025_real'!C4</f>
        <v>31723946.02</v>
      </c>
      <c r="L14" s="26">
        <f>'Noviembre 2025_real'!C4</f>
        <v>35080566</v>
      </c>
      <c r="M14" s="26">
        <f>'Diciembre 2025'!C4</f>
        <v>34597888.504399993</v>
      </c>
    </row>
    <row r="15" spans="1:13">
      <c r="A15" t="s">
        <v>1</v>
      </c>
      <c r="B15" s="26">
        <v>2404008.8471700004</v>
      </c>
      <c r="C15" s="26">
        <v>2469244.1022900003</v>
      </c>
      <c r="D15" s="26">
        <v>2988002.406589</v>
      </c>
      <c r="E15" s="26">
        <v>3434634.9756</v>
      </c>
      <c r="F15" s="26">
        <v>3457993.29</v>
      </c>
      <c r="G15" s="26">
        <v>3446985.93</v>
      </c>
      <c r="H15" s="26">
        <v>3716181.2711</v>
      </c>
      <c r="I15" s="26">
        <f>'Agosto 2025-real'!D4</f>
        <v>3174723.0137748914</v>
      </c>
      <c r="J15" s="26">
        <f>'Septiembre 2025_real'!D4</f>
        <v>3082266</v>
      </c>
      <c r="K15" s="26">
        <f>'Octubre 2025_real'!D4</f>
        <v>3488427</v>
      </c>
      <c r="L15" s="26">
        <f>'Noviembre 2025_real'!D4</f>
        <v>3710746</v>
      </c>
      <c r="M15" s="26">
        <f>'Diciembre 2025'!D4</f>
        <v>3645925</v>
      </c>
    </row>
    <row r="16" spans="1:13">
      <c r="A16" t="s">
        <v>16</v>
      </c>
      <c r="B16" s="26">
        <v>3865858.86</v>
      </c>
      <c r="C16" s="26">
        <v>3070146.99</v>
      </c>
      <c r="D16" s="26">
        <v>2976335.43</v>
      </c>
      <c r="E16" s="26">
        <v>3631434.89</v>
      </c>
      <c r="F16" s="26">
        <v>3199043.5199999996</v>
      </c>
      <c r="G16" s="26">
        <v>3114002.61</v>
      </c>
      <c r="H16" s="26">
        <v>3146052.81</v>
      </c>
      <c r="I16" s="26">
        <f>'Agosto 2025-real'!G4</f>
        <v>3201842.72</v>
      </c>
      <c r="J16" s="26">
        <f>'Septiembre 2025_real'!G4</f>
        <v>3396372.21</v>
      </c>
      <c r="K16" s="26">
        <f>'Octubre 2025_real'!G4</f>
        <v>3602099.81</v>
      </c>
      <c r="L16" s="26">
        <f ca="1">'Noviembre 2025_real'!G4</f>
        <v>4330010.84</v>
      </c>
      <c r="M16" s="26">
        <f>'Diciembre 2025'!G4</f>
        <v>4295993.5</v>
      </c>
    </row>
    <row r="17" spans="1:13">
      <c r="A17" t="s">
        <v>15</v>
      </c>
      <c r="B17" s="26">
        <v>185581.34000000003</v>
      </c>
      <c r="C17" s="26">
        <v>211084.93</v>
      </c>
      <c r="D17" s="26">
        <v>231848.83</v>
      </c>
      <c r="E17" s="26">
        <v>201527.02</v>
      </c>
      <c r="F17" s="26">
        <v>343699.47000000003</v>
      </c>
      <c r="G17" s="26">
        <v>204799.53</v>
      </c>
      <c r="H17" s="26">
        <v>226376.6</v>
      </c>
      <c r="I17" s="26">
        <f>'Agosto 2025-real'!H4</f>
        <v>509583.35</v>
      </c>
      <c r="J17" s="26">
        <f>'Septiembre 2025_real'!H4</f>
        <v>209674.47</v>
      </c>
      <c r="K17" s="26">
        <f>'Octubre 2025_real'!H4</f>
        <v>560026.23</v>
      </c>
      <c r="L17" s="26">
        <f>'Noviembre 2025_real'!H4</f>
        <v>801724.66</v>
      </c>
      <c r="M17" s="26">
        <f>'Diciembre 2025'!H4</f>
        <v>830684.54</v>
      </c>
    </row>
    <row r="18" spans="1:13">
      <c r="A18" t="s">
        <v>1</v>
      </c>
      <c r="B18" s="32">
        <f t="shared" ref="B18:I20" si="8">B15/B$14</f>
        <v>0.11740405390066698</v>
      </c>
      <c r="C18" s="32">
        <f t="shared" si="8"/>
        <v>0.1610025182953547</v>
      </c>
      <c r="D18" s="32">
        <f t="shared" si="8"/>
        <v>0.11608456880635322</v>
      </c>
      <c r="E18" s="32">
        <f t="shared" si="8"/>
        <v>0.20113143187419957</v>
      </c>
      <c r="F18" s="32">
        <f t="shared" si="8"/>
        <v>0.22329370411266733</v>
      </c>
      <c r="G18" s="32">
        <f t="shared" si="8"/>
        <v>0.19715190292971671</v>
      </c>
      <c r="H18" s="32">
        <f t="shared" si="8"/>
        <v>0.19991048960833549</v>
      </c>
      <c r="I18" s="32">
        <f t="shared" si="8"/>
        <v>0.14582806476902715</v>
      </c>
      <c r="J18" s="32">
        <f t="shared" ref="J18" si="9">J15/J$14</f>
        <v>0.13468410743852854</v>
      </c>
      <c r="K18" s="32">
        <f t="shared" ref="K18" si="10">K15/K$14</f>
        <v>0.10996195107004536</v>
      </c>
      <c r="L18" s="32">
        <f>L15/L$14</f>
        <v>0.10577782581957201</v>
      </c>
      <c r="M18" s="32">
        <f t="shared" ref="M18" si="11">M15/M$14</f>
        <v>0.10537998582012682</v>
      </c>
    </row>
    <row r="19" spans="1:13">
      <c r="A19" t="s">
        <v>16</v>
      </c>
      <c r="B19" s="32">
        <f t="shared" si="8"/>
        <v>0.18879610302021305</v>
      </c>
      <c r="C19" s="32">
        <f t="shared" si="8"/>
        <v>0.20018328543074512</v>
      </c>
      <c r="D19" s="32">
        <f t="shared" si="8"/>
        <v>0.11563130412904865</v>
      </c>
      <c r="E19" s="32">
        <f t="shared" si="8"/>
        <v>0.2126559894639263</v>
      </c>
      <c r="F19" s="32">
        <f t="shared" si="8"/>
        <v>0.20657248794095423</v>
      </c>
      <c r="G19" s="32">
        <f t="shared" si="8"/>
        <v>0.17810677291903085</v>
      </c>
      <c r="H19" s="32">
        <f t="shared" si="8"/>
        <v>0.16924065638881361</v>
      </c>
      <c r="I19" s="32">
        <f t="shared" si="8"/>
        <v>0.14707378424085274</v>
      </c>
      <c r="J19" s="32">
        <f t="shared" ref="J19" si="12">J16/J$14</f>
        <v>0.14840943631499443</v>
      </c>
      <c r="K19" s="32">
        <f t="shared" ref="K19" si="13">K16/K$14</f>
        <v>0.11354513740910722</v>
      </c>
      <c r="L19" s="32">
        <f ca="1">L16/L$14</f>
        <v>0.12343047258701584</v>
      </c>
      <c r="M19" s="32">
        <f t="shared" ref="M19" si="14">M16/M$14</f>
        <v>0.12416923938735903</v>
      </c>
    </row>
    <row r="20" spans="1:13">
      <c r="A20" t="s">
        <v>15</v>
      </c>
      <c r="B20" s="32">
        <f t="shared" si="8"/>
        <v>9.0631952831483325E-3</v>
      </c>
      <c r="C20" s="32">
        <f t="shared" si="8"/>
        <v>1.3763404465634023E-2</v>
      </c>
      <c r="D20" s="32">
        <f t="shared" si="8"/>
        <v>9.007379445029183E-3</v>
      </c>
      <c r="E20" s="32">
        <f t="shared" si="8"/>
        <v>1.1801375803220436E-2</v>
      </c>
      <c r="F20" s="32">
        <f t="shared" si="8"/>
        <v>2.2193775788923113E-2</v>
      </c>
      <c r="G20" s="32">
        <f t="shared" si="8"/>
        <v>1.1713600774289091E-2</v>
      </c>
      <c r="H20" s="32">
        <f t="shared" si="8"/>
        <v>1.2177838926698723E-2</v>
      </c>
      <c r="I20" s="32">
        <f t="shared" si="8"/>
        <v>2.3407255828803153E-2</v>
      </c>
      <c r="J20" s="32">
        <f t="shared" ref="J20" si="15">J17/J$14</f>
        <v>9.1620317145231882E-3</v>
      </c>
      <c r="K20" s="32">
        <f t="shared" ref="K20" si="16">K17/K$14</f>
        <v>1.7653107518432222E-2</v>
      </c>
      <c r="L20" s="32">
        <f>L17/L$14</f>
        <v>2.2853811993797365E-2</v>
      </c>
      <c r="M20" s="32">
        <f t="shared" ref="M20" si="17">M17/M$14</f>
        <v>2.4009688911921824E-2</v>
      </c>
    </row>
    <row r="21" spans="1:13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1:13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>
      <c r="A23" s="52" t="s">
        <v>33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1:13">
      <c r="A24" s="29" t="s">
        <v>17</v>
      </c>
      <c r="B24" s="31" t="s">
        <v>18</v>
      </c>
      <c r="C24" s="31" t="s">
        <v>19</v>
      </c>
      <c r="D24" s="31" t="s">
        <v>20</v>
      </c>
      <c r="E24" s="31" t="s">
        <v>21</v>
      </c>
      <c r="F24" s="31" t="s">
        <v>22</v>
      </c>
      <c r="G24" s="31" t="s">
        <v>23</v>
      </c>
      <c r="H24" s="31" t="s">
        <v>24</v>
      </c>
      <c r="I24" s="31" t="s">
        <v>25</v>
      </c>
      <c r="J24" s="48">
        <v>45901</v>
      </c>
      <c r="K24" s="48">
        <v>45931</v>
      </c>
      <c r="L24" s="48">
        <v>45962</v>
      </c>
      <c r="M24" s="48">
        <v>45992</v>
      </c>
    </row>
    <row r="25" spans="1:13">
      <c r="A25" s="27" t="s">
        <v>14</v>
      </c>
      <c r="B25" s="26">
        <f>B3+B14</f>
        <v>60595048</v>
      </c>
      <c r="C25" s="26">
        <f t="shared" ref="C25:M25" si="18">C3+C14</f>
        <v>39314959</v>
      </c>
      <c r="D25" s="26">
        <f t="shared" si="18"/>
        <v>70426995</v>
      </c>
      <c r="E25" s="26">
        <f t="shared" si="18"/>
        <v>50109750</v>
      </c>
      <c r="F25" s="26">
        <f t="shared" si="18"/>
        <v>51258722</v>
      </c>
      <c r="G25" s="26">
        <f t="shared" si="18"/>
        <v>47251548</v>
      </c>
      <c r="H25" s="26">
        <f t="shared" si="18"/>
        <v>54211961</v>
      </c>
      <c r="I25" s="26">
        <f t="shared" si="18"/>
        <v>67505554.230000004</v>
      </c>
      <c r="J25" s="26">
        <f t="shared" si="18"/>
        <v>85598811.010000005</v>
      </c>
      <c r="K25" s="26">
        <f t="shared" si="18"/>
        <v>90328713.019999996</v>
      </c>
      <c r="L25" s="26">
        <f>L3+L14</f>
        <v>119368938</v>
      </c>
      <c r="M25" s="26">
        <f t="shared" si="18"/>
        <v>109752318.59560001</v>
      </c>
    </row>
    <row r="26" spans="1:13">
      <c r="A26" s="27" t="s">
        <v>1</v>
      </c>
      <c r="B26" s="26">
        <f t="shared" ref="B26:M28" si="19">B4+B15</f>
        <v>6876082.1474099997</v>
      </c>
      <c r="C26" s="26">
        <f t="shared" si="19"/>
        <v>7032234.2926500011</v>
      </c>
      <c r="D26" s="26">
        <f t="shared" si="19"/>
        <v>9264595.7510869987</v>
      </c>
      <c r="E26" s="26">
        <f t="shared" si="19"/>
        <v>10454318.48809999</v>
      </c>
      <c r="F26" s="26">
        <f t="shared" si="19"/>
        <v>9374108.5344000012</v>
      </c>
      <c r="G26" s="26">
        <f t="shared" si="19"/>
        <v>9905310.5199999996</v>
      </c>
      <c r="H26" s="26">
        <f t="shared" si="19"/>
        <v>9239046.5072499886</v>
      </c>
      <c r="I26" s="26">
        <f t="shared" si="19"/>
        <v>8533730.0137748905</v>
      </c>
      <c r="J26" s="26">
        <f t="shared" si="19"/>
        <v>8427326</v>
      </c>
      <c r="K26" s="26">
        <f t="shared" si="19"/>
        <v>8720141</v>
      </c>
      <c r="L26" s="26">
        <f>L4+L15</f>
        <v>10296841</v>
      </c>
      <c r="M26" s="26">
        <f t="shared" si="19"/>
        <v>9415280</v>
      </c>
    </row>
    <row r="27" spans="1:13">
      <c r="A27" s="27" t="s">
        <v>16</v>
      </c>
      <c r="B27" s="26">
        <f t="shared" si="19"/>
        <v>7638270.9399999995</v>
      </c>
      <c r="C27" s="26">
        <f t="shared" si="19"/>
        <v>6184827.9700000007</v>
      </c>
      <c r="D27" s="26">
        <f t="shared" si="19"/>
        <v>4939895.8499999996</v>
      </c>
      <c r="E27" s="26">
        <f t="shared" si="19"/>
        <v>6963551.4700000007</v>
      </c>
      <c r="F27" s="26">
        <f t="shared" si="19"/>
        <v>5853481.7799999993</v>
      </c>
      <c r="G27" s="26">
        <f t="shared" si="19"/>
        <v>5967391.6699999999</v>
      </c>
      <c r="H27" s="26">
        <f t="shared" si="19"/>
        <v>10036093.310000001</v>
      </c>
      <c r="I27" s="26">
        <f t="shared" si="19"/>
        <v>10159583.220000001</v>
      </c>
      <c r="J27" s="26">
        <f t="shared" si="19"/>
        <v>10696812.710000001</v>
      </c>
      <c r="K27" s="26">
        <f t="shared" si="19"/>
        <v>11338490.310000001</v>
      </c>
      <c r="L27" s="26">
        <f ca="1">L5+L16</f>
        <v>11862861.34</v>
      </c>
      <c r="M27" s="26">
        <f t="shared" si="19"/>
        <v>11978844</v>
      </c>
    </row>
    <row r="28" spans="1:13">
      <c r="A28" s="27" t="s">
        <v>15</v>
      </c>
      <c r="B28" s="26">
        <f t="shared" si="19"/>
        <v>1913365.7700000003</v>
      </c>
      <c r="C28" s="26">
        <f t="shared" si="19"/>
        <v>1564755.3699999999</v>
      </c>
      <c r="D28" s="26">
        <f t="shared" si="19"/>
        <v>1962534.5</v>
      </c>
      <c r="E28" s="26">
        <f t="shared" si="19"/>
        <v>1837260.94</v>
      </c>
      <c r="F28" s="26">
        <f t="shared" si="19"/>
        <v>2175165.77</v>
      </c>
      <c r="G28" s="26">
        <f t="shared" si="19"/>
        <v>1413015.84</v>
      </c>
      <c r="H28" s="26">
        <f t="shared" si="19"/>
        <v>2215303.73</v>
      </c>
      <c r="I28" s="26">
        <f t="shared" si="19"/>
        <v>2354616.42</v>
      </c>
      <c r="J28" s="26">
        <f t="shared" si="19"/>
        <v>1983163.6300000001</v>
      </c>
      <c r="K28" s="26">
        <f t="shared" si="19"/>
        <v>2526796.54</v>
      </c>
      <c r="L28" s="26">
        <f>L6+L17</f>
        <v>2534212.36</v>
      </c>
      <c r="M28" s="26">
        <f t="shared" si="19"/>
        <v>2754508.7800000003</v>
      </c>
    </row>
    <row r="29" spans="1:13">
      <c r="A29" s="27" t="s">
        <v>1</v>
      </c>
      <c r="B29" s="32">
        <f t="shared" ref="B29:M29" si="20">B26/B$25</f>
        <v>0.11347597492471662</v>
      </c>
      <c r="C29" s="32">
        <f t="shared" si="20"/>
        <v>0.17886917528389135</v>
      </c>
      <c r="D29" s="32">
        <f t="shared" si="20"/>
        <v>0.1315489288033232</v>
      </c>
      <c r="E29" s="32">
        <f t="shared" si="20"/>
        <v>0.20862843035736539</v>
      </c>
      <c r="F29" s="32">
        <f t="shared" si="20"/>
        <v>0.18287831160519377</v>
      </c>
      <c r="G29" s="32">
        <f t="shared" si="20"/>
        <v>0.20962933362521793</v>
      </c>
      <c r="H29" s="32">
        <f t="shared" si="20"/>
        <v>0.17042450294779021</v>
      </c>
      <c r="I29" s="32">
        <f t="shared" si="20"/>
        <v>0.12641522777073108</v>
      </c>
      <c r="J29" s="32">
        <f t="shared" si="20"/>
        <v>9.8451437590826876E-2</v>
      </c>
      <c r="K29" s="32">
        <f t="shared" si="20"/>
        <v>9.6537863858076264E-2</v>
      </c>
      <c r="L29" s="32">
        <f>L26/L$25</f>
        <v>8.626064010052599E-2</v>
      </c>
      <c r="M29" s="32">
        <f t="shared" si="20"/>
        <v>8.5786615904599767E-2</v>
      </c>
    </row>
    <row r="30" spans="1:13">
      <c r="A30" s="27" t="s">
        <v>16</v>
      </c>
      <c r="B30" s="32">
        <f t="shared" ref="B30:M30" si="21">B27/B$25</f>
        <v>0.12605437559848123</v>
      </c>
      <c r="C30" s="32">
        <f t="shared" si="21"/>
        <v>0.15731487777972758</v>
      </c>
      <c r="D30" s="32">
        <f t="shared" si="21"/>
        <v>7.0142079042276331E-2</v>
      </c>
      <c r="E30" s="32">
        <f t="shared" si="21"/>
        <v>0.1389659990321245</v>
      </c>
      <c r="F30" s="32">
        <f t="shared" si="21"/>
        <v>0.11419484434278325</v>
      </c>
      <c r="G30" s="32">
        <f t="shared" si="21"/>
        <v>0.12628986610131798</v>
      </c>
      <c r="H30" s="32">
        <f t="shared" si="21"/>
        <v>0.18512691894690916</v>
      </c>
      <c r="I30" s="32">
        <f t="shared" si="21"/>
        <v>0.15049996012750314</v>
      </c>
      <c r="J30" s="32">
        <f t="shared" si="21"/>
        <v>0.12496450106941737</v>
      </c>
      <c r="K30" s="32">
        <f t="shared" si="21"/>
        <v>0.12552476317790009</v>
      </c>
      <c r="L30" s="32">
        <f ca="1">L27/L$25</f>
        <v>9.9379801301407236E-2</v>
      </c>
      <c r="M30" s="32">
        <f t="shared" si="21"/>
        <v>0.10914433656876051</v>
      </c>
    </row>
    <row r="31" spans="1:13">
      <c r="A31" s="27" t="s">
        <v>15</v>
      </c>
      <c r="B31" s="32">
        <f t="shared" ref="B31:M31" si="22">B28/B$25</f>
        <v>3.1576272866390011E-2</v>
      </c>
      <c r="C31" s="32">
        <f t="shared" si="22"/>
        <v>3.9800508758002263E-2</v>
      </c>
      <c r="D31" s="32">
        <f t="shared" si="22"/>
        <v>2.7866225159826855E-2</v>
      </c>
      <c r="E31" s="32">
        <f t="shared" si="22"/>
        <v>3.6664739696366473E-2</v>
      </c>
      <c r="F31" s="32">
        <f t="shared" si="22"/>
        <v>4.2435037104514621E-2</v>
      </c>
      <c r="G31" s="32">
        <f t="shared" si="22"/>
        <v>2.9904117427010012E-2</v>
      </c>
      <c r="H31" s="32">
        <f t="shared" si="22"/>
        <v>4.0863744626393424E-2</v>
      </c>
      <c r="I31" s="32">
        <f t="shared" si="22"/>
        <v>3.4880336097642017E-2</v>
      </c>
      <c r="J31" s="32">
        <f t="shared" si="22"/>
        <v>2.3168121222715568E-2</v>
      </c>
      <c r="K31" s="32">
        <f t="shared" si="22"/>
        <v>2.7973348180445494E-2</v>
      </c>
      <c r="L31" s="32">
        <f>L28/L$25</f>
        <v>2.1230082150852342E-2</v>
      </c>
      <c r="M31" s="32">
        <f t="shared" si="22"/>
        <v>2.5097499672416295E-2</v>
      </c>
    </row>
    <row r="32" spans="1:13">
      <c r="A32" s="27"/>
      <c r="J32" s="26"/>
      <c r="K32" s="26"/>
      <c r="L32" s="26"/>
      <c r="M32" s="26"/>
    </row>
    <row r="33" spans="1:13">
      <c r="J33" s="26"/>
      <c r="K33" s="26"/>
      <c r="L33" s="26"/>
      <c r="M33" s="26"/>
    </row>
    <row r="34" spans="1:13">
      <c r="A34" s="29" t="s">
        <v>29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1:13">
      <c r="A35" s="29" t="s">
        <v>17</v>
      </c>
      <c r="B35" s="31" t="s">
        <v>18</v>
      </c>
      <c r="C35" s="31" t="s">
        <v>19</v>
      </c>
      <c r="D35" s="31" t="s">
        <v>20</v>
      </c>
      <c r="E35" s="31" t="s">
        <v>21</v>
      </c>
      <c r="F35" s="31" t="s">
        <v>22</v>
      </c>
      <c r="G35" s="31" t="s">
        <v>23</v>
      </c>
      <c r="H35" s="31" t="s">
        <v>24</v>
      </c>
      <c r="I35" s="31" t="s">
        <v>25</v>
      </c>
      <c r="J35" s="48">
        <v>45901</v>
      </c>
      <c r="K35" s="48">
        <v>45931</v>
      </c>
      <c r="L35" s="48">
        <v>45962</v>
      </c>
      <c r="M35" s="48">
        <v>45992</v>
      </c>
    </row>
    <row r="36" spans="1:13">
      <c r="A36" t="s">
        <v>14</v>
      </c>
      <c r="B36" s="26">
        <v>40058419</v>
      </c>
      <c r="C36" s="26">
        <v>32509360</v>
      </c>
      <c r="D36" s="26">
        <v>35443210</v>
      </c>
      <c r="E36" s="26">
        <v>24391050</v>
      </c>
      <c r="F36" s="26">
        <v>23316110</v>
      </c>
      <c r="G36" s="26">
        <v>24499270</v>
      </c>
      <c r="H36" s="26">
        <v>26482450</v>
      </c>
      <c r="I36" s="26">
        <f>'Agosto 2025-real'!C7</f>
        <v>34037279.990000002</v>
      </c>
      <c r="J36" s="26">
        <f>'Septiembre 2025_real'!C6</f>
        <v>33133540</v>
      </c>
      <c r="K36" s="26">
        <f>'Octubre 2025_real'!C6</f>
        <v>32348519.800000001</v>
      </c>
      <c r="L36" s="26">
        <f>'Noviembre 2025_real'!C6</f>
        <v>62909140</v>
      </c>
      <c r="M36" s="26">
        <f>'Diciembre 2025'!C6</f>
        <v>50266584.511</v>
      </c>
    </row>
    <row r="37" spans="1:13">
      <c r="A37" t="s">
        <v>1</v>
      </c>
      <c r="B37" s="26">
        <v>2433243.4774200004</v>
      </c>
      <c r="C37" s="26">
        <v>2525034.5725500002</v>
      </c>
      <c r="D37" s="26">
        <v>4606184.9010080006</v>
      </c>
      <c r="E37" s="26">
        <v>4232892.9722999902</v>
      </c>
      <c r="F37" s="26">
        <v>4663105.59</v>
      </c>
      <c r="G37" s="26">
        <v>4735048.18</v>
      </c>
      <c r="H37" s="26">
        <v>4609368.3383349897</v>
      </c>
      <c r="I37" s="26">
        <f>'Agosto 2025-real'!D7</f>
        <v>3084694.6996290316</v>
      </c>
      <c r="J37" s="26">
        <f>'Septiembre 2025_real'!D6</f>
        <v>2263663</v>
      </c>
      <c r="K37" s="26">
        <f>'Octubre 2025_real'!D6</f>
        <v>3210558</v>
      </c>
      <c r="L37" s="26">
        <f>'Noviembre 2025_real'!D6</f>
        <v>3830165</v>
      </c>
      <c r="M37" s="26">
        <f>'Diciembre 2025'!D6</f>
        <v>3858890</v>
      </c>
    </row>
    <row r="38" spans="1:13">
      <c r="A38" t="s">
        <v>16</v>
      </c>
      <c r="B38" s="26">
        <v>3533075.2199999997</v>
      </c>
      <c r="C38" s="26">
        <v>3056573.36</v>
      </c>
      <c r="D38" s="26">
        <v>2482630.12</v>
      </c>
      <c r="E38" s="26">
        <v>2676375.6900000004</v>
      </c>
      <c r="F38" s="26">
        <v>2101384.1799999997</v>
      </c>
      <c r="G38" s="26">
        <v>2063766.2</v>
      </c>
      <c r="H38" s="26">
        <v>2076405.1099999999</v>
      </c>
      <c r="I38" s="26">
        <f>'Agosto 2025-real'!G7</f>
        <v>2314798.4900000002</v>
      </c>
      <c r="J38" s="26">
        <f>'Septiembre 2025_real'!G6</f>
        <v>2781655.4400000004</v>
      </c>
      <c r="K38" s="26">
        <f>'Octubre 2025_real'!G6</f>
        <v>2729267.31</v>
      </c>
      <c r="L38" s="26">
        <f>'Noviembre 2025_real'!G6</f>
        <v>2788835.71</v>
      </c>
      <c r="M38" s="26">
        <f>'Diciembre 2025'!G6</f>
        <v>4751841.55</v>
      </c>
    </row>
    <row r="39" spans="1:13">
      <c r="A39" t="s">
        <v>15</v>
      </c>
      <c r="B39" s="26">
        <v>166504.55666666667</v>
      </c>
      <c r="C39" s="26">
        <v>237510</v>
      </c>
      <c r="D39" s="26">
        <v>128425.78</v>
      </c>
      <c r="E39" s="26">
        <v>146897.99</v>
      </c>
      <c r="F39" s="26">
        <v>108542.57</v>
      </c>
      <c r="G39" s="26">
        <v>120334.86</v>
      </c>
      <c r="H39" s="26">
        <v>141039.29999999999</v>
      </c>
      <c r="I39" s="26">
        <f>'Agosto 2025-real'!H7</f>
        <v>276404.91000000003</v>
      </c>
      <c r="J39" s="26">
        <f>'Septiembre 2025_real'!H6</f>
        <v>200815.63</v>
      </c>
      <c r="K39" s="26">
        <f>'Octubre 2025_real'!H6</f>
        <v>251999.59</v>
      </c>
      <c r="L39" s="26">
        <f>'Noviembre 2025_real'!H6</f>
        <v>325565.28999999998</v>
      </c>
      <c r="M39" s="26">
        <f>'Diciembre 2025'!H6</f>
        <v>291255.46999999997</v>
      </c>
    </row>
    <row r="40" spans="1:13">
      <c r="A40" s="27" t="s">
        <v>1</v>
      </c>
      <c r="B40" s="32">
        <f t="shared" ref="B40:I42" si="23">B37/B$36</f>
        <v>6.074237421651614E-2</v>
      </c>
      <c r="C40" s="32">
        <f t="shared" si="23"/>
        <v>7.7671002214439164E-2</v>
      </c>
      <c r="D40" s="32">
        <f t="shared" si="23"/>
        <v>0.12995958608173472</v>
      </c>
      <c r="E40" s="32">
        <f t="shared" si="23"/>
        <v>0.1735428762722388</v>
      </c>
      <c r="F40" s="32">
        <f t="shared" si="23"/>
        <v>0.199995007314685</v>
      </c>
      <c r="G40" s="32">
        <f t="shared" si="23"/>
        <v>0.19327303140052743</v>
      </c>
      <c r="H40" s="32">
        <f t="shared" si="23"/>
        <v>0.1740536973858155</v>
      </c>
      <c r="I40" s="32">
        <f t="shared" si="23"/>
        <v>9.0626944941995982E-2</v>
      </c>
      <c r="J40" s="32">
        <f t="shared" ref="J40" si="24">J37/J$36</f>
        <v>6.8319382716123908E-2</v>
      </c>
      <c r="K40" s="32">
        <f t="shared" ref="K40" si="25">K37/K$36</f>
        <v>9.9248992530409377E-2</v>
      </c>
      <c r="L40" s="32">
        <f>L37/L$36</f>
        <v>6.0884078211846479E-2</v>
      </c>
      <c r="M40" s="32">
        <f t="shared" ref="M40" si="26">M37/M$36</f>
        <v>7.6768494170427401E-2</v>
      </c>
    </row>
    <row r="41" spans="1:13">
      <c r="A41" s="27" t="s">
        <v>16</v>
      </c>
      <c r="B41" s="32">
        <f t="shared" si="23"/>
        <v>8.8198069424557157E-2</v>
      </c>
      <c r="C41" s="32">
        <f t="shared" si="23"/>
        <v>9.4021332933038354E-2</v>
      </c>
      <c r="D41" s="32">
        <f t="shared" si="23"/>
        <v>7.0045295558726198E-2</v>
      </c>
      <c r="E41" s="32">
        <f t="shared" si="23"/>
        <v>0.1097277767869772</v>
      </c>
      <c r="F41" s="32">
        <f t="shared" si="23"/>
        <v>9.0125847750761157E-2</v>
      </c>
      <c r="G41" s="32">
        <f t="shared" si="23"/>
        <v>8.4237865046591184E-2</v>
      </c>
      <c r="H41" s="32">
        <f t="shared" si="23"/>
        <v>7.8406835847891709E-2</v>
      </c>
      <c r="I41" s="32">
        <f t="shared" si="23"/>
        <v>6.8007740062662983E-2</v>
      </c>
      <c r="J41" s="32">
        <f t="shared" ref="J41" si="27">J38/J$36</f>
        <v>8.3952859851377196E-2</v>
      </c>
      <c r="K41" s="32">
        <f t="shared" ref="K41" si="28">K38/K$36</f>
        <v>8.437070156143589E-2</v>
      </c>
      <c r="L41" s="32">
        <f>L38/L$36</f>
        <v>4.4331168888972254E-2</v>
      </c>
      <c r="M41" s="32">
        <f t="shared" ref="M41" si="29">M38/M$36</f>
        <v>9.4532811334339592E-2</v>
      </c>
    </row>
    <row r="42" spans="1:13">
      <c r="A42" s="27" t="s">
        <v>15</v>
      </c>
      <c r="B42" s="32">
        <f t="shared" si="23"/>
        <v>4.1565433889606748E-3</v>
      </c>
      <c r="C42" s="32">
        <f t="shared" si="23"/>
        <v>7.3058959019802298E-3</v>
      </c>
      <c r="D42" s="32">
        <f t="shared" si="23"/>
        <v>3.623424063452492E-3</v>
      </c>
      <c r="E42" s="32">
        <f t="shared" si="23"/>
        <v>6.0226185424571716E-3</v>
      </c>
      <c r="F42" s="32">
        <f t="shared" si="23"/>
        <v>4.6552606759875468E-3</v>
      </c>
      <c r="G42" s="32">
        <f t="shared" si="23"/>
        <v>4.9117732895714852E-3</v>
      </c>
      <c r="H42" s="32">
        <f t="shared" si="23"/>
        <v>5.3257647989517582E-3</v>
      </c>
      <c r="I42" s="32">
        <f t="shared" si="23"/>
        <v>8.1206521226492405E-3</v>
      </c>
      <c r="J42" s="32">
        <f t="shared" ref="J42" si="30">J39/J$36</f>
        <v>6.0607960996621555E-3</v>
      </c>
      <c r="K42" s="32">
        <f t="shared" ref="K42" si="31">K39/K$36</f>
        <v>7.7901428429501124E-3</v>
      </c>
      <c r="L42" s="32">
        <f>L39/L$36</f>
        <v>5.1751667563727623E-3</v>
      </c>
      <c r="M42" s="32">
        <f t="shared" ref="M42" si="32">M39/M$36</f>
        <v>5.7942164329120791E-3</v>
      </c>
    </row>
    <row r="43" spans="1:13">
      <c r="J43" s="26"/>
      <c r="K43" s="26"/>
      <c r="L43" s="26"/>
      <c r="M43" s="26"/>
    </row>
    <row r="44" spans="1:13">
      <c r="J44" s="26"/>
      <c r="K44" s="26"/>
      <c r="L44" s="26"/>
      <c r="M44" s="26"/>
    </row>
    <row r="45" spans="1:13">
      <c r="A45" s="29" t="s">
        <v>30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>
      <c r="A46" s="29" t="s">
        <v>17</v>
      </c>
      <c r="B46" s="31" t="s">
        <v>18</v>
      </c>
      <c r="C46" s="31" t="s">
        <v>19</v>
      </c>
      <c r="D46" s="31" t="s">
        <v>20</v>
      </c>
      <c r="E46" s="31" t="s">
        <v>21</v>
      </c>
      <c r="F46" s="31" t="s">
        <v>22</v>
      </c>
      <c r="G46" s="31" t="s">
        <v>23</v>
      </c>
      <c r="H46" s="31" t="s">
        <v>24</v>
      </c>
      <c r="I46" s="31" t="s">
        <v>25</v>
      </c>
      <c r="J46" s="48">
        <v>45901</v>
      </c>
      <c r="K46" s="48">
        <v>45931</v>
      </c>
      <c r="L46" s="48">
        <v>45962</v>
      </c>
      <c r="M46" s="48">
        <v>45992</v>
      </c>
    </row>
    <row r="47" spans="1:13">
      <c r="A47" t="s">
        <v>14</v>
      </c>
      <c r="B47" s="26">
        <v>15489470</v>
      </c>
      <c r="C47" s="26">
        <v>10874150</v>
      </c>
      <c r="D47" s="26">
        <v>20184000</v>
      </c>
      <c r="E47" s="26">
        <v>13943860</v>
      </c>
      <c r="F47" s="26">
        <v>16508620</v>
      </c>
      <c r="G47" s="26">
        <v>16960280</v>
      </c>
      <c r="H47" s="26">
        <v>15519341</v>
      </c>
      <c r="I47" s="26">
        <f>'Agosto 2025-real'!C8</f>
        <v>16141623</v>
      </c>
      <c r="J47" s="26">
        <f>'Septiembre 2025_real'!C7</f>
        <v>19997040.02</v>
      </c>
      <c r="K47" s="26">
        <f>'Octubre 2025_real'!C7</f>
        <v>19749648.989999998</v>
      </c>
      <c r="L47" s="26">
        <f>'Noviembre 2025_real'!C7</f>
        <v>31448390</v>
      </c>
      <c r="M47" s="26">
        <f>'Diciembre 2025'!C7</f>
        <v>25547205.604899999</v>
      </c>
    </row>
    <row r="48" spans="1:13">
      <c r="A48" t="s">
        <v>1</v>
      </c>
      <c r="B48" s="26">
        <v>2954248.4525400004</v>
      </c>
      <c r="C48" s="26">
        <v>3743565.4185300004</v>
      </c>
      <c r="D48" s="26">
        <v>3179852.2605179898</v>
      </c>
      <c r="E48" s="26">
        <v>3429207.3599999901</v>
      </c>
      <c r="F48" s="26">
        <v>3409856.4498499995</v>
      </c>
      <c r="G48" s="26">
        <v>3488406.3499999996</v>
      </c>
      <c r="H48" s="26">
        <v>3398151.2694399999</v>
      </c>
      <c r="I48" s="26">
        <f>'Agosto 2025-real'!D8</f>
        <v>2609720.2241289611</v>
      </c>
      <c r="J48" s="26">
        <f>'Septiembre 2025_real'!D7</f>
        <v>2444318</v>
      </c>
      <c r="K48" s="26">
        <f>'Octubre 2025_real'!D7</f>
        <v>2611013</v>
      </c>
      <c r="L48" s="26">
        <f>'Noviembre 2025_real'!D7</f>
        <v>2874528</v>
      </c>
      <c r="M48" s="26">
        <f>'Diciembre 2025'!D7</f>
        <v>3048929</v>
      </c>
    </row>
    <row r="49" spans="1:13">
      <c r="A49" t="s">
        <v>16</v>
      </c>
      <c r="B49" s="26">
        <v>868340</v>
      </c>
      <c r="C49" s="26">
        <v>784600</v>
      </c>
      <c r="D49" s="26">
        <v>828230</v>
      </c>
      <c r="E49" s="26">
        <v>825046.92999999993</v>
      </c>
      <c r="F49" s="26">
        <v>873351.79</v>
      </c>
      <c r="G49" s="26">
        <v>907729.21</v>
      </c>
      <c r="H49" s="26">
        <v>884335.92</v>
      </c>
      <c r="I49" s="26">
        <f>'Agosto 2025-real'!G8</f>
        <v>909802.21</v>
      </c>
      <c r="J49" s="26">
        <f>'Septiembre 2025_real'!G7</f>
        <v>923840</v>
      </c>
      <c r="K49" s="26">
        <f>'Octubre 2025_real'!G7</f>
        <v>952237.97</v>
      </c>
      <c r="L49" s="26">
        <f>'Noviembre 2025_real'!G7</f>
        <v>949306</v>
      </c>
      <c r="M49" s="26">
        <f>'Diciembre 2025'!G7</f>
        <v>1136765.72</v>
      </c>
    </row>
    <row r="50" spans="1:13">
      <c r="A50" t="s">
        <v>15</v>
      </c>
      <c r="B50" s="26">
        <v>285289.01</v>
      </c>
      <c r="C50" s="26">
        <v>336254.14</v>
      </c>
      <c r="D50" s="26">
        <v>287638.92</v>
      </c>
      <c r="E50" s="26">
        <v>325369.83</v>
      </c>
      <c r="F50" s="26">
        <v>347427.62</v>
      </c>
      <c r="G50" s="26">
        <v>271715</v>
      </c>
      <c r="H50" s="26">
        <v>299902.2</v>
      </c>
      <c r="I50" s="26">
        <f>'Agosto 2025-real'!H8</f>
        <v>462502.76</v>
      </c>
      <c r="J50" s="26">
        <f>'Septiembre 2025_real'!H7</f>
        <v>419343.85</v>
      </c>
      <c r="K50" s="26">
        <f>'Octubre 2025_real'!H7</f>
        <v>523330.01</v>
      </c>
      <c r="L50" s="26">
        <f>'Noviembre 2025_real'!H7</f>
        <v>433695.18</v>
      </c>
      <c r="M50" s="26">
        <f>'Diciembre 2025'!H7</f>
        <v>747180.52</v>
      </c>
    </row>
    <row r="51" spans="1:13">
      <c r="A51" s="27" t="s">
        <v>1</v>
      </c>
      <c r="B51" s="32">
        <f t="shared" ref="B51:I53" si="33">B48/B$47</f>
        <v>0.1907262451549343</v>
      </c>
      <c r="C51" s="32">
        <f t="shared" si="33"/>
        <v>0.3442628084521549</v>
      </c>
      <c r="D51" s="32">
        <f t="shared" si="33"/>
        <v>0.15754321544381639</v>
      </c>
      <c r="E51" s="32">
        <f t="shared" si="33"/>
        <v>0.2459295603943234</v>
      </c>
      <c r="F51" s="32">
        <f t="shared" si="33"/>
        <v>0.20655005989901032</v>
      </c>
      <c r="G51" s="32">
        <f t="shared" si="33"/>
        <v>0.20568094099861556</v>
      </c>
      <c r="H51" s="32">
        <f t="shared" si="33"/>
        <v>0.21896234314588486</v>
      </c>
      <c r="I51" s="32">
        <f t="shared" si="33"/>
        <v>0.16167644505939466</v>
      </c>
      <c r="J51" s="32">
        <f t="shared" ref="J51" si="34">J48/J$47</f>
        <v>0.12223399050836126</v>
      </c>
      <c r="K51" s="32">
        <f t="shared" ref="K51" si="35">K48/K$47</f>
        <v>0.13220553951728739</v>
      </c>
      <c r="L51" s="32">
        <f>L48/L$47</f>
        <v>9.1404615625791968E-2</v>
      </c>
      <c r="M51" s="32">
        <f t="shared" ref="M51" si="36">M48/M$47</f>
        <v>0.11934491181357268</v>
      </c>
    </row>
    <row r="52" spans="1:13">
      <c r="A52" s="27" t="s">
        <v>16</v>
      </c>
      <c r="B52" s="32">
        <f t="shared" si="33"/>
        <v>5.6060020129804315E-2</v>
      </c>
      <c r="C52" s="32">
        <f t="shared" si="33"/>
        <v>7.215276596331667E-2</v>
      </c>
      <c r="D52" s="32">
        <f t="shared" si="33"/>
        <v>4.1033987316686484E-2</v>
      </c>
      <c r="E52" s="32">
        <f t="shared" si="33"/>
        <v>5.9169192031474784E-2</v>
      </c>
      <c r="F52" s="32">
        <f t="shared" si="33"/>
        <v>5.2902773823614573E-2</v>
      </c>
      <c r="G52" s="32">
        <f t="shared" si="33"/>
        <v>5.3520885858016495E-2</v>
      </c>
      <c r="H52" s="32">
        <f t="shared" si="33"/>
        <v>5.6982826783688822E-2</v>
      </c>
      <c r="I52" s="32">
        <f t="shared" si="33"/>
        <v>5.6363738020643893E-2</v>
      </c>
      <c r="J52" s="32">
        <f t="shared" ref="J52" si="37">J49/J$47</f>
        <v>4.6198837381733658E-2</v>
      </c>
      <c r="K52" s="32">
        <f t="shared" ref="K52" si="38">K49/K$47</f>
        <v>4.8215437675988793E-2</v>
      </c>
      <c r="L52" s="32">
        <f>L49/L$47</f>
        <v>3.018615579366702E-2</v>
      </c>
      <c r="M52" s="32">
        <f t="shared" ref="M52" si="39">M49/M$47</f>
        <v>4.4496675588737045E-2</v>
      </c>
    </row>
    <row r="53" spans="1:13">
      <c r="A53" s="27" t="s">
        <v>15</v>
      </c>
      <c r="B53" s="32">
        <f t="shared" si="33"/>
        <v>1.8418255111375664E-2</v>
      </c>
      <c r="C53" s="32">
        <f t="shared" si="33"/>
        <v>3.0922337837899976E-2</v>
      </c>
      <c r="D53" s="32">
        <f t="shared" si="33"/>
        <v>1.4250838287752674E-2</v>
      </c>
      <c r="E53" s="32">
        <f t="shared" si="33"/>
        <v>2.3334272575886449E-2</v>
      </c>
      <c r="F53" s="32">
        <f t="shared" si="33"/>
        <v>2.1045224858286155E-2</v>
      </c>
      <c r="G53" s="32">
        <f t="shared" si="33"/>
        <v>1.6020667111627872E-2</v>
      </c>
      <c r="H53" s="32">
        <f t="shared" si="33"/>
        <v>1.9324415901422618E-2</v>
      </c>
      <c r="I53" s="32">
        <f t="shared" si="33"/>
        <v>2.8652803996227643E-2</v>
      </c>
      <c r="J53" s="32">
        <f t="shared" ref="J53" si="40">J50/J$47</f>
        <v>2.0970296082849966E-2</v>
      </c>
      <c r="K53" s="32">
        <f t="shared" ref="K53" si="41">K50/K$47</f>
        <v>2.6498192968643745E-2</v>
      </c>
      <c r="L53" s="32">
        <f>L50/L$47</f>
        <v>1.3790695803505362E-2</v>
      </c>
      <c r="M53" s="32">
        <f t="shared" ref="M53" si="42">M50/M$47</f>
        <v>2.9247054709446951E-2</v>
      </c>
    </row>
    <row r="54" spans="1:13">
      <c r="A54" s="27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>
      <c r="A55" s="27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>
      <c r="A56" s="52" t="s">
        <v>34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3">
      <c r="A57" s="29" t="s">
        <v>17</v>
      </c>
      <c r="B57" s="31" t="s">
        <v>18</v>
      </c>
      <c r="C57" s="31" t="s">
        <v>19</v>
      </c>
      <c r="D57" s="31" t="s">
        <v>20</v>
      </c>
      <c r="E57" s="31" t="s">
        <v>21</v>
      </c>
      <c r="F57" s="31" t="s">
        <v>22</v>
      </c>
      <c r="G57" s="31" t="s">
        <v>23</v>
      </c>
      <c r="H57" s="31" t="s">
        <v>24</v>
      </c>
      <c r="I57" s="31" t="s">
        <v>25</v>
      </c>
      <c r="J57" s="48">
        <v>45901</v>
      </c>
      <c r="K57" s="48">
        <v>45931</v>
      </c>
      <c r="L57" s="48">
        <v>45962</v>
      </c>
      <c r="M57" s="48">
        <v>45992</v>
      </c>
    </row>
    <row r="58" spans="1:13">
      <c r="A58" s="27" t="s">
        <v>14</v>
      </c>
      <c r="B58" s="26">
        <f>B36+B47</f>
        <v>55547889</v>
      </c>
      <c r="C58" s="26">
        <f t="shared" ref="C58:M58" si="43">C36+C47</f>
        <v>43383510</v>
      </c>
      <c r="D58" s="26">
        <f t="shared" si="43"/>
        <v>55627210</v>
      </c>
      <c r="E58" s="26">
        <f t="shared" si="43"/>
        <v>38334910</v>
      </c>
      <c r="F58" s="26">
        <f t="shared" si="43"/>
        <v>39824730</v>
      </c>
      <c r="G58" s="26">
        <f t="shared" si="43"/>
        <v>41459550</v>
      </c>
      <c r="H58" s="26">
        <f t="shared" si="43"/>
        <v>42001791</v>
      </c>
      <c r="I58" s="26">
        <f t="shared" si="43"/>
        <v>50178902.990000002</v>
      </c>
      <c r="J58" s="26">
        <f t="shared" si="43"/>
        <v>53130580.019999996</v>
      </c>
      <c r="K58" s="26">
        <f t="shared" si="43"/>
        <v>52098168.789999999</v>
      </c>
      <c r="L58" s="26">
        <f>L36+L47</f>
        <v>94357530</v>
      </c>
      <c r="M58" s="26">
        <f t="shared" si="43"/>
        <v>75813790.115899995</v>
      </c>
    </row>
    <row r="59" spans="1:13">
      <c r="A59" s="27" t="s">
        <v>1</v>
      </c>
      <c r="B59" s="26">
        <f t="shared" ref="B59:M61" si="44">B37+B48</f>
        <v>5387491.9299600013</v>
      </c>
      <c r="C59" s="26">
        <f t="shared" si="44"/>
        <v>6268599.991080001</v>
      </c>
      <c r="D59" s="26">
        <f t="shared" si="44"/>
        <v>7786037.1615259908</v>
      </c>
      <c r="E59" s="26">
        <f t="shared" si="44"/>
        <v>7662100.3322999803</v>
      </c>
      <c r="F59" s="26">
        <f t="shared" si="44"/>
        <v>8072962.0398499994</v>
      </c>
      <c r="G59" s="26">
        <f t="shared" si="44"/>
        <v>8223454.5299999993</v>
      </c>
      <c r="H59" s="26">
        <f t="shared" si="44"/>
        <v>8007519.6077749897</v>
      </c>
      <c r="I59" s="26">
        <f t="shared" si="44"/>
        <v>5694414.9237579927</v>
      </c>
      <c r="J59" s="26">
        <f t="shared" si="44"/>
        <v>4707981</v>
      </c>
      <c r="K59" s="26">
        <f t="shared" si="44"/>
        <v>5821571</v>
      </c>
      <c r="L59" s="26">
        <f>L37+L48</f>
        <v>6704693</v>
      </c>
      <c r="M59" s="26">
        <f t="shared" si="44"/>
        <v>6907819</v>
      </c>
    </row>
    <row r="60" spans="1:13">
      <c r="A60" s="27" t="s">
        <v>16</v>
      </c>
      <c r="B60" s="26">
        <f t="shared" si="44"/>
        <v>4401415.22</v>
      </c>
      <c r="C60" s="26">
        <f t="shared" si="44"/>
        <v>3841173.36</v>
      </c>
      <c r="D60" s="26">
        <f t="shared" si="44"/>
        <v>3310860.12</v>
      </c>
      <c r="E60" s="26">
        <f t="shared" si="44"/>
        <v>3501422.62</v>
      </c>
      <c r="F60" s="26">
        <f t="shared" si="44"/>
        <v>2974735.9699999997</v>
      </c>
      <c r="G60" s="26">
        <f t="shared" si="44"/>
        <v>2971495.41</v>
      </c>
      <c r="H60" s="26">
        <f t="shared" si="44"/>
        <v>2960741.03</v>
      </c>
      <c r="I60" s="26">
        <f t="shared" si="44"/>
        <v>3224600.7</v>
      </c>
      <c r="J60" s="26">
        <f t="shared" si="44"/>
        <v>3705495.4400000004</v>
      </c>
      <c r="K60" s="26">
        <f t="shared" si="44"/>
        <v>3681505.2800000003</v>
      </c>
      <c r="L60" s="26">
        <f>L38+L49</f>
        <v>3738141.71</v>
      </c>
      <c r="M60" s="26">
        <f t="shared" si="44"/>
        <v>5888607.2699999996</v>
      </c>
    </row>
    <row r="61" spans="1:13">
      <c r="A61" s="27" t="s">
        <v>15</v>
      </c>
      <c r="B61" s="26">
        <f t="shared" si="44"/>
        <v>451793.56666666665</v>
      </c>
      <c r="C61" s="26">
        <f t="shared" si="44"/>
        <v>573764.14</v>
      </c>
      <c r="D61" s="26">
        <f t="shared" si="44"/>
        <v>416064.69999999995</v>
      </c>
      <c r="E61" s="26">
        <f t="shared" si="44"/>
        <v>472267.82</v>
      </c>
      <c r="F61" s="26">
        <f t="shared" si="44"/>
        <v>455970.19</v>
      </c>
      <c r="G61" s="26">
        <f t="shared" si="44"/>
        <v>392049.86</v>
      </c>
      <c r="H61" s="26">
        <f t="shared" si="44"/>
        <v>440941.5</v>
      </c>
      <c r="I61" s="26">
        <f t="shared" si="44"/>
        <v>738907.67</v>
      </c>
      <c r="J61" s="26">
        <f t="shared" si="44"/>
        <v>620159.48</v>
      </c>
      <c r="K61" s="26">
        <f t="shared" si="44"/>
        <v>775329.6</v>
      </c>
      <c r="L61" s="26">
        <f>L39+L50</f>
        <v>759260.47</v>
      </c>
      <c r="M61" s="26">
        <f t="shared" si="44"/>
        <v>1038435.99</v>
      </c>
    </row>
    <row r="62" spans="1:13">
      <c r="A62" s="27" t="s">
        <v>1</v>
      </c>
      <c r="B62" s="32">
        <f t="shared" ref="B62:M62" si="45">B59/B$58</f>
        <v>9.6988238922274816E-2</v>
      </c>
      <c r="C62" s="32">
        <f t="shared" si="45"/>
        <v>0.14449268837583684</v>
      </c>
      <c r="D62" s="32">
        <f t="shared" si="45"/>
        <v>0.13996814079882833</v>
      </c>
      <c r="E62" s="32">
        <f t="shared" si="45"/>
        <v>0.19987265738461316</v>
      </c>
      <c r="F62" s="32">
        <f t="shared" si="45"/>
        <v>0.20271228555347393</v>
      </c>
      <c r="G62" s="32">
        <f t="shared" si="45"/>
        <v>0.19834886123944903</v>
      </c>
      <c r="H62" s="32">
        <f t="shared" si="45"/>
        <v>0.19064709901953919</v>
      </c>
      <c r="I62" s="32">
        <f t="shared" si="45"/>
        <v>0.11348225219058326</v>
      </c>
      <c r="J62" s="32">
        <f t="shared" si="45"/>
        <v>8.8611511454002007E-2</v>
      </c>
      <c r="K62" s="32">
        <f t="shared" si="45"/>
        <v>0.11174233442764352</v>
      </c>
      <c r="L62" s="32">
        <f>L59/L$58</f>
        <v>7.1056258043210752E-2</v>
      </c>
      <c r="M62" s="32">
        <f t="shared" si="45"/>
        <v>9.1115600333919494E-2</v>
      </c>
    </row>
    <row r="63" spans="1:13">
      <c r="A63" s="27" t="s">
        <v>16</v>
      </c>
      <c r="B63" s="32">
        <f t="shared" ref="B63:M63" si="46">B60/B$58</f>
        <v>7.9236408425889956E-2</v>
      </c>
      <c r="C63" s="32">
        <f t="shared" si="46"/>
        <v>8.8539939714421451E-2</v>
      </c>
      <c r="D63" s="32">
        <f t="shared" si="46"/>
        <v>5.9518716110335212E-2</v>
      </c>
      <c r="E63" s="32">
        <f t="shared" si="46"/>
        <v>9.1337702892741887E-2</v>
      </c>
      <c r="F63" s="32">
        <f t="shared" si="46"/>
        <v>7.4695697120859314E-2</v>
      </c>
      <c r="G63" s="32">
        <f t="shared" si="46"/>
        <v>7.1672157802002201E-2</v>
      </c>
      <c r="H63" s="32">
        <f t="shared" si="46"/>
        <v>7.0490828117305754E-2</v>
      </c>
      <c r="I63" s="32">
        <f t="shared" si="46"/>
        <v>6.4262080433337115E-2</v>
      </c>
      <c r="J63" s="32">
        <f t="shared" si="46"/>
        <v>6.9743176878647617E-2</v>
      </c>
      <c r="K63" s="32">
        <f t="shared" si="46"/>
        <v>7.0664773167740363E-2</v>
      </c>
      <c r="L63" s="32">
        <f>L60/L$58</f>
        <v>3.9616782147646301E-2</v>
      </c>
      <c r="M63" s="32">
        <f t="shared" si="46"/>
        <v>7.7671981060408901E-2</v>
      </c>
    </row>
    <row r="64" spans="1:13">
      <c r="A64" s="27" t="s">
        <v>15</v>
      </c>
      <c r="B64" s="32">
        <f t="shared" ref="B64:M64" si="47">B61/B$58</f>
        <v>8.1334065938431371E-3</v>
      </c>
      <c r="C64" s="32">
        <f t="shared" si="47"/>
        <v>1.3225396930769318E-2</v>
      </c>
      <c r="D64" s="32">
        <f t="shared" si="47"/>
        <v>7.4795176677025501E-3</v>
      </c>
      <c r="E64" s="32">
        <f t="shared" si="47"/>
        <v>1.2319523379603604E-2</v>
      </c>
      <c r="F64" s="32">
        <f t="shared" si="47"/>
        <v>1.1449423260371131E-2</v>
      </c>
      <c r="G64" s="32">
        <f t="shared" si="47"/>
        <v>9.4562015265481653E-3</v>
      </c>
      <c r="H64" s="32">
        <f t="shared" si="47"/>
        <v>1.0498159471342543E-2</v>
      </c>
      <c r="I64" s="32">
        <f t="shared" si="47"/>
        <v>1.472546480634012E-2</v>
      </c>
      <c r="J64" s="32">
        <f t="shared" si="47"/>
        <v>1.1672364197163908E-2</v>
      </c>
      <c r="K64" s="32">
        <f t="shared" si="47"/>
        <v>1.488208929425598E-2</v>
      </c>
      <c r="L64" s="32">
        <f>L61/L$58</f>
        <v>8.0466335861059529E-3</v>
      </c>
      <c r="M64" s="32">
        <f t="shared" si="47"/>
        <v>1.3697191347543707E-2</v>
      </c>
    </row>
    <row r="65" spans="1:13">
      <c r="A65" s="27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</row>
    <row r="66" spans="1:13">
      <c r="A66" s="27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</row>
    <row r="67" spans="1:13">
      <c r="A67" s="29" t="s">
        <v>31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spans="1:13">
      <c r="A68" s="29" t="s">
        <v>17</v>
      </c>
      <c r="B68" s="31" t="s">
        <v>18</v>
      </c>
      <c r="C68" s="31" t="s">
        <v>19</v>
      </c>
      <c r="D68" s="31" t="s">
        <v>20</v>
      </c>
      <c r="E68" s="31" t="s">
        <v>21</v>
      </c>
      <c r="F68" s="31" t="s">
        <v>22</v>
      </c>
      <c r="G68" s="31" t="s">
        <v>23</v>
      </c>
      <c r="H68" s="31" t="s">
        <v>24</v>
      </c>
      <c r="I68" s="31" t="s">
        <v>25</v>
      </c>
      <c r="J68" s="48">
        <v>45901</v>
      </c>
      <c r="K68" s="48">
        <v>45931</v>
      </c>
      <c r="L68" s="48">
        <v>45962</v>
      </c>
      <c r="M68" s="48">
        <v>45992</v>
      </c>
    </row>
    <row r="69" spans="1:13">
      <c r="A69" t="s">
        <v>14</v>
      </c>
      <c r="B69" s="26">
        <v>2472710</v>
      </c>
      <c r="C69" s="26">
        <v>4561520</v>
      </c>
      <c r="D69" s="26">
        <v>9767149</v>
      </c>
      <c r="E69" s="26">
        <v>7597050</v>
      </c>
      <c r="F69" s="26">
        <v>7007130</v>
      </c>
      <c r="G69" s="26">
        <v>10595670</v>
      </c>
      <c r="H69" s="26">
        <v>9569768</v>
      </c>
      <c r="I69" s="26">
        <f>'Agosto 2025-real'!C9</f>
        <v>10898600.01</v>
      </c>
      <c r="J69" s="26">
        <f>'Septiembre 2025_real'!C10</f>
        <v>12808500.01</v>
      </c>
      <c r="K69" s="26">
        <f>'Octubre 2025_real'!C10</f>
        <v>14527110</v>
      </c>
      <c r="L69" s="26">
        <f>'Noviembre 2025_real'!C10</f>
        <v>24191146</v>
      </c>
      <c r="M69" s="26">
        <f>'Diciembre 2025'!C10</f>
        <v>16630870.0153</v>
      </c>
    </row>
    <row r="70" spans="1:13">
      <c r="A70" t="s">
        <v>1</v>
      </c>
      <c r="B70" s="26">
        <v>1809449.8020900004</v>
      </c>
      <c r="C70" s="26">
        <v>1924583.0316300001</v>
      </c>
      <c r="D70" s="26">
        <v>2035425.9284600001</v>
      </c>
      <c r="E70" s="26">
        <v>2341500.4999499898</v>
      </c>
      <c r="F70" s="26">
        <v>2921356.6</v>
      </c>
      <c r="G70" s="26">
        <v>2451863.38</v>
      </c>
      <c r="H70" s="26">
        <v>2342497.3015449904</v>
      </c>
      <c r="I70" s="26">
        <f>'Agosto 2025-real'!D9</f>
        <v>2415229.7584741502</v>
      </c>
      <c r="J70" s="26">
        <f>'Septiembre 2025_real'!D10</f>
        <v>2087438</v>
      </c>
      <c r="K70" s="26">
        <f>'Octubre 2025_real'!D10</f>
        <v>2640837</v>
      </c>
      <c r="L70" s="26">
        <f>'Noviembre 2025_real'!D10</f>
        <v>2658266</v>
      </c>
      <c r="M70" s="26">
        <f>'Diciembre 2025'!D10</f>
        <v>2706334</v>
      </c>
    </row>
    <row r="71" spans="1:13">
      <c r="A71" t="s">
        <v>16</v>
      </c>
      <c r="B71" s="26">
        <v>1337846.76</v>
      </c>
      <c r="C71" s="26">
        <v>1242334.96</v>
      </c>
      <c r="D71" s="26">
        <v>1164596.76</v>
      </c>
      <c r="E71" s="26">
        <v>1168004.49</v>
      </c>
      <c r="F71" s="26">
        <v>1302750.98</v>
      </c>
      <c r="G71" s="26">
        <v>1417632.2</v>
      </c>
      <c r="H71" s="26">
        <v>1385521.15</v>
      </c>
      <c r="I71" s="26">
        <f>'Agosto 2025-real'!G9</f>
        <v>1460985.05</v>
      </c>
      <c r="J71" s="26">
        <f>'Septiembre 2025_real'!G10</f>
        <v>1432031.5</v>
      </c>
      <c r="K71" s="26">
        <f>'Octubre 2025_real'!G10</f>
        <v>1597173.31</v>
      </c>
      <c r="L71" s="26">
        <f>'Noviembre 2025_real'!G10</f>
        <v>1850678.27</v>
      </c>
      <c r="M71" s="26">
        <f>'Diciembre 2025'!G10</f>
        <v>2591827.83</v>
      </c>
    </row>
    <row r="72" spans="1:13">
      <c r="A72" t="s">
        <v>15</v>
      </c>
      <c r="B72" s="26">
        <v>83461.05</v>
      </c>
      <c r="C72" s="26">
        <v>118196.65000000001</v>
      </c>
      <c r="D72" s="26">
        <v>119133.85</v>
      </c>
      <c r="E72" s="26">
        <v>137554.66999999998</v>
      </c>
      <c r="F72" s="26">
        <v>178268.44</v>
      </c>
      <c r="G72" s="26">
        <v>113029.67</v>
      </c>
      <c r="H72" s="26">
        <v>81728.47</v>
      </c>
      <c r="I72" s="26">
        <f>'Agosto 2025-real'!H9</f>
        <v>444315.8</v>
      </c>
      <c r="J72" s="26">
        <f>'Septiembre 2025_real'!H10</f>
        <v>189129.62</v>
      </c>
      <c r="K72" s="26">
        <f>'Octubre 2025_real'!H10</f>
        <v>146799.82</v>
      </c>
      <c r="L72" s="26">
        <f>'Noviembre 2025_real'!H10</f>
        <v>1291237.8</v>
      </c>
      <c r="M72" s="26">
        <f>'Diciembre 2025'!H10</f>
        <v>7298650.7800000003</v>
      </c>
    </row>
    <row r="73" spans="1:13">
      <c r="A73" s="27" t="s">
        <v>1</v>
      </c>
      <c r="B73" s="32">
        <f t="shared" ref="B73:I75" si="48">B70/B$69</f>
        <v>0.7317678992239286</v>
      </c>
      <c r="C73" s="32">
        <f t="shared" si="48"/>
        <v>0.42191704336054653</v>
      </c>
      <c r="D73" s="32">
        <f t="shared" si="48"/>
        <v>0.20839509343617058</v>
      </c>
      <c r="E73" s="32">
        <f t="shared" si="48"/>
        <v>0.30821180589175928</v>
      </c>
      <c r="F73" s="32">
        <f t="shared" si="48"/>
        <v>0.41691200248889349</v>
      </c>
      <c r="G73" s="32">
        <f t="shared" si="48"/>
        <v>0.23140239173171681</v>
      </c>
      <c r="H73" s="32">
        <f t="shared" si="48"/>
        <v>0.24478099171735307</v>
      </c>
      <c r="I73" s="32">
        <f t="shared" si="48"/>
        <v>0.22160917514708847</v>
      </c>
      <c r="J73" s="32">
        <f t="shared" ref="J73" si="49">J70/J$69</f>
        <v>0.16297286945155728</v>
      </c>
      <c r="K73" s="32">
        <f t="shared" ref="K73" si="50">K70/K$69</f>
        <v>0.18178681100370273</v>
      </c>
      <c r="L73" s="32">
        <f>L70/L$69</f>
        <v>0.10988590619063686</v>
      </c>
      <c r="M73" s="32">
        <f t="shared" ref="M73" si="51">M70/M$69</f>
        <v>0.16272955037891812</v>
      </c>
    </row>
    <row r="74" spans="1:13">
      <c r="A74" s="27" t="s">
        <v>16</v>
      </c>
      <c r="B74" s="32">
        <f t="shared" si="48"/>
        <v>0.54104474847434592</v>
      </c>
      <c r="C74" s="32">
        <f t="shared" si="48"/>
        <v>0.27235109349515074</v>
      </c>
      <c r="D74" s="32">
        <f t="shared" si="48"/>
        <v>0.11923610052431882</v>
      </c>
      <c r="E74" s="32">
        <f t="shared" si="48"/>
        <v>0.1537444784488716</v>
      </c>
      <c r="F74" s="32">
        <f t="shared" si="48"/>
        <v>0.18591791218373285</v>
      </c>
      <c r="G74" s="32">
        <f t="shared" si="48"/>
        <v>0.13379354019141781</v>
      </c>
      <c r="H74" s="32">
        <f t="shared" si="48"/>
        <v>0.14478105947813991</v>
      </c>
      <c r="I74" s="32">
        <f t="shared" si="48"/>
        <v>0.13405254332294742</v>
      </c>
      <c r="J74" s="32">
        <f t="shared" ref="J74" si="52">J71/J$69</f>
        <v>0.11180321652667899</v>
      </c>
      <c r="K74" s="32">
        <f t="shared" ref="K74" si="53">K71/K$69</f>
        <v>0.10994432547148057</v>
      </c>
      <c r="L74" s="32">
        <f>L71/L$69</f>
        <v>7.6502298402895005E-2</v>
      </c>
      <c r="M74" s="32">
        <f t="shared" ref="M74" si="54">M71/M$69</f>
        <v>0.1558443922425935</v>
      </c>
    </row>
    <row r="75" spans="1:13">
      <c r="A75" s="27" t="s">
        <v>15</v>
      </c>
      <c r="B75" s="32">
        <f t="shared" si="48"/>
        <v>3.3752866288404224E-2</v>
      </c>
      <c r="C75" s="32">
        <f t="shared" si="48"/>
        <v>2.5911680755537628E-2</v>
      </c>
      <c r="D75" s="32">
        <f t="shared" si="48"/>
        <v>1.2197402742601757E-2</v>
      </c>
      <c r="E75" s="32">
        <f t="shared" si="48"/>
        <v>1.8106326797901817E-2</v>
      </c>
      <c r="F75" s="32">
        <f t="shared" si="48"/>
        <v>2.5441006517647025E-2</v>
      </c>
      <c r="G75" s="32">
        <f t="shared" si="48"/>
        <v>1.0667534002097082E-2</v>
      </c>
      <c r="H75" s="32">
        <f t="shared" si="48"/>
        <v>8.5402770474686529E-3</v>
      </c>
      <c r="I75" s="32">
        <f t="shared" si="48"/>
        <v>4.0768153670408903E-2</v>
      </c>
      <c r="J75" s="32">
        <f t="shared" ref="J75" si="55">J72/J$69</f>
        <v>1.4765946039921969E-2</v>
      </c>
      <c r="K75" s="32">
        <f t="shared" ref="K75" si="56">K72/K$69</f>
        <v>1.0105232217557381E-2</v>
      </c>
      <c r="L75" s="32">
        <f>L72/L$69</f>
        <v>5.3376462611568712E-2</v>
      </c>
      <c r="M75" s="32">
        <f t="shared" ref="M75" si="57">M72/M$69</f>
        <v>0.43886163341337026</v>
      </c>
    </row>
    <row r="76" spans="1:13">
      <c r="A76" s="27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>
      <c r="A77" s="27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</row>
    <row r="78" spans="1:13">
      <c r="A78" s="29" t="s">
        <v>27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</row>
    <row r="79" spans="1:13">
      <c r="A79" s="29" t="s">
        <v>17</v>
      </c>
      <c r="B79" s="31" t="s">
        <v>18</v>
      </c>
      <c r="C79" s="31" t="s">
        <v>19</v>
      </c>
      <c r="D79" s="31" t="s">
        <v>20</v>
      </c>
      <c r="E79" s="31" t="s">
        <v>21</v>
      </c>
      <c r="F79" s="31" t="s">
        <v>22</v>
      </c>
      <c r="G79" s="31" t="s">
        <v>23</v>
      </c>
      <c r="H79" s="31" t="s">
        <v>24</v>
      </c>
      <c r="I79" s="31" t="s">
        <v>25</v>
      </c>
      <c r="J79" s="48">
        <v>45901</v>
      </c>
      <c r="K79" s="48">
        <v>45931</v>
      </c>
      <c r="L79" s="48">
        <v>45962</v>
      </c>
      <c r="M79" s="48">
        <v>45992</v>
      </c>
    </row>
    <row r="80" spans="1:13">
      <c r="A80" t="s">
        <v>14</v>
      </c>
      <c r="B80" s="26">
        <v>2607560</v>
      </c>
      <c r="C80" s="26">
        <v>3150490</v>
      </c>
      <c r="D80" s="26">
        <v>3287540</v>
      </c>
      <c r="E80" s="26">
        <v>2853620</v>
      </c>
      <c r="F80" s="26">
        <v>4034430</v>
      </c>
      <c r="G80" s="26">
        <v>4016350</v>
      </c>
      <c r="H80" s="26">
        <v>4523190</v>
      </c>
      <c r="I80" s="26">
        <f>'Agosto 2025-real'!C5</f>
        <v>4168817.5</v>
      </c>
      <c r="J80" s="26">
        <f>'Septiembre 2025_real'!C9</f>
        <v>4814090</v>
      </c>
      <c r="K80" s="26">
        <f>'Octubre 2025_real'!C9</f>
        <v>5985345.9900000002</v>
      </c>
      <c r="L80" s="26">
        <f>'Noviembre 2025_real'!C9</f>
        <v>5000090</v>
      </c>
      <c r="M80" s="26">
        <f>'Diciembre 2025'!C9</f>
        <v>5451413.8737000003</v>
      </c>
    </row>
    <row r="81" spans="1:13">
      <c r="A81" t="s">
        <v>1</v>
      </c>
      <c r="B81" s="26">
        <v>1796986.9373400002</v>
      </c>
      <c r="C81" s="26">
        <v>797689.43036999996</v>
      </c>
      <c r="D81" s="26">
        <v>1447369.1218730002</v>
      </c>
      <c r="E81" s="26">
        <v>2296399.7143999999</v>
      </c>
      <c r="F81" s="26">
        <v>2303093.8932999899</v>
      </c>
      <c r="G81" s="26">
        <v>2059091.1</v>
      </c>
      <c r="H81" s="26">
        <v>2159026.6703500003</v>
      </c>
      <c r="I81" s="26">
        <f>'Agosto 2025-real'!D5</f>
        <v>1914315.8043718264</v>
      </c>
      <c r="J81" s="26">
        <f>'Septiembre 2025_real'!D9</f>
        <v>1976546</v>
      </c>
      <c r="K81" s="26">
        <f>'Octubre 2025_real'!D9</f>
        <v>2111208</v>
      </c>
      <c r="L81" s="26">
        <f>'Noviembre 2025_real'!D9</f>
        <v>1669932</v>
      </c>
      <c r="M81" s="26">
        <f>'Diciembre 2025'!D9</f>
        <v>2058309</v>
      </c>
    </row>
    <row r="82" spans="1:13">
      <c r="A82" t="s">
        <v>16</v>
      </c>
      <c r="B82" s="26">
        <v>1122708.79</v>
      </c>
      <c r="C82" s="26">
        <v>806259</v>
      </c>
      <c r="D82" s="26">
        <v>798589</v>
      </c>
      <c r="E82" s="26">
        <v>821068.89</v>
      </c>
      <c r="F82" s="26">
        <v>815338.14</v>
      </c>
      <c r="G82" s="26">
        <v>881448.15999999992</v>
      </c>
      <c r="H82" s="26">
        <v>906090.96</v>
      </c>
      <c r="I82" s="26">
        <f>'Agosto 2025-real'!G5</f>
        <v>927278.15999999992</v>
      </c>
      <c r="J82" s="26">
        <f>'Septiembre 2025_real'!G9</f>
        <v>938106.24</v>
      </c>
      <c r="K82" s="26">
        <f>'Octubre 2025_real'!G9</f>
        <v>1000893</v>
      </c>
      <c r="L82" s="26">
        <f>'Noviembre 2025_real'!G9</f>
        <v>997526.95</v>
      </c>
      <c r="M82" s="26">
        <f>'Diciembre 2025'!G9</f>
        <v>969718.28</v>
      </c>
    </row>
    <row r="83" spans="1:13">
      <c r="A83" t="s">
        <v>15</v>
      </c>
      <c r="B83" s="26">
        <v>101378.79000000001</v>
      </c>
      <c r="C83" s="26">
        <v>39614.160000000003</v>
      </c>
      <c r="D83" s="26">
        <v>2000443</v>
      </c>
      <c r="E83" s="26">
        <v>58830</v>
      </c>
      <c r="F83" s="26">
        <v>59755</v>
      </c>
      <c r="G83" s="26">
        <v>139251</v>
      </c>
      <c r="H83" s="26">
        <v>104555</v>
      </c>
      <c r="I83" s="26">
        <f>'Agosto 2025-real'!H5</f>
        <v>315055</v>
      </c>
      <c r="J83" s="26">
        <f>'Septiembre 2025_real'!H9</f>
        <v>159124</v>
      </c>
      <c r="K83" s="26">
        <f>'Octubre 2025_real'!H9</f>
        <v>409319</v>
      </c>
      <c r="L83" s="26">
        <f>'Noviembre 2025_real'!H9</f>
        <v>150044</v>
      </c>
      <c r="M83" s="26">
        <f>'Diciembre 2025'!H9</f>
        <v>407903</v>
      </c>
    </row>
    <row r="84" spans="1:13">
      <c r="A84" t="s">
        <v>1</v>
      </c>
      <c r="B84" s="32">
        <f t="shared" ref="B84:M84" si="58">B81/B$80</f>
        <v>0.6891450004371904</v>
      </c>
      <c r="C84" s="32">
        <f t="shared" si="58"/>
        <v>0.25319535385606684</v>
      </c>
      <c r="D84" s="32">
        <f t="shared" si="58"/>
        <v>0.440259014908716</v>
      </c>
      <c r="E84" s="32">
        <f t="shared" si="58"/>
        <v>0.80473213476216177</v>
      </c>
      <c r="F84" s="32">
        <f t="shared" si="58"/>
        <v>0.57085979761700911</v>
      </c>
      <c r="G84" s="32">
        <f t="shared" si="58"/>
        <v>0.51267720691672791</v>
      </c>
      <c r="H84" s="32">
        <f t="shared" si="58"/>
        <v>0.477323895381357</v>
      </c>
      <c r="I84" s="32">
        <f t="shared" si="58"/>
        <v>0.45919875465208693</v>
      </c>
      <c r="J84" s="32">
        <f t="shared" si="58"/>
        <v>0.41057520736006181</v>
      </c>
      <c r="K84" s="32">
        <f t="shared" si="58"/>
        <v>0.35272948356323841</v>
      </c>
      <c r="L84" s="32">
        <f>L81/L$80</f>
        <v>0.33398038835300964</v>
      </c>
      <c r="M84" s="32">
        <f t="shared" si="58"/>
        <v>0.37757342364522734</v>
      </c>
    </row>
    <row r="85" spans="1:13">
      <c r="A85" t="s">
        <v>16</v>
      </c>
      <c r="B85" s="32">
        <f t="shared" ref="B85:M85" si="59">B82/B$80</f>
        <v>0.43055913957876329</v>
      </c>
      <c r="C85" s="32">
        <f t="shared" si="59"/>
        <v>0.25591542902850034</v>
      </c>
      <c r="D85" s="32">
        <f t="shared" si="59"/>
        <v>0.2429138504778649</v>
      </c>
      <c r="E85" s="32">
        <f t="shared" si="59"/>
        <v>0.28772888121053258</v>
      </c>
      <c r="F85" s="32">
        <f t="shared" si="59"/>
        <v>0.20209500226797839</v>
      </c>
      <c r="G85" s="32">
        <f t="shared" si="59"/>
        <v>0.21946497690689307</v>
      </c>
      <c r="H85" s="32">
        <f t="shared" si="59"/>
        <v>0.20032122462244564</v>
      </c>
      <c r="I85" s="32">
        <f t="shared" si="59"/>
        <v>0.2224319390330711</v>
      </c>
      <c r="J85" s="32">
        <f t="shared" si="59"/>
        <v>0.1948667847921414</v>
      </c>
      <c r="K85" s="32">
        <f t="shared" si="59"/>
        <v>0.16722391682489854</v>
      </c>
      <c r="L85" s="32">
        <f>L82/L$80</f>
        <v>0.19950179896761858</v>
      </c>
      <c r="M85" s="32">
        <f t="shared" si="59"/>
        <v>0.17788381188196775</v>
      </c>
    </row>
    <row r="86" spans="1:13">
      <c r="A86" t="s">
        <v>15</v>
      </c>
      <c r="B86" s="32">
        <f t="shared" ref="B86:M86" si="60">B83/B$80</f>
        <v>3.8878794735308107E-2</v>
      </c>
      <c r="C86" s="32">
        <f t="shared" si="60"/>
        <v>1.2573967858967972E-2</v>
      </c>
      <c r="D86" s="32">
        <f t="shared" si="60"/>
        <v>0.60849236815369545</v>
      </c>
      <c r="E86" s="32">
        <f t="shared" si="60"/>
        <v>2.0615919428655531E-2</v>
      </c>
      <c r="F86" s="32">
        <f t="shared" si="60"/>
        <v>1.481126206180303E-2</v>
      </c>
      <c r="G86" s="32">
        <f t="shared" si="60"/>
        <v>3.4671032156062098E-2</v>
      </c>
      <c r="H86" s="32">
        <f t="shared" si="60"/>
        <v>2.3115323477457282E-2</v>
      </c>
      <c r="I86" s="32">
        <f t="shared" si="60"/>
        <v>7.5574188603842699E-2</v>
      </c>
      <c r="J86" s="32">
        <f t="shared" si="60"/>
        <v>3.3053806638430105E-2</v>
      </c>
      <c r="K86" s="32">
        <f t="shared" si="60"/>
        <v>6.8386856947596442E-2</v>
      </c>
      <c r="L86" s="32">
        <f>L83/L$80</f>
        <v>3.0008259851322674E-2</v>
      </c>
      <c r="M86" s="32">
        <f t="shared" si="60"/>
        <v>7.4825175532516816E-2</v>
      </c>
    </row>
    <row r="87" spans="1:13">
      <c r="J87" s="26"/>
      <c r="K87" s="26"/>
      <c r="L87" s="26"/>
      <c r="M87" s="26"/>
    </row>
    <row r="88" spans="1:13">
      <c r="J88" s="26"/>
      <c r="K88" s="26"/>
      <c r="L88" s="26"/>
      <c r="M88" s="26"/>
    </row>
    <row r="89" spans="1:13">
      <c r="A89" s="52" t="s">
        <v>48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spans="1:13">
      <c r="A90" s="29" t="s">
        <v>17</v>
      </c>
      <c r="B90" s="31" t="s">
        <v>18</v>
      </c>
      <c r="C90" s="31" t="s">
        <v>19</v>
      </c>
      <c r="D90" s="31" t="s">
        <v>20</v>
      </c>
      <c r="E90" s="31" t="s">
        <v>21</v>
      </c>
      <c r="F90" s="31" t="s">
        <v>22</v>
      </c>
      <c r="G90" s="31" t="s">
        <v>23</v>
      </c>
      <c r="H90" s="31" t="s">
        <v>24</v>
      </c>
      <c r="I90" s="31" t="s">
        <v>25</v>
      </c>
      <c r="J90" s="48">
        <v>45901</v>
      </c>
      <c r="K90" s="48">
        <v>45931</v>
      </c>
      <c r="L90" s="48">
        <v>45962</v>
      </c>
      <c r="M90" s="48">
        <v>45992</v>
      </c>
    </row>
    <row r="91" spans="1:13">
      <c r="A91" s="27" t="s">
        <v>14</v>
      </c>
      <c r="B91" s="26">
        <f>B69+B80</f>
        <v>5080270</v>
      </c>
      <c r="C91" s="26">
        <f t="shared" ref="C91:M91" si="61">C69+C80</f>
        <v>7712010</v>
      </c>
      <c r="D91" s="26">
        <f t="shared" si="61"/>
        <v>13054689</v>
      </c>
      <c r="E91" s="26">
        <f t="shared" si="61"/>
        <v>10450670</v>
      </c>
      <c r="F91" s="26">
        <f t="shared" si="61"/>
        <v>11041560</v>
      </c>
      <c r="G91" s="26">
        <f t="shared" si="61"/>
        <v>14612020</v>
      </c>
      <c r="H91" s="26">
        <f t="shared" si="61"/>
        <v>14092958</v>
      </c>
      <c r="I91" s="26">
        <f t="shared" si="61"/>
        <v>15067417.51</v>
      </c>
      <c r="J91" s="26">
        <f t="shared" si="61"/>
        <v>17622590.009999998</v>
      </c>
      <c r="K91" s="26">
        <f t="shared" si="61"/>
        <v>20512455.990000002</v>
      </c>
      <c r="L91" s="26">
        <f>L69+L80</f>
        <v>29191236</v>
      </c>
      <c r="M91" s="26">
        <f t="shared" si="61"/>
        <v>22082283.888999999</v>
      </c>
    </row>
    <row r="92" spans="1:13">
      <c r="A92" s="27" t="s">
        <v>1</v>
      </c>
      <c r="B92" s="26">
        <f t="shared" ref="B92:M92" si="62">B70+B81</f>
        <v>3606436.7394300005</v>
      </c>
      <c r="C92" s="26">
        <f t="shared" si="62"/>
        <v>2722272.4620000003</v>
      </c>
      <c r="D92" s="26">
        <f t="shared" si="62"/>
        <v>3482795.0503330003</v>
      </c>
      <c r="E92" s="26">
        <f t="shared" si="62"/>
        <v>4637900.2143499898</v>
      </c>
      <c r="F92" s="26">
        <f t="shared" si="62"/>
        <v>5224450.49329999</v>
      </c>
      <c r="G92" s="26">
        <f t="shared" si="62"/>
        <v>4510954.4800000004</v>
      </c>
      <c r="H92" s="26">
        <f t="shared" si="62"/>
        <v>4501523.9718949907</v>
      </c>
      <c r="I92" s="26">
        <f t="shared" si="62"/>
        <v>4329545.562845977</v>
      </c>
      <c r="J92" s="26">
        <f t="shared" si="62"/>
        <v>4063984</v>
      </c>
      <c r="K92" s="26">
        <f t="shared" si="62"/>
        <v>4752045</v>
      </c>
      <c r="L92" s="26">
        <f>L70+L81</f>
        <v>4328198</v>
      </c>
      <c r="M92" s="26">
        <f t="shared" si="62"/>
        <v>4764643</v>
      </c>
    </row>
    <row r="93" spans="1:13">
      <c r="A93" s="27" t="s">
        <v>16</v>
      </c>
      <c r="B93" s="26">
        <f t="shared" ref="B93:M93" si="63">B71+B82</f>
        <v>2460555.5499999998</v>
      </c>
      <c r="C93" s="26">
        <f t="shared" si="63"/>
        <v>2048593.96</v>
      </c>
      <c r="D93" s="26">
        <f t="shared" si="63"/>
        <v>1963185.76</v>
      </c>
      <c r="E93" s="26">
        <f t="shared" si="63"/>
        <v>1989073.38</v>
      </c>
      <c r="F93" s="26">
        <f t="shared" si="63"/>
        <v>2118089.12</v>
      </c>
      <c r="G93" s="26">
        <f t="shared" si="63"/>
        <v>2299080.36</v>
      </c>
      <c r="H93" s="26">
        <f t="shared" si="63"/>
        <v>2291612.11</v>
      </c>
      <c r="I93" s="26">
        <f t="shared" si="63"/>
        <v>2388263.21</v>
      </c>
      <c r="J93" s="26">
        <f t="shared" si="63"/>
        <v>2370137.7400000002</v>
      </c>
      <c r="K93" s="26">
        <f t="shared" si="63"/>
        <v>2598066.31</v>
      </c>
      <c r="L93" s="26">
        <f>L71+L82</f>
        <v>2848205.2199999997</v>
      </c>
      <c r="M93" s="26">
        <f t="shared" si="63"/>
        <v>3561546.1100000003</v>
      </c>
    </row>
    <row r="94" spans="1:13">
      <c r="A94" s="27" t="s">
        <v>15</v>
      </c>
      <c r="B94" s="26">
        <f t="shared" ref="B94:M94" si="64">B72+B83</f>
        <v>184839.84000000003</v>
      </c>
      <c r="C94" s="26">
        <f t="shared" si="64"/>
        <v>157810.81</v>
      </c>
      <c r="D94" s="26">
        <f t="shared" si="64"/>
        <v>2119576.85</v>
      </c>
      <c r="E94" s="26">
        <f t="shared" si="64"/>
        <v>196384.66999999998</v>
      </c>
      <c r="F94" s="26">
        <f t="shared" si="64"/>
        <v>238023.44</v>
      </c>
      <c r="G94" s="26">
        <f t="shared" si="64"/>
        <v>252280.66999999998</v>
      </c>
      <c r="H94" s="26">
        <f t="shared" si="64"/>
        <v>186283.47</v>
      </c>
      <c r="I94" s="26">
        <f t="shared" si="64"/>
        <v>759370.8</v>
      </c>
      <c r="J94" s="26">
        <f t="shared" si="64"/>
        <v>348253.62</v>
      </c>
      <c r="K94" s="26">
        <f t="shared" si="64"/>
        <v>556118.82000000007</v>
      </c>
      <c r="L94" s="26">
        <f>L72+L83</f>
        <v>1441281.8</v>
      </c>
      <c r="M94" s="26">
        <f t="shared" si="64"/>
        <v>7706553.7800000003</v>
      </c>
    </row>
    <row r="95" spans="1:13">
      <c r="A95" s="27" t="s">
        <v>1</v>
      </c>
      <c r="B95" s="32">
        <f>B92/B$91</f>
        <v>0.70989076159928521</v>
      </c>
      <c r="C95" s="32">
        <f t="shared" ref="C95:M95" si="65">C92/C$91</f>
        <v>0.35299130343451324</v>
      </c>
      <c r="D95" s="32">
        <f t="shared" si="65"/>
        <v>0.26678498816272073</v>
      </c>
      <c r="E95" s="32">
        <f t="shared" si="65"/>
        <v>0.4437897488247155</v>
      </c>
      <c r="F95" s="32">
        <f t="shared" si="65"/>
        <v>0.47316235145214897</v>
      </c>
      <c r="G95" s="32">
        <f t="shared" si="65"/>
        <v>0.30871532341182123</v>
      </c>
      <c r="H95" s="32">
        <f t="shared" si="65"/>
        <v>0.31941654632725014</v>
      </c>
      <c r="I95" s="32">
        <f t="shared" si="65"/>
        <v>0.28734489901620686</v>
      </c>
      <c r="J95" s="32">
        <f t="shared" si="65"/>
        <v>0.23061218570561301</v>
      </c>
      <c r="K95" s="32">
        <f t="shared" si="65"/>
        <v>0.23166631057327619</v>
      </c>
      <c r="L95" s="32">
        <f>L92/L$91</f>
        <v>0.14827046035323752</v>
      </c>
      <c r="M95" s="32">
        <f t="shared" si="65"/>
        <v>0.21576767258088936</v>
      </c>
    </row>
    <row r="96" spans="1:13">
      <c r="A96" s="27" t="s">
        <v>16</v>
      </c>
      <c r="B96" s="32">
        <f t="shared" ref="B96:M97" si="66">B93/B$91</f>
        <v>0.48433558649441855</v>
      </c>
      <c r="C96" s="32">
        <f t="shared" si="66"/>
        <v>0.26563683916384961</v>
      </c>
      <c r="D96" s="32">
        <f t="shared" si="66"/>
        <v>0.15038165673651821</v>
      </c>
      <c r="E96" s="32">
        <f t="shared" si="66"/>
        <v>0.19032974727936103</v>
      </c>
      <c r="F96" s="32">
        <f t="shared" si="66"/>
        <v>0.19182879230833325</v>
      </c>
      <c r="G96" s="32">
        <f t="shared" si="66"/>
        <v>0.15734172003597038</v>
      </c>
      <c r="H96" s="32">
        <f t="shared" si="66"/>
        <v>0.16260689274742746</v>
      </c>
      <c r="I96" s="32">
        <f t="shared" si="66"/>
        <v>0.15850514584964201</v>
      </c>
      <c r="J96" s="32">
        <f t="shared" si="66"/>
        <v>0.13449429049050438</v>
      </c>
      <c r="K96" s="32">
        <f t="shared" si="66"/>
        <v>0.12665798338661052</v>
      </c>
      <c r="L96" s="32">
        <f>L93/L$91</f>
        <v>9.7570559191121606E-2</v>
      </c>
      <c r="M96" s="32">
        <f t="shared" si="66"/>
        <v>0.16128522429575945</v>
      </c>
    </row>
    <row r="97" spans="1:13">
      <c r="A97" s="27" t="s">
        <v>15</v>
      </c>
      <c r="B97" s="32">
        <f t="shared" si="66"/>
        <v>3.638386148767684E-2</v>
      </c>
      <c r="C97" s="32">
        <f t="shared" si="66"/>
        <v>2.0462993434915151E-2</v>
      </c>
      <c r="D97" s="32">
        <f t="shared" si="66"/>
        <v>0.16236134388188031</v>
      </c>
      <c r="E97" s="32">
        <f t="shared" si="66"/>
        <v>1.8791586568133907E-2</v>
      </c>
      <c r="F97" s="32">
        <f t="shared" si="66"/>
        <v>2.1557048098275969E-2</v>
      </c>
      <c r="G97" s="32">
        <f t="shared" si="66"/>
        <v>1.7265283650036066E-2</v>
      </c>
      <c r="H97" s="32">
        <f t="shared" si="66"/>
        <v>1.321819521494352E-2</v>
      </c>
      <c r="I97" s="32">
        <f t="shared" si="66"/>
        <v>5.0398205232981566E-2</v>
      </c>
      <c r="J97" s="32">
        <f t="shared" si="66"/>
        <v>1.9761772804246271E-2</v>
      </c>
      <c r="K97" s="32">
        <f t="shared" si="66"/>
        <v>2.7111274255560269E-2</v>
      </c>
      <c r="L97" s="32">
        <f>L94/L$91</f>
        <v>4.9373784652352509E-2</v>
      </c>
      <c r="M97" s="32">
        <f t="shared" si="66"/>
        <v>0.34899260505562651</v>
      </c>
    </row>
    <row r="98" spans="1:13">
      <c r="A98" s="27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</row>
    <row r="99" spans="1:13">
      <c r="A99" s="27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>
      <c r="A100" s="29" t="s">
        <v>32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</row>
    <row r="101" spans="1:13">
      <c r="A101" s="29" t="s">
        <v>17</v>
      </c>
      <c r="B101" s="31" t="s">
        <v>18</v>
      </c>
      <c r="C101" s="31" t="s">
        <v>19</v>
      </c>
      <c r="D101" s="31" t="s">
        <v>20</v>
      </c>
      <c r="E101" s="31" t="s">
        <v>21</v>
      </c>
      <c r="F101" s="31" t="s">
        <v>22</v>
      </c>
      <c r="G101" s="31" t="s">
        <v>23</v>
      </c>
      <c r="H101" s="31" t="s">
        <v>24</v>
      </c>
      <c r="I101" s="31" t="s">
        <v>25</v>
      </c>
      <c r="J101" s="48">
        <v>45901</v>
      </c>
      <c r="K101" s="48">
        <v>45931</v>
      </c>
      <c r="L101" s="48">
        <v>45962</v>
      </c>
      <c r="M101" s="48">
        <v>45992</v>
      </c>
    </row>
    <row r="102" spans="1:13">
      <c r="A102" t="s">
        <v>14</v>
      </c>
      <c r="B102" s="26">
        <v>14424775</v>
      </c>
      <c r="C102" s="26">
        <v>14999900</v>
      </c>
      <c r="D102" s="26">
        <v>21851620</v>
      </c>
      <c r="E102" s="26">
        <v>16091300</v>
      </c>
      <c r="F102" s="26">
        <v>14015923</v>
      </c>
      <c r="G102" s="26">
        <v>17355500</v>
      </c>
      <c r="H102" s="26">
        <v>20997170</v>
      </c>
      <c r="I102" s="26">
        <f>'Agosto 2025-real'!C11</f>
        <v>14676490.01</v>
      </c>
      <c r="J102" s="26">
        <f>'Septiembre 2025_real'!C12</f>
        <v>12870480.02</v>
      </c>
      <c r="K102" s="26">
        <f>'Octubre 2025_real'!C12</f>
        <v>19169518</v>
      </c>
      <c r="L102" s="26">
        <f>'Noviembre 2025_real'!C12</f>
        <v>20563510</v>
      </c>
      <c r="M102" s="26">
        <f>'Diciembre 2025'!C12</f>
        <v>10969600.008100001</v>
      </c>
    </row>
    <row r="103" spans="1:13">
      <c r="A103" t="s">
        <v>1</v>
      </c>
      <c r="B103" s="26">
        <v>3500002.3482900006</v>
      </c>
      <c r="C103" s="26">
        <v>3213838.2395699997</v>
      </c>
      <c r="D103" s="26">
        <v>4921852.1701219995</v>
      </c>
      <c r="E103" s="26">
        <v>4520864.4537000004</v>
      </c>
      <c r="F103" s="26">
        <v>4711699.4981999993</v>
      </c>
      <c r="G103" s="26">
        <v>4634584.9700000007</v>
      </c>
      <c r="H103" s="26">
        <v>4755910.4873249996</v>
      </c>
      <c r="I103" s="26">
        <f>'Agosto 2025-real'!D11</f>
        <v>3434064.9233333329</v>
      </c>
      <c r="J103" s="26">
        <f>'Septiembre 2025_real'!D12</f>
        <v>2855608</v>
      </c>
      <c r="K103" s="26">
        <f>'Octubre 2025_real'!D12</f>
        <v>3435615</v>
      </c>
      <c r="L103" s="26">
        <f>'Noviembre 2025_real'!D12</f>
        <v>3468754</v>
      </c>
      <c r="M103" s="26">
        <f>'Diciembre 2025'!D12</f>
        <v>2967291</v>
      </c>
    </row>
    <row r="104" spans="1:13">
      <c r="A104" t="s">
        <v>16</v>
      </c>
      <c r="B104" s="26">
        <v>2821199.27</v>
      </c>
      <c r="C104" s="26">
        <v>2604922.61</v>
      </c>
      <c r="D104" s="26">
        <v>1762890.09</v>
      </c>
      <c r="E104" s="26">
        <v>2382737.38</v>
      </c>
      <c r="F104" s="26">
        <v>2156054.96</v>
      </c>
      <c r="G104" s="26">
        <v>2105437.42</v>
      </c>
      <c r="H104" s="26">
        <v>2258662.17</v>
      </c>
      <c r="I104" s="26">
        <f>'Agosto 2025-real'!G11</f>
        <v>2716334.98</v>
      </c>
      <c r="J104" s="26">
        <f>'Septiembre 2025_real'!G12</f>
        <v>2154281.2999999998</v>
      </c>
      <c r="K104" s="26">
        <f>'Octubre 2025_real'!G12</f>
        <v>2034532.73</v>
      </c>
      <c r="L104" s="26">
        <f>'Noviembre 2025_real'!G12</f>
        <v>2726013.18</v>
      </c>
      <c r="M104" s="26">
        <f>'Diciembre 2025'!G12</f>
        <v>510663</v>
      </c>
    </row>
    <row r="105" spans="1:13">
      <c r="A105" t="s">
        <v>15</v>
      </c>
      <c r="B105" s="26">
        <v>193861.83666666667</v>
      </c>
      <c r="C105" s="26">
        <v>271100.95</v>
      </c>
      <c r="D105" s="26">
        <v>215696.71</v>
      </c>
      <c r="E105" s="26">
        <v>324659.96000000002</v>
      </c>
      <c r="F105" s="26">
        <v>289620.19</v>
      </c>
      <c r="G105" s="26">
        <v>191124.74</v>
      </c>
      <c r="H105" s="26">
        <v>200142.29</v>
      </c>
      <c r="I105" s="26">
        <f>'Agosto 2025-real'!H11</f>
        <v>2895999.95</v>
      </c>
      <c r="J105" s="26">
        <f>'Septiembre 2025_real'!H12</f>
        <v>2038403.42</v>
      </c>
      <c r="K105" s="26">
        <f>'Octubre 2025_real'!H12</f>
        <v>470452.8</v>
      </c>
      <c r="L105" s="26">
        <f>'Noviembre 2025_real'!H12</f>
        <v>189763.77</v>
      </c>
      <c r="M105" s="26">
        <f>'Diciembre 2025'!H12</f>
        <v>365567.13</v>
      </c>
    </row>
    <row r="106" spans="1:13">
      <c r="A106" s="27" t="s">
        <v>1</v>
      </c>
      <c r="B106" s="32">
        <f t="shared" ref="B106:I106" si="67">B103/B$102</f>
        <v>0.24263826286995815</v>
      </c>
      <c r="C106" s="32">
        <f t="shared" si="67"/>
        <v>0.21425731102007345</v>
      </c>
      <c r="D106" s="32">
        <f t="shared" si="67"/>
        <v>0.22523969253181225</v>
      </c>
      <c r="E106" s="32">
        <f t="shared" si="67"/>
        <v>0.28095085255386454</v>
      </c>
      <c r="F106" s="32">
        <f t="shared" si="67"/>
        <v>0.33616762151161927</v>
      </c>
      <c r="G106" s="32">
        <f t="shared" si="67"/>
        <v>0.26703840108323013</v>
      </c>
      <c r="H106" s="32">
        <f t="shared" si="67"/>
        <v>0.22650245186970433</v>
      </c>
      <c r="I106" s="32">
        <f t="shared" si="67"/>
        <v>0.23398407391641274</v>
      </c>
      <c r="J106" s="32">
        <f t="shared" ref="J106" si="68">J103/J$102</f>
        <v>0.22187268816412026</v>
      </c>
      <c r="K106" s="32">
        <f t="shared" ref="K106" si="69">K103/K$102</f>
        <v>0.17922281613966506</v>
      </c>
      <c r="L106" s="32">
        <f>L103/L$102</f>
        <v>0.16868491809034547</v>
      </c>
      <c r="M106" s="32">
        <f t="shared" ref="M106" si="70">M103/M$102</f>
        <v>0.27050129428684172</v>
      </c>
    </row>
    <row r="107" spans="1:13">
      <c r="A107" s="27" t="s">
        <v>16</v>
      </c>
      <c r="B107" s="32">
        <f>B104/B$102</f>
        <v>0.19558012308684192</v>
      </c>
      <c r="C107" s="32">
        <f t="shared" ref="C107:I107" si="71">C104/C$102</f>
        <v>0.1736626650844339</v>
      </c>
      <c r="D107" s="32">
        <f t="shared" si="71"/>
        <v>8.0675487217881328E-2</v>
      </c>
      <c r="E107" s="32">
        <f t="shared" si="71"/>
        <v>0.14807612685115559</v>
      </c>
      <c r="F107" s="32">
        <f t="shared" si="71"/>
        <v>0.15382896723961739</v>
      </c>
      <c r="G107" s="32">
        <f t="shared" si="71"/>
        <v>0.12131240356083085</v>
      </c>
      <c r="H107" s="32">
        <f t="shared" si="71"/>
        <v>0.10756983774480085</v>
      </c>
      <c r="I107" s="32">
        <f t="shared" si="71"/>
        <v>0.18508069559882459</v>
      </c>
      <c r="J107" s="32">
        <f t="shared" ref="J107" si="72">J104/J$102</f>
        <v>0.16738158146800805</v>
      </c>
      <c r="K107" s="32">
        <f t="shared" ref="K107" si="73">K104/K$102</f>
        <v>0.10613374472952319</v>
      </c>
      <c r="L107" s="32">
        <f>L104/L$102</f>
        <v>0.13256555811726695</v>
      </c>
      <c r="M107" s="32">
        <f t="shared" ref="M107" si="74">M104/M$102</f>
        <v>4.6552563413700059E-2</v>
      </c>
    </row>
    <row r="108" spans="1:13">
      <c r="A108" s="27" t="s">
        <v>15</v>
      </c>
      <c r="B108" s="32">
        <f t="shared" ref="B108:I108" si="75">B105/B$102</f>
        <v>1.3439505064492629E-2</v>
      </c>
      <c r="C108" s="32">
        <f t="shared" si="75"/>
        <v>1.8073517156781047E-2</v>
      </c>
      <c r="D108" s="32">
        <f t="shared" si="75"/>
        <v>9.8709711225071634E-3</v>
      </c>
      <c r="E108" s="32">
        <f t="shared" si="75"/>
        <v>2.0176117529348159E-2</v>
      </c>
      <c r="F108" s="32">
        <f t="shared" si="75"/>
        <v>2.0663654473558394E-2</v>
      </c>
      <c r="G108" s="32">
        <f t="shared" si="75"/>
        <v>1.1012344213649852E-2</v>
      </c>
      <c r="H108" s="32">
        <f t="shared" si="75"/>
        <v>9.5318697710215245E-3</v>
      </c>
      <c r="I108" s="32">
        <f t="shared" si="75"/>
        <v>0.19732238076180181</v>
      </c>
      <c r="J108" s="32">
        <f t="shared" ref="J108" si="76">J105/J$102</f>
        <v>0.15837819699284222</v>
      </c>
      <c r="K108" s="32">
        <f t="shared" ref="K108" si="77">K105/K$102</f>
        <v>2.4541712525061925E-2</v>
      </c>
      <c r="L108" s="32">
        <f>L105/L$102</f>
        <v>9.2281799167554558E-3</v>
      </c>
      <c r="M108" s="32">
        <f t="shared" ref="M108" si="78">M105/M$102</f>
        <v>3.3325474924342145E-2</v>
      </c>
    </row>
    <row r="111" spans="1:13">
      <c r="A111" s="29" t="s">
        <v>49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</row>
    <row r="112" spans="1:13">
      <c r="A112" s="29" t="s">
        <v>17</v>
      </c>
      <c r="B112" s="31" t="s">
        <v>18</v>
      </c>
      <c r="C112" s="31" t="s">
        <v>19</v>
      </c>
      <c r="D112" s="31" t="s">
        <v>20</v>
      </c>
      <c r="E112" s="31" t="s">
        <v>21</v>
      </c>
      <c r="F112" s="31" t="s">
        <v>22</v>
      </c>
      <c r="G112" s="31" t="s">
        <v>23</v>
      </c>
      <c r="H112" s="31" t="s">
        <v>24</v>
      </c>
      <c r="I112" s="31" t="s">
        <v>25</v>
      </c>
      <c r="J112" s="48">
        <v>45901</v>
      </c>
      <c r="K112" s="48">
        <v>45931</v>
      </c>
      <c r="L112" s="48">
        <v>45962</v>
      </c>
      <c r="M112" s="48">
        <v>45992</v>
      </c>
    </row>
    <row r="113" spans="1:13">
      <c r="A113" t="s">
        <v>14</v>
      </c>
      <c r="J113" s="26"/>
      <c r="K113" s="26">
        <v>6544524.0199999996</v>
      </c>
      <c r="L113" s="26">
        <v>6889990</v>
      </c>
      <c r="M113" s="26">
        <f>'Diciembre 2025'!C13</f>
        <v>21238500.008300003</v>
      </c>
    </row>
    <row r="114" spans="1:13">
      <c r="A114" t="s">
        <v>1</v>
      </c>
      <c r="J114" s="26"/>
      <c r="K114" s="26">
        <f>'Octubre 2025_real'!D13</f>
        <v>4586090.0695947744</v>
      </c>
      <c r="L114" s="26">
        <f>'Noviembre 2025_real'!D13</f>
        <v>5328412.8</v>
      </c>
      <c r="M114" s="26">
        <f>'Diciembre 2025'!D13</f>
        <v>4145644</v>
      </c>
    </row>
    <row r="115" spans="1:13">
      <c r="A115" t="s">
        <v>16</v>
      </c>
      <c r="J115" s="26"/>
      <c r="K115" s="26">
        <f>'Octubre 2025_real'!G13</f>
        <v>1635000.0000000002</v>
      </c>
      <c r="L115" s="26">
        <f ca="1">'Noviembre 2025_real'!G13</f>
        <v>1781164.42</v>
      </c>
      <c r="M115" s="26">
        <f>'Diciembre 2025'!G13</f>
        <v>1700251.97</v>
      </c>
    </row>
    <row r="116" spans="1:13">
      <c r="A116" t="s">
        <v>15</v>
      </c>
      <c r="J116" s="26"/>
      <c r="K116" s="26">
        <f>'Octubre 2025_real'!H13</f>
        <v>0</v>
      </c>
      <c r="L116" s="26">
        <f>'Noviembre 2025_real'!H13</f>
        <v>125207.61</v>
      </c>
      <c r="M116" s="26">
        <f>'Diciembre 2025'!H13</f>
        <v>20606.29</v>
      </c>
    </row>
    <row r="117" spans="1:13">
      <c r="A117" s="27" t="s">
        <v>1</v>
      </c>
      <c r="B117" s="32">
        <f t="shared" ref="B117:M117" si="79">B114/B$102</f>
        <v>0</v>
      </c>
      <c r="C117" s="32">
        <f t="shared" si="79"/>
        <v>0</v>
      </c>
      <c r="D117" s="32">
        <f t="shared" si="79"/>
        <v>0</v>
      </c>
      <c r="E117" s="32">
        <f t="shared" si="79"/>
        <v>0</v>
      </c>
      <c r="F117" s="32">
        <f t="shared" si="79"/>
        <v>0</v>
      </c>
      <c r="G117" s="32">
        <f t="shared" si="79"/>
        <v>0</v>
      </c>
      <c r="H117" s="32">
        <f t="shared" si="79"/>
        <v>0</v>
      </c>
      <c r="I117" s="32">
        <f t="shared" si="79"/>
        <v>0</v>
      </c>
      <c r="J117" s="32">
        <f t="shared" si="79"/>
        <v>0</v>
      </c>
      <c r="K117" s="32">
        <f t="shared" si="79"/>
        <v>0.23923867410723496</v>
      </c>
      <c r="L117" s="32">
        <f>L114/L$102</f>
        <v>0.25911980979900806</v>
      </c>
      <c r="M117" s="32">
        <f t="shared" si="79"/>
        <v>0.377921163664932</v>
      </c>
    </row>
    <row r="118" spans="1:13">
      <c r="A118" s="27" t="s">
        <v>16</v>
      </c>
      <c r="B118" s="32">
        <f t="shared" ref="B118:M118" si="80">B115/B$102</f>
        <v>0</v>
      </c>
      <c r="C118" s="32">
        <f t="shared" si="80"/>
        <v>0</v>
      </c>
      <c r="D118" s="32">
        <f t="shared" si="80"/>
        <v>0</v>
      </c>
      <c r="E118" s="32">
        <f t="shared" si="80"/>
        <v>0</v>
      </c>
      <c r="F118" s="32">
        <f t="shared" si="80"/>
        <v>0</v>
      </c>
      <c r="G118" s="32">
        <f t="shared" si="80"/>
        <v>0</v>
      </c>
      <c r="H118" s="32">
        <f t="shared" si="80"/>
        <v>0</v>
      </c>
      <c r="I118" s="32">
        <f t="shared" si="80"/>
        <v>0</v>
      </c>
      <c r="J118" s="32">
        <f t="shared" si="80"/>
        <v>0</v>
      </c>
      <c r="K118" s="32">
        <f t="shared" si="80"/>
        <v>8.5291659393835581E-2</v>
      </c>
      <c r="L118" s="32">
        <f ca="1">L115/L$102</f>
        <v>8.661772333614251E-2</v>
      </c>
      <c r="M118" s="32">
        <f t="shared" si="80"/>
        <v>0.15499671535375278</v>
      </c>
    </row>
    <row r="119" spans="1:13">
      <c r="A119" s="27" t="s">
        <v>15</v>
      </c>
      <c r="B119" s="32">
        <f t="shared" ref="B119:M119" si="81">B116/B$102</f>
        <v>0</v>
      </c>
      <c r="C119" s="32">
        <f t="shared" si="81"/>
        <v>0</v>
      </c>
      <c r="D119" s="32">
        <f t="shared" si="81"/>
        <v>0</v>
      </c>
      <c r="E119" s="32">
        <f t="shared" si="81"/>
        <v>0</v>
      </c>
      <c r="F119" s="32">
        <f t="shared" si="81"/>
        <v>0</v>
      </c>
      <c r="G119" s="32">
        <f t="shared" si="81"/>
        <v>0</v>
      </c>
      <c r="H119" s="32">
        <f t="shared" si="81"/>
        <v>0</v>
      </c>
      <c r="I119" s="32">
        <f t="shared" si="81"/>
        <v>0</v>
      </c>
      <c r="J119" s="32">
        <f t="shared" si="81"/>
        <v>0</v>
      </c>
      <c r="K119" s="32">
        <f t="shared" si="81"/>
        <v>0</v>
      </c>
      <c r="L119" s="32">
        <f>L116/L$102</f>
        <v>6.0888248163859186E-3</v>
      </c>
      <c r="M119" s="32">
        <f t="shared" si="81"/>
        <v>1.878490554330534E-3</v>
      </c>
    </row>
    <row r="122" spans="1:13">
      <c r="A122" s="29" t="s">
        <v>54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</row>
    <row r="123" spans="1:13">
      <c r="A123" s="29" t="s">
        <v>17</v>
      </c>
      <c r="B123" s="31" t="s">
        <v>18</v>
      </c>
      <c r="C123" s="31" t="s">
        <v>19</v>
      </c>
      <c r="D123" s="31" t="s">
        <v>20</v>
      </c>
      <c r="E123" s="31" t="s">
        <v>21</v>
      </c>
      <c r="F123" s="31" t="s">
        <v>22</v>
      </c>
      <c r="G123" s="31" t="s">
        <v>23</v>
      </c>
      <c r="H123" s="31" t="s">
        <v>24</v>
      </c>
      <c r="I123" s="31" t="s">
        <v>25</v>
      </c>
      <c r="J123" s="48">
        <v>45901</v>
      </c>
      <c r="K123" s="48">
        <v>45931</v>
      </c>
      <c r="L123" s="48">
        <v>45962</v>
      </c>
      <c r="M123" s="48">
        <v>45992</v>
      </c>
    </row>
    <row r="124" spans="1:13">
      <c r="A124" t="s">
        <v>14</v>
      </c>
      <c r="J124" s="26"/>
      <c r="K124" s="26"/>
      <c r="L124" s="26">
        <f>'Noviembre 2025_real'!C24</f>
        <v>7.1056258043210752E-2</v>
      </c>
      <c r="M124" s="26">
        <f>'Diciembre 2025'!C26</f>
        <v>0.16272955037891812</v>
      </c>
    </row>
    <row r="125" spans="1:13">
      <c r="A125" t="s">
        <v>1</v>
      </c>
      <c r="J125" s="26"/>
      <c r="K125" s="26"/>
      <c r="L125" s="26">
        <f>'Noviembre 2025_real'!D24</f>
        <v>3.0116780716917875E-2</v>
      </c>
      <c r="M125" s="26">
        <f>'Diciembre 2025'!D26</f>
        <v>0.12021428813770545</v>
      </c>
    </row>
    <row r="126" spans="1:13">
      <c r="A126" t="s">
        <v>16</v>
      </c>
      <c r="J126" s="26"/>
      <c r="K126" s="26"/>
      <c r="L126" s="26">
        <f>'Noviembre 2025_real'!G24</f>
        <v>8.0466335861059529E-3</v>
      </c>
      <c r="M126" s="26">
        <f>'Diciembre 2025'!G26</f>
        <v>0.43886163341337026</v>
      </c>
    </row>
    <row r="127" spans="1:13">
      <c r="A127" t="s">
        <v>15</v>
      </c>
      <c r="J127" s="26"/>
      <c r="K127" s="26"/>
      <c r="L127" s="26">
        <f>'Noviembre 2025_real'!H24</f>
        <v>0</v>
      </c>
      <c r="M127" s="26">
        <f>'Diciembre 2025'!H26</f>
        <v>0</v>
      </c>
    </row>
    <row r="128" spans="1:13">
      <c r="A128" s="27" t="s">
        <v>1</v>
      </c>
      <c r="B128" s="32">
        <f t="shared" ref="B128:K128" si="82">B125/B$102</f>
        <v>0</v>
      </c>
      <c r="C128" s="32">
        <f t="shared" si="82"/>
        <v>0</v>
      </c>
      <c r="D128" s="32">
        <f t="shared" si="82"/>
        <v>0</v>
      </c>
      <c r="E128" s="32">
        <f t="shared" si="82"/>
        <v>0</v>
      </c>
      <c r="F128" s="32">
        <f t="shared" si="82"/>
        <v>0</v>
      </c>
      <c r="G128" s="32">
        <f t="shared" si="82"/>
        <v>0</v>
      </c>
      <c r="H128" s="32">
        <f t="shared" si="82"/>
        <v>0</v>
      </c>
      <c r="I128" s="32">
        <f t="shared" si="82"/>
        <v>0</v>
      </c>
      <c r="J128" s="32">
        <f t="shared" si="82"/>
        <v>0</v>
      </c>
      <c r="K128" s="32">
        <f t="shared" si="82"/>
        <v>0</v>
      </c>
      <c r="L128" s="32">
        <f>L125/L$102</f>
        <v>1.464573932996744E-9</v>
      </c>
      <c r="M128" s="32">
        <f t="shared" ref="M128" si="83">M125/M$102</f>
        <v>1.0958857939117077E-8</v>
      </c>
    </row>
    <row r="129" spans="1:13">
      <c r="A129" s="27" t="s">
        <v>16</v>
      </c>
      <c r="B129" s="32">
        <f t="shared" ref="B129:K129" si="84">B126/B$102</f>
        <v>0</v>
      </c>
      <c r="C129" s="32">
        <f t="shared" si="84"/>
        <v>0</v>
      </c>
      <c r="D129" s="32">
        <f t="shared" si="84"/>
        <v>0</v>
      </c>
      <c r="E129" s="32">
        <f t="shared" si="84"/>
        <v>0</v>
      </c>
      <c r="F129" s="32">
        <f t="shared" si="84"/>
        <v>0</v>
      </c>
      <c r="G129" s="32">
        <f t="shared" si="84"/>
        <v>0</v>
      </c>
      <c r="H129" s="32">
        <f t="shared" si="84"/>
        <v>0</v>
      </c>
      <c r="I129" s="32">
        <f t="shared" si="84"/>
        <v>0</v>
      </c>
      <c r="J129" s="32">
        <f t="shared" si="84"/>
        <v>0</v>
      </c>
      <c r="K129" s="32">
        <f t="shared" si="84"/>
        <v>0</v>
      </c>
      <c r="L129" s="32">
        <f>L126/L$102</f>
        <v>3.9130642512421044E-10</v>
      </c>
      <c r="M129" s="32">
        <f t="shared" ref="M129" si="85">M126/M$102</f>
        <v>4.0007077112138351E-8</v>
      </c>
    </row>
    <row r="130" spans="1:13">
      <c r="A130" s="27" t="s">
        <v>15</v>
      </c>
      <c r="B130" s="32">
        <f t="shared" ref="B130:K130" si="86">B127/B$102</f>
        <v>0</v>
      </c>
      <c r="C130" s="32">
        <f t="shared" si="86"/>
        <v>0</v>
      </c>
      <c r="D130" s="32">
        <f t="shared" si="86"/>
        <v>0</v>
      </c>
      <c r="E130" s="32">
        <f t="shared" si="86"/>
        <v>0</v>
      </c>
      <c r="F130" s="32">
        <f t="shared" si="86"/>
        <v>0</v>
      </c>
      <c r="G130" s="32">
        <f t="shared" si="86"/>
        <v>0</v>
      </c>
      <c r="H130" s="32">
        <f t="shared" si="86"/>
        <v>0</v>
      </c>
      <c r="I130" s="32">
        <f t="shared" si="86"/>
        <v>0</v>
      </c>
      <c r="J130" s="32">
        <f t="shared" si="86"/>
        <v>0</v>
      </c>
      <c r="K130" s="32">
        <f t="shared" si="86"/>
        <v>0</v>
      </c>
      <c r="L130" s="32">
        <f>L127/L$102</f>
        <v>0</v>
      </c>
      <c r="M130" s="32">
        <f t="shared" ref="M130" si="87">M127/M$102</f>
        <v>0</v>
      </c>
    </row>
    <row r="133" spans="1:13">
      <c r="A133" s="29" t="s">
        <v>55</v>
      </c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</row>
    <row r="134" spans="1:13">
      <c r="A134" s="29" t="s">
        <v>17</v>
      </c>
      <c r="B134" s="31" t="s">
        <v>18</v>
      </c>
      <c r="C134" s="31" t="s">
        <v>19</v>
      </c>
      <c r="D134" s="31" t="s">
        <v>20</v>
      </c>
      <c r="E134" s="31" t="s">
        <v>21</v>
      </c>
      <c r="F134" s="31" t="s">
        <v>22</v>
      </c>
      <c r="G134" s="31" t="s">
        <v>23</v>
      </c>
      <c r="H134" s="31" t="s">
        <v>24</v>
      </c>
      <c r="I134" s="31" t="s">
        <v>25</v>
      </c>
      <c r="J134" s="48">
        <v>45901</v>
      </c>
      <c r="K134" s="48">
        <v>45931</v>
      </c>
      <c r="L134" s="48">
        <v>45962</v>
      </c>
      <c r="M134" s="48">
        <v>45992</v>
      </c>
    </row>
    <row r="135" spans="1:13">
      <c r="A135" t="s">
        <v>14</v>
      </c>
      <c r="J135" s="26"/>
      <c r="K135" s="26"/>
      <c r="L135" s="26">
        <f>'Noviembre 2025_real'!C35</f>
        <v>0</v>
      </c>
      <c r="M135" s="26">
        <f>'Diciembre 2025'!C39</f>
        <v>0</v>
      </c>
    </row>
    <row r="136" spans="1:13">
      <c r="A136" t="s">
        <v>1</v>
      </c>
      <c r="J136" s="26"/>
      <c r="K136" s="26"/>
      <c r="L136" s="26">
        <f>'Noviembre 2025_real'!D35</f>
        <v>0</v>
      </c>
      <c r="M136" s="26">
        <f>'Diciembre 2025'!D39</f>
        <v>0</v>
      </c>
    </row>
    <row r="137" spans="1:13">
      <c r="A137" t="s">
        <v>16</v>
      </c>
      <c r="J137" s="26"/>
      <c r="K137" s="26"/>
      <c r="L137" s="26">
        <f>'Noviembre 2025_real'!G35</f>
        <v>0</v>
      </c>
      <c r="M137" s="26">
        <f>'Diciembre 2025'!G39</f>
        <v>0</v>
      </c>
    </row>
    <row r="138" spans="1:13">
      <c r="A138" t="s">
        <v>15</v>
      </c>
      <c r="J138" s="26"/>
      <c r="K138" s="26"/>
      <c r="L138" s="26">
        <f>'Noviembre 2025_real'!H35</f>
        <v>0</v>
      </c>
      <c r="M138" s="26">
        <f>'Diciembre 2025'!H39</f>
        <v>0</v>
      </c>
    </row>
    <row r="139" spans="1:13">
      <c r="A139" s="27" t="s">
        <v>1</v>
      </c>
      <c r="B139" s="32">
        <f t="shared" ref="B139:K139" si="88">B136/B$102</f>
        <v>0</v>
      </c>
      <c r="C139" s="32">
        <f t="shared" si="88"/>
        <v>0</v>
      </c>
      <c r="D139" s="32">
        <f t="shared" si="88"/>
        <v>0</v>
      </c>
      <c r="E139" s="32">
        <f t="shared" si="88"/>
        <v>0</v>
      </c>
      <c r="F139" s="32">
        <f t="shared" si="88"/>
        <v>0</v>
      </c>
      <c r="G139" s="32">
        <f t="shared" si="88"/>
        <v>0</v>
      </c>
      <c r="H139" s="32">
        <f t="shared" si="88"/>
        <v>0</v>
      </c>
      <c r="I139" s="32">
        <f t="shared" si="88"/>
        <v>0</v>
      </c>
      <c r="J139" s="32">
        <f t="shared" si="88"/>
        <v>0</v>
      </c>
      <c r="K139" s="32">
        <f t="shared" si="88"/>
        <v>0</v>
      </c>
      <c r="L139" s="32">
        <f>L136/L$102</f>
        <v>0</v>
      </c>
      <c r="M139" s="32">
        <f t="shared" ref="M139" si="89">M136/M$102</f>
        <v>0</v>
      </c>
    </row>
    <row r="140" spans="1:13">
      <c r="A140" s="27" t="s">
        <v>16</v>
      </c>
      <c r="B140" s="32">
        <f t="shared" ref="B140:K140" si="90">B137/B$102</f>
        <v>0</v>
      </c>
      <c r="C140" s="32">
        <f t="shared" si="90"/>
        <v>0</v>
      </c>
      <c r="D140" s="32">
        <f t="shared" si="90"/>
        <v>0</v>
      </c>
      <c r="E140" s="32">
        <f t="shared" si="90"/>
        <v>0</v>
      </c>
      <c r="F140" s="32">
        <f t="shared" si="90"/>
        <v>0</v>
      </c>
      <c r="G140" s="32">
        <f t="shared" si="90"/>
        <v>0</v>
      </c>
      <c r="H140" s="32">
        <f t="shared" si="90"/>
        <v>0</v>
      </c>
      <c r="I140" s="32">
        <f t="shared" si="90"/>
        <v>0</v>
      </c>
      <c r="J140" s="32">
        <f t="shared" si="90"/>
        <v>0</v>
      </c>
      <c r="K140" s="32">
        <f t="shared" si="90"/>
        <v>0</v>
      </c>
      <c r="L140" s="32">
        <f>L137/L$102</f>
        <v>0</v>
      </c>
      <c r="M140" s="32">
        <f t="shared" ref="M140" si="91">M137/M$102</f>
        <v>0</v>
      </c>
    </row>
    <row r="141" spans="1:13">
      <c r="A141" s="27" t="s">
        <v>15</v>
      </c>
      <c r="B141" s="32">
        <f t="shared" ref="B141:K141" si="92">B138/B$102</f>
        <v>0</v>
      </c>
      <c r="C141" s="32">
        <f t="shared" si="92"/>
        <v>0</v>
      </c>
      <c r="D141" s="32">
        <f t="shared" si="92"/>
        <v>0</v>
      </c>
      <c r="E141" s="32">
        <f t="shared" si="92"/>
        <v>0</v>
      </c>
      <c r="F141" s="32">
        <f t="shared" si="92"/>
        <v>0</v>
      </c>
      <c r="G141" s="32">
        <f t="shared" si="92"/>
        <v>0</v>
      </c>
      <c r="H141" s="32">
        <f t="shared" si="92"/>
        <v>0</v>
      </c>
      <c r="I141" s="32">
        <f t="shared" si="92"/>
        <v>0</v>
      </c>
      <c r="J141" s="32">
        <f t="shared" si="92"/>
        <v>0</v>
      </c>
      <c r="K141" s="32">
        <f t="shared" si="92"/>
        <v>0</v>
      </c>
      <c r="L141" s="32">
        <f>L138/L$102</f>
        <v>0</v>
      </c>
      <c r="M141" s="32">
        <f t="shared" ref="M141" si="93">M138/M$102</f>
        <v>0</v>
      </c>
    </row>
    <row r="144" spans="1:13">
      <c r="A144" s="52" t="s">
        <v>50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</row>
    <row r="145" spans="1:13">
      <c r="A145" s="29" t="s">
        <v>17</v>
      </c>
      <c r="B145" s="31" t="s">
        <v>18</v>
      </c>
      <c r="C145" s="31" t="s">
        <v>19</v>
      </c>
      <c r="D145" s="31" t="s">
        <v>20</v>
      </c>
      <c r="E145" s="31" t="s">
        <v>21</v>
      </c>
      <c r="F145" s="31" t="s">
        <v>22</v>
      </c>
      <c r="G145" s="31" t="s">
        <v>23</v>
      </c>
      <c r="H145" s="31" t="s">
        <v>24</v>
      </c>
      <c r="I145" s="31" t="s">
        <v>25</v>
      </c>
      <c r="J145" s="48">
        <v>45901</v>
      </c>
      <c r="K145" s="48">
        <v>45931</v>
      </c>
      <c r="L145" s="48">
        <v>45962</v>
      </c>
      <c r="M145" s="48">
        <v>45992</v>
      </c>
    </row>
    <row r="146" spans="1:13">
      <c r="A146" s="27" t="s">
        <v>14</v>
      </c>
      <c r="B146" s="26">
        <f t="shared" ref="B146:M146" si="94">B102+B113+B91+B58+B25</f>
        <v>135647982</v>
      </c>
      <c r="C146" s="26">
        <f t="shared" si="94"/>
        <v>105410379</v>
      </c>
      <c r="D146" s="26">
        <f t="shared" si="94"/>
        <v>160960514</v>
      </c>
      <c r="E146" s="26">
        <f t="shared" si="94"/>
        <v>114986630</v>
      </c>
      <c r="F146" s="26">
        <f t="shared" si="94"/>
        <v>116140935</v>
      </c>
      <c r="G146" s="26">
        <f t="shared" si="94"/>
        <v>120678618</v>
      </c>
      <c r="H146" s="26">
        <f t="shared" si="94"/>
        <v>131303880</v>
      </c>
      <c r="I146" s="26">
        <f t="shared" si="94"/>
        <v>147428364.74000001</v>
      </c>
      <c r="J146" s="26">
        <f t="shared" si="94"/>
        <v>169222461.06</v>
      </c>
      <c r="K146" s="26">
        <f t="shared" si="94"/>
        <v>188653379.81999999</v>
      </c>
      <c r="L146" s="26">
        <f t="shared" si="94"/>
        <v>270371204</v>
      </c>
      <c r="M146" s="26">
        <f t="shared" si="94"/>
        <v>239856492.6169</v>
      </c>
    </row>
    <row r="147" spans="1:13">
      <c r="A147" s="27" t="s">
        <v>1</v>
      </c>
      <c r="B147" s="26">
        <f t="shared" ref="B147:M147" si="95">B103+B114+B92+B59+B26</f>
        <v>19370013.165090002</v>
      </c>
      <c r="C147" s="26">
        <f t="shared" si="95"/>
        <v>19236944.985300004</v>
      </c>
      <c r="D147" s="26">
        <f t="shared" si="95"/>
        <v>25455280.133067988</v>
      </c>
      <c r="E147" s="26">
        <f t="shared" si="95"/>
        <v>27275183.488449961</v>
      </c>
      <c r="F147" s="26">
        <f t="shared" si="95"/>
        <v>27383220.565749992</v>
      </c>
      <c r="G147" s="26">
        <f t="shared" si="95"/>
        <v>27274304.5</v>
      </c>
      <c r="H147" s="26">
        <f t="shared" si="95"/>
        <v>26504000.574244969</v>
      </c>
      <c r="I147" s="26">
        <f t="shared" si="95"/>
        <v>21991755.423712194</v>
      </c>
      <c r="J147" s="26">
        <f t="shared" si="95"/>
        <v>20054899</v>
      </c>
      <c r="K147" s="26">
        <f t="shared" si="95"/>
        <v>27315462.069594774</v>
      </c>
      <c r="L147" s="26">
        <f t="shared" si="95"/>
        <v>30126898.800000001</v>
      </c>
      <c r="M147" s="26">
        <f t="shared" si="95"/>
        <v>28200677</v>
      </c>
    </row>
    <row r="148" spans="1:13">
      <c r="A148" s="27" t="s">
        <v>16</v>
      </c>
      <c r="B148" s="26">
        <f t="shared" ref="B148:M148" si="96">B104+B115+B93+B60+B27</f>
        <v>17321440.979999997</v>
      </c>
      <c r="C148" s="26">
        <f t="shared" si="96"/>
        <v>14679517.9</v>
      </c>
      <c r="D148" s="26">
        <f t="shared" si="96"/>
        <v>11976831.82</v>
      </c>
      <c r="E148" s="26">
        <f t="shared" si="96"/>
        <v>14836784.850000001</v>
      </c>
      <c r="F148" s="26">
        <f t="shared" si="96"/>
        <v>13102361.829999998</v>
      </c>
      <c r="G148" s="26">
        <f t="shared" si="96"/>
        <v>13343404.859999999</v>
      </c>
      <c r="H148" s="26">
        <f t="shared" si="96"/>
        <v>17547108.619999997</v>
      </c>
      <c r="I148" s="26">
        <f t="shared" si="96"/>
        <v>18488782.109999999</v>
      </c>
      <c r="J148" s="26">
        <f t="shared" si="96"/>
        <v>18926727.190000001</v>
      </c>
      <c r="K148" s="26">
        <f t="shared" si="96"/>
        <v>21287594.630000003</v>
      </c>
      <c r="L148" s="26">
        <f t="shared" ca="1" si="96"/>
        <v>22956385.869999997</v>
      </c>
      <c r="M148" s="26">
        <f t="shared" si="96"/>
        <v>23639912.350000001</v>
      </c>
    </row>
    <row r="149" spans="1:13">
      <c r="A149" s="27" t="s">
        <v>15</v>
      </c>
      <c r="B149" s="26">
        <f t="shared" ref="B149:M149" si="97">B105+B116+B94+B61+B28</f>
        <v>2743861.0133333337</v>
      </c>
      <c r="C149" s="26">
        <f t="shared" si="97"/>
        <v>2567431.27</v>
      </c>
      <c r="D149" s="26">
        <f t="shared" si="97"/>
        <v>4713872.76</v>
      </c>
      <c r="E149" s="26">
        <f t="shared" si="97"/>
        <v>2830573.3899999997</v>
      </c>
      <c r="F149" s="26">
        <f t="shared" si="97"/>
        <v>3158779.59</v>
      </c>
      <c r="G149" s="26">
        <f t="shared" si="97"/>
        <v>2248471.1100000003</v>
      </c>
      <c r="H149" s="26">
        <f t="shared" si="97"/>
        <v>3042670.99</v>
      </c>
      <c r="I149" s="26">
        <f t="shared" si="97"/>
        <v>6748894.8399999999</v>
      </c>
      <c r="J149" s="26">
        <f t="shared" si="97"/>
        <v>4989980.1500000004</v>
      </c>
      <c r="K149" s="26">
        <f t="shared" si="97"/>
        <v>4328697.76</v>
      </c>
      <c r="L149" s="26">
        <f t="shared" si="97"/>
        <v>5049726.01</v>
      </c>
      <c r="M149" s="26">
        <f t="shared" si="97"/>
        <v>11885671.969999999</v>
      </c>
    </row>
    <row r="150" spans="1:13">
      <c r="A150" s="27" t="s">
        <v>1</v>
      </c>
      <c r="B150" s="32">
        <f t="shared" ref="B150:M150" si="98">B147/B$146</f>
        <v>0.14279617639346823</v>
      </c>
      <c r="C150" s="32">
        <f t="shared" si="98"/>
        <v>0.18249573872891592</v>
      </c>
      <c r="D150" s="32">
        <f t="shared" si="98"/>
        <v>0.15814611609073259</v>
      </c>
      <c r="E150" s="32">
        <f t="shared" si="98"/>
        <v>0.23720308603226273</v>
      </c>
      <c r="F150" s="32">
        <f t="shared" si="98"/>
        <v>0.23577578883577949</v>
      </c>
      <c r="G150" s="32">
        <f t="shared" si="98"/>
        <v>0.22600776303222167</v>
      </c>
      <c r="H150" s="32">
        <f t="shared" si="98"/>
        <v>0.20185237918517693</v>
      </c>
      <c r="I150" s="32">
        <f t="shared" si="98"/>
        <v>0.14916909281667851</v>
      </c>
      <c r="J150" s="32">
        <f t="shared" si="98"/>
        <v>0.11851203956246256</v>
      </c>
      <c r="K150" s="32">
        <f t="shared" si="98"/>
        <v>0.14479179803540917</v>
      </c>
      <c r="L150" s="32">
        <f t="shared" si="98"/>
        <v>0.1114279122713083</v>
      </c>
      <c r="M150" s="32">
        <f t="shared" si="98"/>
        <v>0.11757312338024664</v>
      </c>
    </row>
    <row r="151" spans="1:13">
      <c r="A151" s="27" t="s">
        <v>16</v>
      </c>
      <c r="B151" s="32">
        <f t="shared" ref="B151:M151" si="99">B148/B$146</f>
        <v>0.12769405578035062</v>
      </c>
      <c r="C151" s="32">
        <f t="shared" si="99"/>
        <v>0.13926065003523042</v>
      </c>
      <c r="D151" s="32">
        <f t="shared" si="99"/>
        <v>7.4408508784955793E-2</v>
      </c>
      <c r="E151" s="32">
        <f t="shared" si="99"/>
        <v>0.12903052163542841</v>
      </c>
      <c r="F151" s="32">
        <f t="shared" si="99"/>
        <v>0.11281433053729073</v>
      </c>
      <c r="G151" s="32">
        <f t="shared" si="99"/>
        <v>0.1105697519671629</v>
      </c>
      <c r="H151" s="32">
        <f t="shared" si="99"/>
        <v>0.13363739609217942</v>
      </c>
      <c r="I151" s="32">
        <f t="shared" si="99"/>
        <v>0.12540858160236823</v>
      </c>
      <c r="J151" s="32">
        <f t="shared" si="99"/>
        <v>0.11184524247812049</v>
      </c>
      <c r="K151" s="32">
        <f t="shared" si="99"/>
        <v>0.11283972039255885</v>
      </c>
      <c r="L151" s="32">
        <f t="shared" ca="1" si="99"/>
        <v>8.4906918822612476E-2</v>
      </c>
      <c r="M151" s="32">
        <f t="shared" si="99"/>
        <v>9.8558567633846753E-2</v>
      </c>
    </row>
    <row r="152" spans="1:13">
      <c r="A152" s="27" t="s">
        <v>15</v>
      </c>
      <c r="B152" s="32">
        <f t="shared" ref="B152:M152" si="100">B149/B$146</f>
        <v>2.0227805625101992E-2</v>
      </c>
      <c r="C152" s="32">
        <f t="shared" si="100"/>
        <v>2.4356532007156526E-2</v>
      </c>
      <c r="D152" s="32">
        <f t="shared" si="100"/>
        <v>2.9285895297277691E-2</v>
      </c>
      <c r="E152" s="32">
        <f t="shared" si="100"/>
        <v>2.4616543592937714E-2</v>
      </c>
      <c r="F152" s="32">
        <f t="shared" si="100"/>
        <v>2.7197814362352083E-2</v>
      </c>
      <c r="G152" s="32">
        <f t="shared" si="100"/>
        <v>1.8631893099737024E-2</v>
      </c>
      <c r="H152" s="32">
        <f t="shared" si="100"/>
        <v>2.3172742420102133E-2</v>
      </c>
      <c r="I152" s="32">
        <f t="shared" si="100"/>
        <v>4.5777451658655627E-2</v>
      </c>
      <c r="J152" s="32">
        <f t="shared" si="100"/>
        <v>2.9487694001984397E-2</v>
      </c>
      <c r="K152" s="32">
        <f t="shared" si="100"/>
        <v>2.2945243621556866E-2</v>
      </c>
      <c r="L152" s="32">
        <f t="shared" si="100"/>
        <v>1.8677011217511166E-2</v>
      </c>
      <c r="M152" s="32">
        <f t="shared" si="100"/>
        <v>4.9553263454843621E-2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junio 2026</vt:lpstr>
      <vt:lpstr>mayo 2026</vt:lpstr>
      <vt:lpstr>abril 2026</vt:lpstr>
      <vt:lpstr>marzo 2026</vt:lpstr>
      <vt:lpstr>febrero 2026</vt:lpstr>
      <vt:lpstr>enero 2026</vt:lpstr>
      <vt:lpstr>Diciembre 2025</vt:lpstr>
      <vt:lpstr>Noviembre 2025_real</vt:lpstr>
      <vt:lpstr>Noviembre 2025_proy</vt:lpstr>
      <vt:lpstr>Octubre 2025_proy</vt:lpstr>
      <vt:lpstr>Octubre 2025_real</vt:lpstr>
      <vt:lpstr>Septiembre 2025_real</vt:lpstr>
      <vt:lpstr>Septiembre 2025_proy</vt:lpstr>
      <vt:lpstr>Agosto 2025-real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Valeria Levite</cp:lastModifiedBy>
  <dcterms:created xsi:type="dcterms:W3CDTF">2025-09-16T13:45:33Z</dcterms:created>
  <dcterms:modified xsi:type="dcterms:W3CDTF">2026-07-27T18:54:17Z</dcterms:modified>
</cp:coreProperties>
</file>