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Hoja1" sheetId="1" r:id="rId1"/>
    <sheet name="original" sheetId="2" r:id="rId2"/>
  </sheets>
  <definedNames>
    <definedName name="_xlnm._FilterDatabase" localSheetId="0" hidden="1">Hoja1!$A$1:$M$92</definedName>
    <definedName name="_xlnm._FilterDatabase" localSheetId="1" hidden="1">original!$A$1:$M$56</definedName>
  </definedNames>
  <calcPr calcId="162913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N33" i="1" s="1"/>
</calcChain>
</file>

<file path=xl/sharedStrings.xml><?xml version="1.0" encoding="utf-8"?>
<sst xmlns="http://schemas.openxmlformats.org/spreadsheetml/2006/main" count="1601" uniqueCount="255">
  <si>
    <t>-agosto-2025</t>
  </si>
  <si>
    <t>$ -</t>
  </si>
  <si>
    <t>ABL</t>
  </si>
  <si>
    <t>MAGECA S A</t>
  </si>
  <si>
    <t>CREDICOOP</t>
  </si>
  <si>
    <t>ALQUILER</t>
  </si>
  <si>
    <t>AYSA</t>
  </si>
  <si>
    <t>EDESUR</t>
  </si>
  <si>
    <t>EXPENSAS</t>
  </si>
  <si>
    <t>FUMIGACION</t>
  </si>
  <si>
    <t>MANOLIO MARIANO SERGIO</t>
  </si>
  <si>
    <t>FA 00003-00001006</t>
  </si>
  <si>
    <t>INTERNET</t>
  </si>
  <si>
    <t>TELECOM ARGENTINA SOCIEDAD ANONIMA</t>
  </si>
  <si>
    <t>DEB. AUT. CRED.</t>
  </si>
  <si>
    <t>S/C</t>
  </si>
  <si>
    <t>sin comprobante</t>
  </si>
  <si>
    <t>COM AS SAN TELMO</t>
  </si>
  <si>
    <t>ALARMA</t>
  </si>
  <si>
    <t>SANES JUAN MANUEL</t>
  </si>
  <si>
    <t>FC 00001-00000088</t>
  </si>
  <si>
    <t>$ 20.000,00</t>
  </si>
  <si>
    <t>MESATEL SA</t>
  </si>
  <si>
    <t>FA</t>
  </si>
  <si>
    <t>FA 0501-02737818</t>
  </si>
  <si>
    <t>$ 39.282,27</t>
  </si>
  <si>
    <t>$ 10.606,21</t>
  </si>
  <si>
    <t>$ 3.685,86</t>
  </si>
  <si>
    <t>$ 53.574,34</t>
  </si>
  <si>
    <t>PROVINCIA</t>
  </si>
  <si>
    <t>$ 1.146.570,01</t>
  </si>
  <si>
    <t>$ 30.230,00</t>
  </si>
  <si>
    <t>$ 6.348,30</t>
  </si>
  <si>
    <t>$ 36.578,30</t>
  </si>
  <si>
    <t>TELEFONICA MOVILES ARGENTINA SOCIEDAD ANONIMA</t>
  </si>
  <si>
    <t>FA 3103-00025772</t>
  </si>
  <si>
    <t>$ 92.918,40</t>
  </si>
  <si>
    <t>$ 20.922,77</t>
  </si>
  <si>
    <t>$ 2.787,55</t>
  </si>
  <si>
    <t>$ 116.628,72</t>
  </si>
  <si>
    <t>MANTENIMIENTO</t>
  </si>
  <si>
    <t>CHECK CLIMATIZACION</t>
  </si>
  <si>
    <t>FA 00001-00000188</t>
  </si>
  <si>
    <t>$ 692.846,25</t>
  </si>
  <si>
    <t>$ 145.497,71</t>
  </si>
  <si>
    <t>$ 838.343,96</t>
  </si>
  <si>
    <t>RETAMAR VICTOR ARMANDO</t>
  </si>
  <si>
    <t>FC 00004-00000029</t>
  </si>
  <si>
    <t>$ 292.000,00</t>
  </si>
  <si>
    <t>COM LUCERO FLORIDA</t>
  </si>
  <si>
    <t>ND</t>
  </si>
  <si>
    <t>FC</t>
  </si>
  <si>
    <t>FA 0501-02743414</t>
  </si>
  <si>
    <t>$ 150.125,30</t>
  </si>
  <si>
    <t>$ 40.533,83</t>
  </si>
  <si>
    <t>$ 14.086,26</t>
  </si>
  <si>
    <t>$ 204.745,39</t>
  </si>
  <si>
    <t>FA 0501-02743784</t>
  </si>
  <si>
    <t>$ 15.564,05</t>
  </si>
  <si>
    <t>$ 4.202,29</t>
  </si>
  <si>
    <t>$ 1.460,37</t>
  </si>
  <si>
    <t>$ 21.226,71</t>
  </si>
  <si>
    <t>FA 9904-0247509417</t>
  </si>
  <si>
    <t>$ 477.296,60</t>
  </si>
  <si>
    <t>$ 128.870,08</t>
  </si>
  <si>
    <t>$ 44.784,74</t>
  </si>
  <si>
    <t>$ 650.951,42</t>
  </si>
  <si>
    <t>MP</t>
  </si>
  <si>
    <t>FA 4264-05658214</t>
  </si>
  <si>
    <t>$ 144.997,00</t>
  </si>
  <si>
    <t>$ 30.449,37</t>
  </si>
  <si>
    <t>$ 11.599,76</t>
  </si>
  <si>
    <t>$ 187.046,13</t>
  </si>
  <si>
    <t>COM LUCERO FRENCH</t>
  </si>
  <si>
    <t>MATAFUEGO</t>
  </si>
  <si>
    <t>SEGURIDAD DENAPOLI SRL</t>
  </si>
  <si>
    <t>FA 00004-00010036</t>
  </si>
  <si>
    <t>$ 41.895,00</t>
  </si>
  <si>
    <t>$ 8.797,95</t>
  </si>
  <si>
    <t>$ 50.692,95</t>
  </si>
  <si>
    <t>$ 40.000,00</t>
  </si>
  <si>
    <t>Fideicomiso Laguna Oscura</t>
  </si>
  <si>
    <t>RA</t>
  </si>
  <si>
    <t>$ 807.312,00</t>
  </si>
  <si>
    <t>FA 0501-02737820</t>
  </si>
  <si>
    <t>$ 116.796,22</t>
  </si>
  <si>
    <t>$ 31.534,98</t>
  </si>
  <si>
    <t>$ 10.958,99</t>
  </si>
  <si>
    <t>$ 159.290,19</t>
  </si>
  <si>
    <t>FA 0501-02737819</t>
  </si>
  <si>
    <t>$ 28.181,54</t>
  </si>
  <si>
    <t>$ 7.609,02</t>
  </si>
  <si>
    <t>$ 2.644,28</t>
  </si>
  <si>
    <t>$ 38.434,84</t>
  </si>
  <si>
    <t>Solar de french</t>
  </si>
  <si>
    <t>$ 242.602,21</t>
  </si>
  <si>
    <t>EFECTIVO</t>
  </si>
  <si>
    <t>FA 4264-05647876</t>
  </si>
  <si>
    <t>$ 102.700,00</t>
  </si>
  <si>
    <t>$ 21.567,00</t>
  </si>
  <si>
    <t>$ 8.216,00</t>
  </si>
  <si>
    <t>$ 132.483,00</t>
  </si>
  <si>
    <t>COM LUCERO GUEMES</t>
  </si>
  <si>
    <t>FA 4264-05624998</t>
  </si>
  <si>
    <t>$ 35.325,00</t>
  </si>
  <si>
    <t>$ 7.418,25</t>
  </si>
  <si>
    <t>$ 2.826,00</t>
  </si>
  <si>
    <t>$ 45.569,25</t>
  </si>
  <si>
    <t>COM LUCERO GUEMES GONDOLA 13</t>
  </si>
  <si>
    <t>COM LUCERO GUEMES GONDOLA 7</t>
  </si>
  <si>
    <t>COM LUCERO GUEMES LOCAL 04</t>
  </si>
  <si>
    <t>COM LUCERO GUEMES LOCAL 08</t>
  </si>
  <si>
    <t>MARKETING LUCERO</t>
  </si>
  <si>
    <t>NUEVA ATENEA SRL</t>
  </si>
  <si>
    <t>FA 0002-00000890</t>
  </si>
  <si>
    <t>$ 59.500,00</t>
  </si>
  <si>
    <t>$ 12.495,00</t>
  </si>
  <si>
    <t>$ 71.995,00</t>
  </si>
  <si>
    <t>COM LUCERO RECOLETA</t>
  </si>
  <si>
    <t>FORTIN MAURE S.A.</t>
  </si>
  <si>
    <t>FA 0501-02731127</t>
  </si>
  <si>
    <t>$ 87.365,62</t>
  </si>
  <si>
    <t>$ 23.588,72</t>
  </si>
  <si>
    <t>$ 8.197,52</t>
  </si>
  <si>
    <t>$ 119.151,86</t>
  </si>
  <si>
    <t>FA 0030-00091179</t>
  </si>
  <si>
    <t>$ 1.901.854,12</t>
  </si>
  <si>
    <t>$ 399.389,37</t>
  </si>
  <si>
    <t>$ 95.092,71</t>
  </si>
  <si>
    <t>$ 2.396.336,20</t>
  </si>
  <si>
    <t>FA 4264-05746386</t>
  </si>
  <si>
    <t>$ 57.553,73</t>
  </si>
  <si>
    <t>$ 12.086,28</t>
  </si>
  <si>
    <t>$ 4.604,30</t>
  </si>
  <si>
    <t>$ 74.244,31</t>
  </si>
  <si>
    <t>COM LUCERO SAN TELMO</t>
  </si>
  <si>
    <t>COM LUCERO ST</t>
  </si>
  <si>
    <t>FA 0501-02735148</t>
  </si>
  <si>
    <t>$ 74.279,91</t>
  </si>
  <si>
    <t>$ 20.055,58</t>
  </si>
  <si>
    <t>$ 6.969,69</t>
  </si>
  <si>
    <t>$ 101.305,18</t>
  </si>
  <si>
    <t>$ 573.285,05</t>
  </si>
  <si>
    <t>COM LUCERO ST 2</t>
  </si>
  <si>
    <t>$ 104.085,80</t>
  </si>
  <si>
    <t>TIENDA / DEPOSITO / OFICINA / FABRICA</t>
  </si>
  <si>
    <t>ITEM</t>
  </si>
  <si>
    <t>RAZON SOCIAL</t>
  </si>
  <si>
    <t>FACTURA</t>
  </si>
  <si>
    <t>FECHA EMISION</t>
  </si>
  <si>
    <t>IMPORTE</t>
  </si>
  <si>
    <t>IVA/OTRO</t>
  </si>
  <si>
    <t>OTRAS PERCEP.</t>
  </si>
  <si>
    <t>TOTAL</t>
  </si>
  <si>
    <t>MEDIO DE PAGO</t>
  </si>
  <si>
    <t>FECHA A PAGAR</t>
  </si>
  <si>
    <t>FECHA 
PAGO</t>
  </si>
  <si>
    <t>EMPRESA</t>
  </si>
  <si>
    <t>SB</t>
  </si>
  <si>
    <t>(libre)</t>
  </si>
  <si>
    <t>SERVICIOS</t>
  </si>
  <si>
    <t>SANABRIA GUSTAVO</t>
  </si>
  <si>
    <t>FA 0005-00002375</t>
  </si>
  <si>
    <t>$ 90.000,00</t>
  </si>
  <si>
    <t>$ 18.900,00</t>
  </si>
  <si>
    <t>$ 108.900,00</t>
  </si>
  <si>
    <t>ECHEQ</t>
  </si>
  <si>
    <t>00001-00000191</t>
  </si>
  <si>
    <t>$ 1.638.723,03</t>
  </si>
  <si>
    <t>$ 344.131,84</t>
  </si>
  <si>
    <t>$ 1.982.854,87</t>
  </si>
  <si>
    <t>BBVA</t>
  </si>
  <si>
    <t>FA 00003-00008096</t>
  </si>
  <si>
    <t>$ 1.569.764,97</t>
  </si>
  <si>
    <t>$ 329.650,64</t>
  </si>
  <si>
    <t>$ 1.899.415,61</t>
  </si>
  <si>
    <t>COM FLORIDA LUCERO</t>
  </si>
  <si>
    <t>ND 00002-00000063</t>
  </si>
  <si>
    <t>$ 532.322,00</t>
  </si>
  <si>
    <t>FC 00001-00000089</t>
  </si>
  <si>
    <t>FA 00002-00000220</t>
  </si>
  <si>
    <t>$ 6.550.000,00</t>
  </si>
  <si>
    <t>$ 1.375.500,00</t>
  </si>
  <si>
    <t>$ 7.925.500,00</t>
  </si>
  <si>
    <t>$ 405.183,12</t>
  </si>
  <si>
    <t>$ 109.399,44</t>
  </si>
  <si>
    <t>$ 25.486,01</t>
  </si>
  <si>
    <t>$ 540.068,57</t>
  </si>
  <si>
    <t>FA 00004-00010043</t>
  </si>
  <si>
    <t>$ 407.740,50</t>
  </si>
  <si>
    <t>FA 00003-00001007</t>
  </si>
  <si>
    <t>$ 37.650,00</t>
  </si>
  <si>
    <t>$ 7.906,50</t>
  </si>
  <si>
    <t>$ 45.556,50</t>
  </si>
  <si>
    <t>GALERIA GRAL GUEMES S A I</t>
  </si>
  <si>
    <t>FA A00003-00019233</t>
  </si>
  <si>
    <t>$ 250.000,00</t>
  </si>
  <si>
    <t>$ 52.500,00</t>
  </si>
  <si>
    <t>$ 302.500,00</t>
  </si>
  <si>
    <t>$ 18.181,99</t>
  </si>
  <si>
    <t>FA A00003-00019217</t>
  </si>
  <si>
    <t>$ 428.053,64</t>
  </si>
  <si>
    <t>$ 89.891,26</t>
  </si>
  <si>
    <t>$ 517.944,90</t>
  </si>
  <si>
    <t>$ 7.508,22</t>
  </si>
  <si>
    <t>$ 1.576,73</t>
  </si>
  <si>
    <t>$ 9.084,95</t>
  </si>
  <si>
    <t>$ 50.182,29</t>
  </si>
  <si>
    <t>FA A00003-00019223</t>
  </si>
  <si>
    <t>$ 554.000,00</t>
  </si>
  <si>
    <t>$ 116.340,00</t>
  </si>
  <si>
    <t>$ 670.340,00</t>
  </si>
  <si>
    <t>$ 314.184,75</t>
  </si>
  <si>
    <t>FA 0005-00002371</t>
  </si>
  <si>
    <t>$ 190.000,00</t>
  </si>
  <si>
    <t>$ 39.900,00</t>
  </si>
  <si>
    <t>$ 229.900,00</t>
  </si>
  <si>
    <t>FA A00003-00019216</t>
  </si>
  <si>
    <t>$ 599.275,10</t>
  </si>
  <si>
    <t>$ 125.847,77</t>
  </si>
  <si>
    <t>$ 725.122,87</t>
  </si>
  <si>
    <t>$ 328.003,06</t>
  </si>
  <si>
    <t>FA 0005-00002376</t>
  </si>
  <si>
    <t>FA 00004-00010039</t>
  </si>
  <si>
    <t>FA 0030-00091406</t>
  </si>
  <si>
    <t>$ 1.299.988,60</t>
  </si>
  <si>
    <t>$ 272.997,61</t>
  </si>
  <si>
    <t>$ 38.999,66</t>
  </si>
  <si>
    <t>$ 1.611.985,87</t>
  </si>
  <si>
    <t>FA 00004-00010052</t>
  </si>
  <si>
    <t>$ 62.539,00</t>
  </si>
  <si>
    <t>$ 13.133,19</t>
  </si>
  <si>
    <t>$ 75.672,19</t>
  </si>
  <si>
    <t>FA 0005-00002373</t>
  </si>
  <si>
    <t>FA 00004-00010042</t>
  </si>
  <si>
    <t>FA 00003-00008098</t>
  </si>
  <si>
    <t>$ 1.741.513,44</t>
  </si>
  <si>
    <t>$ 365.717,82</t>
  </si>
  <si>
    <t>$ 2.107.231,26</t>
  </si>
  <si>
    <t>FA 0005-00002372</t>
  </si>
  <si>
    <t>$ 290.000,00</t>
  </si>
  <si>
    <t>$ 60.900,00</t>
  </si>
  <si>
    <t>$ 350.900,00</t>
  </si>
  <si>
    <t>FA 00003-00008097</t>
  </si>
  <si>
    <t>$ 887.700,00</t>
  </si>
  <si>
    <t>$ 186.417,00</t>
  </si>
  <si>
    <t>$ 1.074.117,00</t>
  </si>
  <si>
    <t>LC</t>
  </si>
  <si>
    <t>TOTAL S/IVA</t>
  </si>
  <si>
    <t>Etiquetas de columna</t>
  </si>
  <si>
    <t>Total general</t>
  </si>
  <si>
    <t>Etiquetas de fila</t>
  </si>
  <si>
    <t>Suma de TOTAL S/IVA</t>
  </si>
  <si>
    <t>COM FLORIDA</t>
  </si>
  <si>
    <t>COM GUEMES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</si>
</sst>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E69138"/>
      <name val="Calibri"/>
      <family val="2"/>
    </font>
    <font>
      <sz val="10"/>
      <color rgb="FF3D3D3D"/>
      <name val="Calibri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7">
    <xf numFmtId="0" fontId="0" fillId="0" borderId="0" xfId="0"/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0" borderId="0" xfId="0" applyFont="1" applyAlignment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0" fontId="3" fillId="3" borderId="2" xfId="0" applyFont="1" applyFill="1" applyBorder="1" applyAlignment="1"/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/>
    <xf numFmtId="0" fontId="3" fillId="0" borderId="3" xfId="0" applyFont="1" applyBorder="1" applyAlignment="1"/>
    <xf numFmtId="14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5" fillId="0" borderId="3" xfId="0" applyFont="1" applyBorder="1" applyAlignment="1"/>
    <xf numFmtId="14" fontId="3" fillId="0" borderId="3" xfId="0" applyNumberFormat="1" applyFont="1" applyBorder="1" applyAlignment="1">
      <alignment horizontal="right"/>
    </xf>
    <xf numFmtId="0" fontId="3" fillId="5" borderId="3" xfId="0" applyFont="1" applyFill="1" applyBorder="1" applyAlignment="1"/>
    <xf numFmtId="0" fontId="3" fillId="5" borderId="3" xfId="0" applyFont="1" applyFill="1" applyBorder="1" applyAlignment="1">
      <alignment horizontal="right"/>
    </xf>
    <xf numFmtId="14" fontId="3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right"/>
    </xf>
    <xf numFmtId="0" fontId="5" fillId="4" borderId="3" xfId="0" applyFont="1" applyFill="1" applyBorder="1" applyAlignment="1"/>
    <xf numFmtId="14" fontId="3" fillId="4" borderId="3" xfId="0" applyNumberFormat="1" applyFont="1" applyFill="1" applyBorder="1" applyAlignment="1">
      <alignment horizontal="right"/>
    </xf>
    <xf numFmtId="0" fontId="1" fillId="2" borderId="6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0" borderId="7" xfId="0" applyFont="1" applyBorder="1" applyAlignment="1">
      <alignment vertical="center"/>
    </xf>
    <xf numFmtId="0" fontId="5" fillId="0" borderId="3" xfId="0" applyFont="1" applyBorder="1" applyAlignment="1">
      <alignment horizontal="center"/>
    </xf>
    <xf numFmtId="0" fontId="3" fillId="4" borderId="7" xfId="0" applyFont="1" applyFill="1" applyBorder="1" applyAlignment="1"/>
    <xf numFmtId="0" fontId="3" fillId="0" borderId="7" xfId="0" applyFont="1" applyBorder="1" applyAlignment="1"/>
    <xf numFmtId="8" fontId="3" fillId="0" borderId="3" xfId="0" applyNumberFormat="1" applyFont="1" applyBorder="1" applyAlignment="1">
      <alignment horizontal="right"/>
    </xf>
    <xf numFmtId="44" fontId="2" fillId="0" borderId="0" xfId="1" applyFon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Font="1"/>
    <xf numFmtId="164" fontId="0" fillId="6" borderId="0" xfId="0" applyNumberFormat="1" applyFont="1" applyFill="1"/>
    <xf numFmtId="8" fontId="3" fillId="0" borderId="3" xfId="0" applyNumberFormat="1" applyFont="1" applyBorder="1" applyAlignment="1"/>
    <xf numFmtId="8" fontId="2" fillId="0" borderId="0" xfId="1" applyNumberFormat="1" applyFont="1" applyAlignment="1">
      <alignment horizontal="right"/>
    </xf>
  </cellXfs>
  <cellStyles count="2">
    <cellStyle name="Moneda" xfId="1" builtinId="4"/>
    <cellStyle name="Normal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&quot;$&quot;\ * #,##0_-;\-&quot;$&quot;\ * #,##0_-;_-&quot;$&quot;\ * &quot;-&quot;??_-;_-@_-"/>
    </dxf>
    <dxf>
      <numFmt numFmtId="165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  <dxf>
      <font>
        <b val="0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22.512046296295" createdVersion="6" refreshedVersion="6" minRefreshableVersion="3" recordCount="91">
  <cacheSource type="worksheet">
    <worksheetSource ref="A1:N92" sheet="Hoja1"/>
  </cacheSource>
  <cacheFields count="15">
    <cacheField name="TIENDA / DEPOSITO / OFICINA / FABRICA" numFmtId="0">
      <sharedItems count="13">
        <s v="COM AS SAN TELMO"/>
        <s v="COM FLORIDA LUCERO"/>
        <s v="COM LUCERO FLORIDA"/>
        <s v="COM LUCERO FRENCH"/>
        <s v="COM LUCERO GUEMES"/>
        <s v="COM LUCERO GUEMES GONDOLA 13"/>
        <s v="COM LUCERO GUEMES GONDOLA 7"/>
        <s v="COM LUCERO GUEMES LOCAL 04"/>
        <s v="COM LUCERO GUEMES LOCAL 08"/>
        <s v="COM LUCERO RECOLETA"/>
        <s v="COM LUCERO SAN TELMO"/>
        <s v="COM LUCERO ST"/>
        <s v="COM LUCERO ST 2"/>
      </sharedItems>
      <fieldGroup par="14"/>
    </cacheField>
    <cacheField name="ITEM" numFmtId="0">
      <sharedItems count="12">
        <s v="ALARMA"/>
        <s v="ALQUILER"/>
        <s v="EDESUR"/>
        <s v="EXPENSAS"/>
        <s v="FUMIGACION"/>
        <s v="INTERNET"/>
        <s v="MANTENIMIENTO"/>
        <s v="SERVICIOS"/>
        <s v="ABL"/>
        <s v="AYSA"/>
        <s v="MATAFUEGO"/>
        <s v="MARKETING LUCERO"/>
      </sharedItems>
    </cacheField>
    <cacheField name="RAZON SOCIAL" numFmtId="0">
      <sharedItems containsBlank="1"/>
    </cacheField>
    <cacheField name="FACTURA" numFmtId="0">
      <sharedItems containsBlank="1"/>
    </cacheField>
    <cacheField name="FECHA EMISION" numFmtId="0">
      <sharedItems containsNonDate="0" containsDate="1" containsString="0" containsBlank="1" minDate="2025-07-17T00:00:00" maxDate="2025-09-04T00:00:00"/>
    </cacheField>
    <cacheField name="IMPORTE" numFmtId="0">
      <sharedItems containsBlank="1" containsMixedTypes="1" containsNumber="1" minValue="599275.1" maxValue="6550000"/>
    </cacheField>
    <cacheField name="IVA/OTRO" numFmtId="0">
      <sharedItems containsBlank="1"/>
    </cacheField>
    <cacheField name="OTRAS PERCEP." numFmtId="0">
      <sharedItems containsBlank="1" containsMixedTypes="1" containsNumber="1" minValue="328003.06" maxValue="407740.5"/>
    </cacheField>
    <cacheField name="TOTAL" numFmtId="0">
      <sharedItems containsBlank="1" containsMixedTypes="1" containsNumber="1" minValue="242602.21" maxValue="1146570.01"/>
    </cacheField>
    <cacheField name="MEDIO DE PAGO" numFmtId="0">
      <sharedItems containsBlank="1"/>
    </cacheField>
    <cacheField name="FECHA A PAGAR" numFmtId="0">
      <sharedItems containsNonDate="0" containsDate="1" containsString="0" containsBlank="1" minDate="2025-08-04T00:00:00" maxDate="2025-09-20T00:00:00"/>
    </cacheField>
    <cacheField name="FECHA _x000a_PAGO" numFmtId="0">
      <sharedItems containsNonDate="0" containsDate="1" containsString="0" containsBlank="1" minDate="2025-08-04T00:00:00" maxDate="2025-08-30T00:00:00"/>
    </cacheField>
    <cacheField name="EMPRESA" numFmtId="0">
      <sharedItems/>
    </cacheField>
    <cacheField name="TOTAL S/IVA" numFmtId="44">
      <sharedItems containsSemiMixedTypes="0" containsString="0" containsNumber="1" minValue="0" maxValue="6550000"/>
    </cacheField>
    <cacheField name="TIENDA / DEPOSITO / OFICINA / FABRICA2" numFmtId="0" databaseField="0">
      <fieldGroup base="0">
        <discretePr count="13">
          <x v="0"/>
          <x v="8"/>
          <x v="8"/>
          <x v="1"/>
          <x v="9"/>
          <x v="2"/>
          <x v="3"/>
          <x v="4"/>
          <x v="9"/>
          <x v="5"/>
          <x v="7"/>
          <x v="7"/>
          <x v="6"/>
        </discretePr>
        <groupItems count="10">
          <s v="COM AS SAN TELMO"/>
          <s v="COM LUCERO FRENCH"/>
          <s v="COM LUCERO GUEMES GONDOLA 13"/>
          <s v="COM LUCERO GUEMES GONDOLA 7"/>
          <s v="COM LUCERO GUEMES LOCAL 04"/>
          <s v="COM LUCERO RECOLETA"/>
          <s v="COM LUCERO ST 2"/>
          <s v="Grupo1"/>
          <s v="Grupo2"/>
          <s v="Grupo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">
  <r>
    <x v="0"/>
    <x v="0"/>
    <s v="SANES JUAN MANUEL"/>
    <s v="FC 00001-00000088"/>
    <d v="2025-09-03T00:00:00"/>
    <m/>
    <s v="$ -"/>
    <m/>
    <s v="$ 20.000,00"/>
    <s v="CREDICOOP"/>
    <d v="2025-09-19T00:00:00"/>
    <m/>
    <s v="SB"/>
    <n v="20000"/>
  </r>
  <r>
    <x v="0"/>
    <x v="1"/>
    <s v="MESATEL SA"/>
    <s v="FA"/>
    <m/>
    <m/>
    <s v="$ -"/>
    <m/>
    <m/>
    <s v="CREDICOOP"/>
    <m/>
    <m/>
    <s v="SB"/>
    <n v="0"/>
  </r>
  <r>
    <x v="0"/>
    <x v="2"/>
    <s v="EDESUR"/>
    <s v="FA 0501-02737818"/>
    <d v="2025-07-28T00:00:00"/>
    <s v="$ 39.282,27"/>
    <s v="$ 10.606,21"/>
    <s v="$ 3.685,86"/>
    <s v="$ 53.574,34"/>
    <s v="PROVINCIA"/>
    <d v="2025-08-05T00:00:00"/>
    <d v="2025-08-04T00:00:00"/>
    <s v="SB"/>
    <n v="39282.269999999997"/>
  </r>
  <r>
    <x v="0"/>
    <x v="3"/>
    <s v="sin comprobante"/>
    <m/>
    <d v="2025-08-01T00:00:00"/>
    <m/>
    <m/>
    <m/>
    <n v="1146570.01"/>
    <s v="CREDICOOP"/>
    <d v="2025-08-08T00:00:00"/>
    <d v="2025-08-08T00:00:00"/>
    <s v="SB"/>
    <n v="1146570.01"/>
  </r>
  <r>
    <x v="0"/>
    <x v="4"/>
    <s v="MANOLIO MARIANO SERGIO"/>
    <s v="FA 00003-00001006"/>
    <d v="2025-08-08T00:00:00"/>
    <s v="$ 30.230,00"/>
    <s v="$ 6.348,30"/>
    <m/>
    <s v="$ 36.578,30"/>
    <s v="CREDICOOP"/>
    <d v="2025-08-22T00:00:00"/>
    <d v="2025-08-22T00:00:00"/>
    <s v="SB"/>
    <n v="30230"/>
  </r>
  <r>
    <x v="0"/>
    <x v="5"/>
    <s v="TELEFONICA MOVILES ARGENTINA SOCIEDAD ANONIMA"/>
    <s v="FA 3103-00025772"/>
    <d v="2025-08-13T00:00:00"/>
    <s v="$ 92.918,40"/>
    <s v="$ 20.922,77"/>
    <s v="$ 2.787,55"/>
    <s v="$ 116.628,72"/>
    <s v="PROVINCIA"/>
    <d v="2025-08-25T00:00:00"/>
    <d v="2025-08-25T00:00:00"/>
    <s v="SB"/>
    <n v="92918.399999999994"/>
  </r>
  <r>
    <x v="0"/>
    <x v="6"/>
    <s v="CHECK CLIMATIZACION"/>
    <s v="FA 00001-00000188"/>
    <d v="2025-07-30T00:00:00"/>
    <s v="$ 692.846,25"/>
    <s v="$ 145.497,71"/>
    <m/>
    <s v="$ 838.343,96"/>
    <s v="CREDICOOP"/>
    <d v="2025-08-15T00:00:00"/>
    <d v="2025-08-15T00:00:00"/>
    <s v="SB"/>
    <n v="692846.25"/>
  </r>
  <r>
    <x v="0"/>
    <x v="6"/>
    <s v="RETAMAR VICTOR ARMANDO"/>
    <s v="FC 00004-00000029"/>
    <d v="2025-08-18T00:00:00"/>
    <s v="$ 292.000,00"/>
    <s v="$ -"/>
    <m/>
    <s v="$ 292.000,00"/>
    <s v="CREDICOOP"/>
    <d v="2025-08-26T00:00:00"/>
    <d v="2025-08-26T00:00:00"/>
    <s v="SB"/>
    <n v="292000"/>
  </r>
  <r>
    <x v="0"/>
    <x v="7"/>
    <s v="SANABRIA GUSTAVO"/>
    <s v="FA 0005-00002375"/>
    <d v="2025-08-04T00:00:00"/>
    <s v="$ 90.000,00"/>
    <s v="$ 18.900,00"/>
    <m/>
    <s v="$ 108.900,00"/>
    <s v="ECHEQ"/>
    <d v="2025-08-21T00:00:00"/>
    <d v="2025-08-21T00:00:00"/>
    <s v="LC"/>
    <n v="90000"/>
  </r>
  <r>
    <x v="0"/>
    <x v="6"/>
    <s v="CHECK CLIMATIZACION"/>
    <s v="00001-00000191"/>
    <d v="2025-08-14T00:00:00"/>
    <s v="$ 1.638.723,03"/>
    <s v="$ 344.131,84"/>
    <m/>
    <s v="$ 1.982.854,87"/>
    <s v="BBVA"/>
    <d v="2025-08-19T00:00:00"/>
    <d v="2025-08-19T00:00:00"/>
    <s v="LC"/>
    <n v="1638723.03"/>
  </r>
  <r>
    <x v="0"/>
    <x v="6"/>
    <m/>
    <m/>
    <m/>
    <m/>
    <s v="$ -"/>
    <m/>
    <m/>
    <m/>
    <m/>
    <m/>
    <s v="LC"/>
    <n v="0"/>
  </r>
  <r>
    <x v="0"/>
    <x v="0"/>
    <s v="SANES JUAN MANUEL"/>
    <s v="FC"/>
    <m/>
    <m/>
    <s v="$ -"/>
    <m/>
    <m/>
    <m/>
    <m/>
    <m/>
    <s v="LC"/>
    <n v="0"/>
  </r>
  <r>
    <x v="0"/>
    <x v="1"/>
    <s v="MESATEL SA"/>
    <s v="FA 00003-00008096"/>
    <d v="2025-08-01T00:00:00"/>
    <n v="1569764.97"/>
    <s v="$ 329.650,64"/>
    <m/>
    <s v="$ 1.899.415,61"/>
    <s v="BBVA"/>
    <d v="2025-08-12T00:00:00"/>
    <d v="2025-08-12T00:00:00"/>
    <s v="LC"/>
    <n v="1569764.97"/>
  </r>
  <r>
    <x v="1"/>
    <x v="8"/>
    <s v="MAGECA S A"/>
    <s v="ND 00002-00000063"/>
    <d v="2025-08-08T00:00:00"/>
    <m/>
    <s v="$ -"/>
    <s v="$ 532.322,00"/>
    <s v="$ 532.322,00"/>
    <s v="BBVA"/>
    <d v="2025-08-19T00:00:00"/>
    <d v="2025-08-19T00:00:00"/>
    <s v="LC"/>
    <n v="532322"/>
  </r>
  <r>
    <x v="1"/>
    <x v="1"/>
    <s v="MAGECA S A"/>
    <s v="FA 00002-00000220"/>
    <d v="2025-08-11T00:00:00"/>
    <n v="6550000"/>
    <s v="$ 1.375.500,00"/>
    <m/>
    <s v="$ 7.925.500,00"/>
    <s v="BBVA"/>
    <d v="2025-08-11T00:00:00"/>
    <d v="2025-08-11T00:00:00"/>
    <s v="LC"/>
    <n v="6550000"/>
  </r>
  <r>
    <x v="1"/>
    <x v="9"/>
    <s v="MAGECA S A"/>
    <s v="ND 00002-00000063"/>
    <d v="2025-08-08T00:00:00"/>
    <s v="$ 405.183,12"/>
    <s v="$ 109.399,44"/>
    <s v="$ 25.486,01"/>
    <s v="$ 540.068,57"/>
    <s v="BBVA"/>
    <d v="2025-08-19T00:00:00"/>
    <d v="2025-08-19T00:00:00"/>
    <s v="LC"/>
    <n v="405183.12"/>
  </r>
  <r>
    <x v="1"/>
    <x v="10"/>
    <s v="SEGURIDAD DENAPOLI SRL"/>
    <s v="FA 00004-00010043"/>
    <d v="2025-08-12T00:00:00"/>
    <s v="$ 41.895,00"/>
    <s v="$ 8.797,95"/>
    <m/>
    <s v="$ 50.692,95"/>
    <s v="BBVA"/>
    <d v="2025-08-22T00:00:00"/>
    <d v="2025-08-22T00:00:00"/>
    <s v="LC"/>
    <n v="41895"/>
  </r>
  <r>
    <x v="1"/>
    <x v="3"/>
    <s v="MAGECA S A"/>
    <s v="ND 00002-00000063"/>
    <d v="2025-08-08T00:00:00"/>
    <m/>
    <s v="$ -"/>
    <n v="407740.5"/>
    <s v="$ 407.740,50"/>
    <s v="BBVA"/>
    <d v="2025-08-19T00:00:00"/>
    <d v="2025-08-19T00:00:00"/>
    <s v="LC"/>
    <n v="407740.5"/>
  </r>
  <r>
    <x v="1"/>
    <x v="4"/>
    <s v="MANOLIO MARIANO SERGIO"/>
    <s v="FA 00003-00001007"/>
    <d v="2025-08-08T00:00:00"/>
    <s v="$ 37.650,00"/>
    <s v="$ 7.906,50"/>
    <m/>
    <s v="$ 45.556,50"/>
    <s v="BBVA"/>
    <d v="2025-08-22T00:00:00"/>
    <d v="2025-08-22T00:00:00"/>
    <s v="LC"/>
    <n v="37650"/>
  </r>
  <r>
    <x v="2"/>
    <x v="8"/>
    <s v="MAGECA S A"/>
    <s v="ND"/>
    <m/>
    <m/>
    <s v="$ -"/>
    <m/>
    <m/>
    <s v="CREDICOOP"/>
    <m/>
    <m/>
    <s v="SB"/>
    <n v="0"/>
  </r>
  <r>
    <x v="2"/>
    <x v="0"/>
    <s v="SANES JUAN MANUEL"/>
    <s v="FC"/>
    <m/>
    <m/>
    <s v="$ -"/>
    <m/>
    <m/>
    <s v="CREDICOOP"/>
    <m/>
    <m/>
    <s v="SB"/>
    <n v="0"/>
  </r>
  <r>
    <x v="2"/>
    <x v="9"/>
    <s v="MAGECA S A"/>
    <s v="ND"/>
    <m/>
    <m/>
    <s v="$ -"/>
    <m/>
    <m/>
    <s v="CREDICOOP"/>
    <m/>
    <m/>
    <s v="SB"/>
    <n v="0"/>
  </r>
  <r>
    <x v="2"/>
    <x v="2"/>
    <s v="EDESUR"/>
    <s v="FA 0501-02743414"/>
    <d v="2025-07-29T00:00:00"/>
    <s v="$ 150.125,30"/>
    <s v="$ 40.533,83"/>
    <s v="$ 14.086,26"/>
    <s v="$ 204.745,39"/>
    <s v="PROVINCIA"/>
    <d v="2025-08-06T00:00:00"/>
    <d v="2025-08-04T00:00:00"/>
    <s v="SB"/>
    <n v="150125.29999999999"/>
  </r>
  <r>
    <x v="2"/>
    <x v="2"/>
    <s v="EDESUR"/>
    <s v="FA 0501-02743784"/>
    <d v="2025-07-29T00:00:00"/>
    <s v="$ 15.564,05"/>
    <s v="$ 4.202,29"/>
    <s v="$ 1.460,37"/>
    <s v="$ 21.226,71"/>
    <s v="PROVINCIA"/>
    <d v="2025-08-06T00:00:00"/>
    <d v="2025-08-04T00:00:00"/>
    <s v="SB"/>
    <n v="15564.05"/>
  </r>
  <r>
    <x v="2"/>
    <x v="2"/>
    <s v="EDESUR"/>
    <s v="FA 9904-0247509417"/>
    <d v="2025-08-04T00:00:00"/>
    <s v="$ 477.296,60"/>
    <s v="$ 128.870,08"/>
    <s v="$ 44.784,74"/>
    <s v="$ 650.951,42"/>
    <s v="MP"/>
    <d v="2025-08-12T00:00:00"/>
    <d v="2025-08-12T00:00:00"/>
    <s v="SB"/>
    <n v="477296.6"/>
  </r>
  <r>
    <x v="2"/>
    <x v="3"/>
    <s v="MAGECA S A"/>
    <s v="ND"/>
    <m/>
    <m/>
    <s v="$ -"/>
    <m/>
    <m/>
    <s v="CREDICOOP"/>
    <m/>
    <m/>
    <s v="SB"/>
    <n v="0"/>
  </r>
  <r>
    <x v="2"/>
    <x v="4"/>
    <s v="MANOLIO MARIANO SERGIO"/>
    <s v="FA"/>
    <m/>
    <m/>
    <s v="$ -"/>
    <m/>
    <m/>
    <s v="CREDICOOP"/>
    <m/>
    <m/>
    <s v="SB"/>
    <n v="0"/>
  </r>
  <r>
    <x v="2"/>
    <x v="5"/>
    <s v="TELECOM ARGENTINA SOCIEDAD ANONIMA"/>
    <s v="FA 4264-05658214"/>
    <d v="2025-07-17T00:00:00"/>
    <s v="$ 144.997,00"/>
    <s v="$ 30.449,37"/>
    <s v="$ 11.599,76"/>
    <s v="$ 187.046,13"/>
    <s v="DEB. AUT. CRED."/>
    <d v="2025-08-05T00:00:00"/>
    <d v="2025-08-05T00:00:00"/>
    <s v="SB"/>
    <n v="144997"/>
  </r>
  <r>
    <x v="2"/>
    <x v="0"/>
    <s v="SANES JUAN MANUEL"/>
    <s v="FC 00001-00000089"/>
    <d v="2025-09-03T00:00:00"/>
    <m/>
    <s v="$ -"/>
    <m/>
    <s v="$ 40.000,00"/>
    <s v="BBVA"/>
    <d v="2025-09-19T00:00:00"/>
    <m/>
    <s v="LC"/>
    <n v="40000"/>
  </r>
  <r>
    <x v="3"/>
    <x v="10"/>
    <s v="SEGURIDAD DENAPOLI SRL"/>
    <s v="FA 00004-00010036"/>
    <d v="2025-08-12T00:00:00"/>
    <s v="$ 41.895,00"/>
    <s v="$ 8.797,95"/>
    <m/>
    <s v="$ 50.692,95"/>
    <s v="CREDICOOP"/>
    <d v="2025-08-22T00:00:00"/>
    <d v="2025-08-22T00:00:00"/>
    <s v="SB"/>
    <n v="41895"/>
  </r>
  <r>
    <x v="3"/>
    <x v="0"/>
    <s v="SANES JUAN MANUEL"/>
    <s v="FC 00001-00000088"/>
    <d v="2025-09-03T00:00:00"/>
    <m/>
    <s v="$ -"/>
    <m/>
    <s v="$ 40.000,00"/>
    <s v="CREDICOOP"/>
    <d v="2025-09-19T00:00:00"/>
    <m/>
    <s v="SB"/>
    <n v="40000"/>
  </r>
  <r>
    <x v="3"/>
    <x v="1"/>
    <s v="Fideicomiso Laguna Oscura"/>
    <s v="RA"/>
    <d v="2025-08-01T00:00:00"/>
    <m/>
    <s v="$ -"/>
    <m/>
    <n v="807312"/>
    <s v="CREDICOOP"/>
    <d v="2025-08-11T00:00:00"/>
    <d v="2025-08-11T00:00:00"/>
    <s v="SB"/>
    <n v="807312"/>
  </r>
  <r>
    <x v="3"/>
    <x v="2"/>
    <s v="EDESUR"/>
    <s v="FA 0501-02737820"/>
    <d v="2025-07-28T00:00:00"/>
    <s v="$ 116.796,22"/>
    <s v="$ 31.534,98"/>
    <s v="$ 10.958,99"/>
    <s v="$ 159.290,19"/>
    <s v="PROVINCIA"/>
    <d v="2025-08-05T00:00:00"/>
    <d v="2025-08-04T00:00:00"/>
    <s v="SB"/>
    <n v="116796.22"/>
  </r>
  <r>
    <x v="3"/>
    <x v="2"/>
    <s v="EDESUR"/>
    <s v="FA 0501-02737819"/>
    <d v="2025-07-28T00:00:00"/>
    <s v="$ 28.181,54"/>
    <s v="$ 7.609,02"/>
    <s v="$ 2.644,28"/>
    <s v="$ 38.434,84"/>
    <s v="PROVINCIA"/>
    <d v="2025-08-05T00:00:00"/>
    <d v="2025-08-04T00:00:00"/>
    <s v="SB"/>
    <n v="28181.54"/>
  </r>
  <r>
    <x v="3"/>
    <x v="3"/>
    <s v="Solar de french"/>
    <s v="S/C"/>
    <d v="2025-08-01T00:00:00"/>
    <m/>
    <s v="$ -"/>
    <m/>
    <n v="242602.21"/>
    <s v="EFECTIVO"/>
    <d v="2025-08-12T00:00:00"/>
    <d v="2025-08-12T00:00:00"/>
    <s v="SB"/>
    <n v="242602.21"/>
  </r>
  <r>
    <x v="3"/>
    <x v="4"/>
    <s v="MANOLIO MARIANO SERGIO"/>
    <s v="FA 00003-00001006"/>
    <d v="2025-08-08T00:00:00"/>
    <s v="$ 30.230,00"/>
    <s v="$ 6.348,30"/>
    <m/>
    <s v="$ 36.578,30"/>
    <s v="CREDICOOP"/>
    <d v="2025-08-22T00:00:00"/>
    <d v="2025-08-22T00:00:00"/>
    <s v="SB"/>
    <n v="30230"/>
  </r>
  <r>
    <x v="3"/>
    <x v="5"/>
    <s v="TELECOM ARGENTINA SOCIEDAD ANONIMA"/>
    <s v="FA 4264-05647876"/>
    <d v="2025-07-17T00:00:00"/>
    <s v="$ 102.700,00"/>
    <s v="$ 21.567,00"/>
    <s v="$ 8.216,00"/>
    <s v="$ 132.483,00"/>
    <s v="PROVINCIA"/>
    <d v="2025-08-05T00:00:00"/>
    <d v="2025-08-04T00:00:00"/>
    <s v="SB"/>
    <n v="102700"/>
  </r>
  <r>
    <x v="3"/>
    <x v="0"/>
    <s v="SANES JUAN MANUEL"/>
    <s v="FC"/>
    <m/>
    <m/>
    <s v="$ -"/>
    <m/>
    <m/>
    <m/>
    <m/>
    <m/>
    <s v="LC"/>
    <n v="0"/>
  </r>
  <r>
    <x v="3"/>
    <x v="1"/>
    <s v="Fideicomiso Laguna Oscura"/>
    <s v="RA"/>
    <m/>
    <m/>
    <s v="$ -"/>
    <m/>
    <m/>
    <m/>
    <m/>
    <m/>
    <s v="LC"/>
    <n v="0"/>
  </r>
  <r>
    <x v="3"/>
    <x v="2"/>
    <s v="EDESUR"/>
    <m/>
    <m/>
    <m/>
    <m/>
    <m/>
    <m/>
    <s v="PROVINCIA"/>
    <m/>
    <m/>
    <s v="LC"/>
    <n v="0"/>
  </r>
  <r>
    <x v="3"/>
    <x v="2"/>
    <s v="EDESUR"/>
    <m/>
    <m/>
    <m/>
    <m/>
    <m/>
    <m/>
    <s v="PROVINCIA"/>
    <m/>
    <m/>
    <s v="LC"/>
    <n v="0"/>
  </r>
  <r>
    <x v="3"/>
    <x v="3"/>
    <s v="Solar de french"/>
    <s v="S/C"/>
    <m/>
    <m/>
    <s v="$ -"/>
    <m/>
    <m/>
    <m/>
    <m/>
    <m/>
    <s v="LC"/>
    <n v="0"/>
  </r>
  <r>
    <x v="3"/>
    <x v="5"/>
    <s v="TELECOM ARGENTINA SOCIEDAD ANONIMA"/>
    <s v="FA 4264-05647876"/>
    <d v="2025-07-17T00:00:00"/>
    <s v="$ 102.700,00"/>
    <s v="$ 21.567,00"/>
    <s v="$ 8.216,00"/>
    <s v="$ 132.483,00"/>
    <s v="PROVINCIA"/>
    <d v="2025-08-05T00:00:00"/>
    <d v="2025-08-04T00:00:00"/>
    <s v="LC"/>
    <n v="102700"/>
  </r>
  <r>
    <x v="4"/>
    <x v="5"/>
    <s v="TELECOM ARGENTINA SOCIEDAD ANONIMA"/>
    <s v="FA 4264-05624998"/>
    <d v="2025-07-17T00:00:00"/>
    <s v="$ 35.325,00"/>
    <s v="$ 7.418,25"/>
    <s v="$ 2.826,00"/>
    <s v="$ 45.569,25"/>
    <s v="MP"/>
    <d v="2025-08-05T00:00:00"/>
    <d v="2025-08-08T00:00:00"/>
    <s v="SB"/>
    <n v="35325"/>
  </r>
  <r>
    <x v="4"/>
    <x v="7"/>
    <s v="SANABRIA GUSTAVO"/>
    <s v="FA 0005-00002371"/>
    <d v="2025-07-31T00:00:00"/>
    <s v="$ 190.000,00"/>
    <s v="$ 39.900,00"/>
    <m/>
    <s v="$ 229.900,00"/>
    <s v="BBVA"/>
    <d v="2025-08-19T00:00:00"/>
    <d v="2025-08-19T00:00:00"/>
    <s v="LC"/>
    <n v="190000"/>
  </r>
  <r>
    <x v="4"/>
    <x v="1"/>
    <s v="GALERIA GRAL GUEMES S A I"/>
    <s v="FA A00003-00019216"/>
    <d v="2025-08-01T00:00:00"/>
    <n v="599275.1"/>
    <s v="$ 125.847,77"/>
    <m/>
    <s v="$ 725.122,87"/>
    <s v="BBVA"/>
    <d v="2025-08-11T00:00:00"/>
    <d v="2025-08-11T00:00:00"/>
    <s v="LC"/>
    <n v="599275.1"/>
  </r>
  <r>
    <x v="4"/>
    <x v="3"/>
    <s v="GALERIA GRAL GUEMES S A I"/>
    <s v="FA A00003-00019216"/>
    <d v="2025-08-01T00:00:00"/>
    <m/>
    <s v="$ -"/>
    <n v="328003.06"/>
    <s v="$ 328.003,06"/>
    <m/>
    <d v="2025-08-11T00:00:00"/>
    <d v="2025-08-11T00:00:00"/>
    <s v="LC"/>
    <n v="328003.06"/>
  </r>
  <r>
    <x v="5"/>
    <x v="1"/>
    <s v="GALERIA GRAL GUEMES S A I"/>
    <m/>
    <m/>
    <m/>
    <s v="$ -"/>
    <m/>
    <m/>
    <m/>
    <m/>
    <m/>
    <s v="LC"/>
    <n v="0"/>
  </r>
  <r>
    <x v="5"/>
    <x v="1"/>
    <s v="GALERIA GRAL GUEMES S A I"/>
    <s v="FA A00003-00019233"/>
    <d v="2025-08-01T00:00:00"/>
    <s v="$ 250.000,00"/>
    <s v="$ 52.500,00"/>
    <m/>
    <s v="$ 302.500,00"/>
    <s v="BBVA"/>
    <d v="2025-08-11T00:00:00"/>
    <d v="2025-08-11T00:00:00"/>
    <s v="LC"/>
    <n v="250000"/>
  </r>
  <r>
    <x v="5"/>
    <x v="2"/>
    <s v="GALERIA GRAL GUEMES S A I"/>
    <s v="FA"/>
    <m/>
    <m/>
    <s v="$ -"/>
    <m/>
    <m/>
    <m/>
    <m/>
    <m/>
    <s v="LC"/>
    <n v="0"/>
  </r>
  <r>
    <x v="5"/>
    <x v="3"/>
    <s v="GALERIA GRAL GUEMES S A I"/>
    <s v="FA A00003-00019233"/>
    <d v="2025-08-01T00:00:00"/>
    <m/>
    <s v="$ -"/>
    <s v="$ 18.181,99"/>
    <s v="$ 18.181,99"/>
    <s v="BBVA"/>
    <d v="2025-08-11T00:00:00"/>
    <d v="2025-08-11T00:00:00"/>
    <s v="LC"/>
    <n v="18181.990000000002"/>
  </r>
  <r>
    <x v="5"/>
    <x v="3"/>
    <s v="GALERIA GRAL GUEMES S A I"/>
    <m/>
    <m/>
    <m/>
    <s v="$ -"/>
    <m/>
    <m/>
    <m/>
    <m/>
    <m/>
    <s v="LC"/>
    <n v="0"/>
  </r>
  <r>
    <x v="6"/>
    <x v="1"/>
    <s v="GALERIA GRAL GUEMES S A I"/>
    <s v="FA A00003-00019217"/>
    <d v="2025-08-01T00:00:00"/>
    <s v="$ 428.053,64"/>
    <s v="$ 89.891,26"/>
    <m/>
    <s v="$ 517.944,90"/>
    <s v="BBVA"/>
    <d v="2025-08-11T00:00:00"/>
    <d v="2025-08-11T00:00:00"/>
    <s v="LC"/>
    <n v="428053.64"/>
  </r>
  <r>
    <x v="6"/>
    <x v="2"/>
    <s v="GALERIA GRAL GUEMES S A I"/>
    <s v="FA A00003-00019217"/>
    <m/>
    <s v="$ 7.508,22"/>
    <s v="$ 1.576,73"/>
    <m/>
    <s v="$ 9.084,95"/>
    <s v="BBVA"/>
    <d v="2025-08-11T00:00:00"/>
    <d v="2025-08-11T00:00:00"/>
    <s v="LC"/>
    <n v="7508.22"/>
  </r>
  <r>
    <x v="6"/>
    <x v="3"/>
    <s v="GALERIA GRAL GUEMES S A I"/>
    <s v="FA A00003-00019217"/>
    <d v="2025-08-01T00:00:00"/>
    <m/>
    <s v="$ -"/>
    <s v="$ 50.182,29"/>
    <s v="$ 50.182,29"/>
    <s v="BBVA"/>
    <d v="2025-08-11T00:00:00"/>
    <d v="2025-08-11T00:00:00"/>
    <s v="LC"/>
    <n v="50182.29"/>
  </r>
  <r>
    <x v="7"/>
    <x v="0"/>
    <s v="SANES JUAN MANUEL"/>
    <s v="FC 00001-00000088"/>
    <d v="2025-09-03T00:00:00"/>
    <m/>
    <s v="$ -"/>
    <m/>
    <s v="$ 40.000,00"/>
    <s v="CREDICOOP"/>
    <d v="2025-09-19T00:00:00"/>
    <m/>
    <s v="SB"/>
    <n v="40000"/>
  </r>
  <r>
    <x v="7"/>
    <x v="1"/>
    <s v="GALERIA GRAL GUEMES S A I"/>
    <s v="FA A00003-00019223"/>
    <d v="2025-08-01T00:00:00"/>
    <s v="$ 554.000,00"/>
    <s v="$ 116.340,00"/>
    <m/>
    <s v="$ 670.340,00"/>
    <s v="BBVA"/>
    <d v="2025-08-11T00:00:00"/>
    <d v="2025-08-11T00:00:00"/>
    <s v="LC"/>
    <n v="554000"/>
  </r>
  <r>
    <x v="7"/>
    <x v="3"/>
    <s v="GALERIA GRAL GUEMES S A I"/>
    <s v="FA A00003-00019223"/>
    <d v="2025-08-01T00:00:00"/>
    <m/>
    <s v="$ -"/>
    <s v="$ 314.184,75"/>
    <s v="$ 314.184,75"/>
    <m/>
    <d v="2025-08-11T00:00:00"/>
    <d v="2025-08-11T00:00:00"/>
    <s v="LC"/>
    <n v="314184.75"/>
  </r>
  <r>
    <x v="8"/>
    <x v="11"/>
    <s v="NUEVA ATENEA SRL"/>
    <s v="FA 0002-00000890"/>
    <d v="2025-08-20T00:00:00"/>
    <s v="$ 59.500,00"/>
    <s v="$ 12.495,00"/>
    <m/>
    <s v="$ 71.995,00"/>
    <s v="CREDICOOP"/>
    <d v="2025-08-29T00:00:00"/>
    <d v="2025-08-29T00:00:00"/>
    <s v="SB"/>
    <n v="59500"/>
  </r>
  <r>
    <x v="8"/>
    <x v="4"/>
    <s v="MANOLIO MARIANO SERGIO"/>
    <s v="FA 00003-00001006"/>
    <d v="2025-08-08T00:00:00"/>
    <s v="$ 30.230,00"/>
    <s v="$ 6.348,30"/>
    <m/>
    <s v="$ 36.578,30"/>
    <s v="CREDICOOP"/>
    <d v="2025-08-22T00:00:00"/>
    <d v="2025-08-22T00:00:00"/>
    <s v="SB"/>
    <n v="30230"/>
  </r>
  <r>
    <x v="9"/>
    <x v="0"/>
    <s v="SANES JUAN MANUEL"/>
    <s v="FC 00001-00000088"/>
    <d v="2025-09-03T00:00:00"/>
    <m/>
    <s v="$ -"/>
    <m/>
    <s v="$ 40.000,00"/>
    <s v="CREDICOOP"/>
    <d v="2025-09-19T00:00:00"/>
    <m/>
    <s v="SB"/>
    <n v="40000"/>
  </r>
  <r>
    <x v="9"/>
    <x v="1"/>
    <s v="FORTIN MAURE S.A."/>
    <s v="FA"/>
    <m/>
    <m/>
    <s v="$ -"/>
    <m/>
    <m/>
    <s v="CREDICOOP"/>
    <m/>
    <m/>
    <s v="SB"/>
    <n v="0"/>
  </r>
  <r>
    <x v="9"/>
    <x v="2"/>
    <s v="EDESUR"/>
    <s v="FA 0501-02731127"/>
    <d v="2025-07-25T00:00:00"/>
    <s v="$ 87.365,62"/>
    <s v="$ 23.588,72"/>
    <s v="$ 8.197,52"/>
    <s v="$ 119.151,86"/>
    <s v="PROVINCIA"/>
    <d v="2025-08-04T00:00:00"/>
    <d v="2025-08-04T00:00:00"/>
    <s v="SB"/>
    <n v="87365.62"/>
  </r>
  <r>
    <x v="9"/>
    <x v="3"/>
    <s v="FORTIN MAURE S.A."/>
    <s v="FA 0030-00091179"/>
    <d v="2025-08-05T00:00:00"/>
    <n v="1901854.12"/>
    <s v="$ 399.389,37"/>
    <s v="$ 95.092,71"/>
    <s v="$ 2.396.336,20"/>
    <s v="CREDICOOP"/>
    <d v="2025-08-08T00:00:00"/>
    <d v="2025-08-08T00:00:00"/>
    <s v="SB"/>
    <n v="1901854.12"/>
  </r>
  <r>
    <x v="9"/>
    <x v="4"/>
    <s v="MANOLIO MARIANO SERGIO"/>
    <s v="FA 00003-00001006"/>
    <d v="2025-08-08T00:00:00"/>
    <s v="$ 30.230,00"/>
    <s v="$ 6.348,30"/>
    <m/>
    <s v="$ 36.578,30"/>
    <s v="CREDICOOP"/>
    <d v="2025-08-22T00:00:00"/>
    <d v="2025-08-22T00:00:00"/>
    <s v="SB"/>
    <n v="30230"/>
  </r>
  <r>
    <x v="9"/>
    <x v="5"/>
    <s v="TELECOM ARGENTINA SOCIEDAD ANONIMA"/>
    <s v="FA 4264-05746386"/>
    <d v="2025-07-17T00:00:00"/>
    <s v="$ 57.553,73"/>
    <s v="$ 12.086,28"/>
    <s v="$ 4.604,30"/>
    <s v="$ 74.244,31"/>
    <s v="DEB. AUT. CRED."/>
    <d v="2025-08-07T00:00:00"/>
    <d v="2025-08-07T00:00:00"/>
    <s v="SB"/>
    <n v="57553.73"/>
  </r>
  <r>
    <x v="9"/>
    <x v="7"/>
    <s v="SANABRIA GUSTAVO"/>
    <s v="FA 0005-00002376"/>
    <d v="2025-08-04T00:00:00"/>
    <s v="$ 190.000,00"/>
    <s v="$ 39.900,00"/>
    <m/>
    <s v="$ 229.900,00"/>
    <s v="ECHEQ"/>
    <d v="2025-08-21T00:00:00"/>
    <d v="2025-08-21T00:00:00"/>
    <s v="LC"/>
    <n v="190000"/>
  </r>
  <r>
    <x v="9"/>
    <x v="10"/>
    <s v="SEGURIDAD DENAPOLI SRL"/>
    <s v="FA 00004-00010039"/>
    <d v="2025-08-12T00:00:00"/>
    <s v="$ 41.895,00"/>
    <s v="$ 8.797,95"/>
    <m/>
    <s v="$ 50.692,95"/>
    <s v="BBVA"/>
    <d v="2025-08-22T00:00:00"/>
    <d v="2025-08-22T00:00:00"/>
    <s v="LC"/>
    <n v="41895"/>
  </r>
  <r>
    <x v="9"/>
    <x v="0"/>
    <s v="SANES JUAN MANUEL"/>
    <s v="FC"/>
    <m/>
    <m/>
    <s v="$ -"/>
    <m/>
    <m/>
    <m/>
    <m/>
    <m/>
    <s v="LC"/>
    <n v="0"/>
  </r>
  <r>
    <x v="9"/>
    <x v="1"/>
    <s v="FORTIN MAURE S.A."/>
    <s v="FA 0030-00091406"/>
    <d v="2025-08-07T00:00:00"/>
    <n v="1299988.6000000001"/>
    <s v="$ 272.997,61"/>
    <s v="$ 38.999,66"/>
    <s v="$ 1.611.985,87"/>
    <s v="BBVA"/>
    <d v="2025-08-11T00:00:00"/>
    <d v="2025-08-11T00:00:00"/>
    <s v="LC"/>
    <n v="1299988.6000000001"/>
  </r>
  <r>
    <x v="9"/>
    <x v="2"/>
    <s v="EDESUR"/>
    <m/>
    <m/>
    <m/>
    <m/>
    <m/>
    <m/>
    <s v="PROVINCIA"/>
    <m/>
    <m/>
    <s v="LC"/>
    <n v="0"/>
  </r>
  <r>
    <x v="9"/>
    <x v="3"/>
    <s v="FORTIN MAURE S.A."/>
    <s v="FA"/>
    <m/>
    <m/>
    <s v="$ -"/>
    <m/>
    <m/>
    <m/>
    <m/>
    <m/>
    <s v="LC"/>
    <n v="0"/>
  </r>
  <r>
    <x v="9"/>
    <x v="10"/>
    <s v="SEGURIDAD DENAPOLI SRL"/>
    <s v="FA 00004-00010052"/>
    <d v="2025-08-14T00:00:00"/>
    <s v="$ 62.539,00"/>
    <s v="$ 13.133,19"/>
    <m/>
    <s v="$ 75.672,19"/>
    <s v="BBVA"/>
    <d v="2025-08-22T00:00:00"/>
    <d v="2025-08-22T00:00:00"/>
    <s v="LC"/>
    <n v="62539"/>
  </r>
  <r>
    <x v="10"/>
    <x v="0"/>
    <s v="SANES JUAN MANUEL"/>
    <s v="FC 00001-00000088"/>
    <d v="2025-09-03T00:00:00"/>
    <m/>
    <s v="$ -"/>
    <m/>
    <s v="$ 40.000,00"/>
    <s v="CREDICOOP"/>
    <d v="2025-09-19T00:00:00"/>
    <m/>
    <s v="SB"/>
    <n v="40000"/>
  </r>
  <r>
    <x v="11"/>
    <x v="0"/>
    <s v="SANES JUAN MANUEL"/>
    <s v="FC"/>
    <m/>
    <m/>
    <s v="$ -"/>
    <m/>
    <m/>
    <s v="CREDICOOP"/>
    <m/>
    <m/>
    <s v="SB"/>
    <n v="0"/>
  </r>
  <r>
    <x v="11"/>
    <x v="1"/>
    <s v="MESATEL SA"/>
    <s v="FA"/>
    <m/>
    <m/>
    <s v="$ -"/>
    <m/>
    <m/>
    <s v="CREDICOOP"/>
    <m/>
    <m/>
    <s v="SB"/>
    <n v="0"/>
  </r>
  <r>
    <x v="11"/>
    <x v="2"/>
    <s v="EDESUR"/>
    <s v="FA 0501-02735148"/>
    <d v="2025-07-28T00:00:00"/>
    <s v="$ 74.279,91"/>
    <s v="$ 20.055,58"/>
    <s v="$ 6.969,69"/>
    <s v="$ 101.305,18"/>
    <s v="PROVINCIA"/>
    <d v="2025-08-05T00:00:00"/>
    <d v="2025-08-04T00:00:00"/>
    <s v="SB"/>
    <n v="74279.91"/>
  </r>
  <r>
    <x v="11"/>
    <x v="3"/>
    <s v="sin comprobante"/>
    <m/>
    <d v="2025-08-01T00:00:00"/>
    <m/>
    <m/>
    <m/>
    <n v="573285.05000000005"/>
    <s v="CREDICOOP"/>
    <d v="2025-08-08T00:00:00"/>
    <d v="2025-08-08T00:00:00"/>
    <s v="SB"/>
    <n v="573285.05000000005"/>
  </r>
  <r>
    <x v="11"/>
    <x v="4"/>
    <s v="MANOLIO MARIANO SERGIO"/>
    <s v="FA 00003-00001006"/>
    <d v="2025-08-08T00:00:00"/>
    <s v="$ 30.230,00"/>
    <s v="$ 6.348,30"/>
    <m/>
    <s v="$ 36.578,30"/>
    <s v="CREDICOOP"/>
    <d v="2025-08-22T00:00:00"/>
    <d v="2025-08-22T00:00:00"/>
    <s v="SB"/>
    <n v="30230"/>
  </r>
  <r>
    <x v="11"/>
    <x v="7"/>
    <s v="SANABRIA GUSTAVO"/>
    <s v="FA 0005-00002373"/>
    <d v="2025-07-31T00:00:00"/>
    <s v="$ 90.000,00"/>
    <s v="$ 18.900,00"/>
    <m/>
    <s v="$ 108.900,00"/>
    <s v="BBVA"/>
    <d v="2025-08-19T00:00:00"/>
    <d v="2025-08-19T00:00:00"/>
    <s v="LC"/>
    <n v="90000"/>
  </r>
  <r>
    <x v="11"/>
    <x v="10"/>
    <s v="SEGURIDAD DENAPOLI SRL"/>
    <s v="FA 00004-00010042"/>
    <d v="2025-08-12T00:00:00"/>
    <s v="$ 41.895,00"/>
    <s v="$ 8.797,95"/>
    <m/>
    <s v="$ 50.692,95"/>
    <s v="BBVA"/>
    <d v="2025-08-22T00:00:00"/>
    <d v="2025-08-22T00:00:00"/>
    <s v="LC"/>
    <n v="41895"/>
  </r>
  <r>
    <x v="11"/>
    <x v="0"/>
    <s v="SANES JUAN MANUEL"/>
    <s v="FC"/>
    <m/>
    <m/>
    <s v="$ -"/>
    <m/>
    <m/>
    <m/>
    <m/>
    <m/>
    <s v="LC"/>
    <n v="0"/>
  </r>
  <r>
    <x v="11"/>
    <x v="1"/>
    <s v="MESATEL SA"/>
    <s v="FA 00003-00008098"/>
    <d v="2025-08-01T00:00:00"/>
    <n v="1741513.44"/>
    <s v="$ 365.717,82"/>
    <m/>
    <s v="$ 2.107.231,26"/>
    <s v="BBVA"/>
    <d v="2025-08-12T00:00:00"/>
    <d v="2025-08-12T00:00:00"/>
    <s v="LC"/>
    <n v="1741513.44"/>
  </r>
  <r>
    <x v="11"/>
    <x v="3"/>
    <s v="sin comprobante"/>
    <m/>
    <m/>
    <m/>
    <m/>
    <m/>
    <m/>
    <m/>
    <m/>
    <m/>
    <s v="LC"/>
    <n v="0"/>
  </r>
  <r>
    <x v="12"/>
    <x v="0"/>
    <s v="SANES JUAN MANUEL"/>
    <s v="FC 00001-00000088"/>
    <d v="2025-09-03T00:00:00"/>
    <m/>
    <s v="$ -"/>
    <m/>
    <s v="$ 20.000,00"/>
    <s v="CREDICOOP"/>
    <d v="2025-09-19T00:00:00"/>
    <m/>
    <s v="SB"/>
    <n v="20000"/>
  </r>
  <r>
    <x v="12"/>
    <x v="3"/>
    <s v="sin comprobante"/>
    <m/>
    <d v="2025-08-01T00:00:00"/>
    <m/>
    <m/>
    <m/>
    <n v="573285.05000000005"/>
    <s v="CREDICOOP"/>
    <d v="2025-08-08T00:00:00"/>
    <d v="2025-08-08T00:00:00"/>
    <s v="SB"/>
    <n v="573285.05000000005"/>
  </r>
  <r>
    <x v="12"/>
    <x v="4"/>
    <s v="MANOLIO MARIANO SERGIO"/>
    <s v="FA 00003-00001006"/>
    <d v="2025-08-08T00:00:00"/>
    <s v="$ 30.230,00"/>
    <s v="$ 6.348,30"/>
    <m/>
    <s v="$ 36.578,30"/>
    <s v="CREDICOOP"/>
    <d v="2025-08-22T00:00:00"/>
    <d v="2025-08-22T00:00:00"/>
    <s v="SB"/>
    <n v="30230"/>
  </r>
  <r>
    <x v="12"/>
    <x v="7"/>
    <s v="SANABRIA GUSTAVO"/>
    <s v="FA 0005-00002372"/>
    <d v="2025-07-31T00:00:00"/>
    <s v="$ 290.000,00"/>
    <s v="$ 60.900,00"/>
    <m/>
    <s v="$ 350.900,00"/>
    <s v="ECHEQ"/>
    <d v="2025-08-21T00:00:00"/>
    <d v="2025-08-21T00:00:00"/>
    <s v="LC"/>
    <n v="290000"/>
  </r>
  <r>
    <x v="12"/>
    <x v="1"/>
    <s v="MESATEL SA"/>
    <s v="FA 00003-00008097"/>
    <d v="2025-08-01T00:00:00"/>
    <n v="887700"/>
    <s v="$ 186.417,00"/>
    <m/>
    <s v="$ 1.074.117,00"/>
    <s v="BBVA"/>
    <d v="2025-08-12T00:00:00"/>
    <d v="2025-08-12T00:00:00"/>
    <s v="LC"/>
    <n v="887700"/>
  </r>
  <r>
    <x v="12"/>
    <x v="2"/>
    <s v="EDESUR"/>
    <s v="S/C"/>
    <m/>
    <m/>
    <s v="$ -"/>
    <m/>
    <s v="$ 104.085,80"/>
    <s v="PROVINCIA"/>
    <d v="2025-08-06T00:00:00"/>
    <d v="2025-08-04T00:00:00"/>
    <s v="LC"/>
    <n v="104085.8"/>
  </r>
  <r>
    <x v="12"/>
    <x v="3"/>
    <s v="sin comprobante"/>
    <m/>
    <m/>
    <m/>
    <m/>
    <m/>
    <m/>
    <m/>
    <m/>
    <m/>
    <s v="LC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9" applyNumberFormats="0" applyBorderFormats="0" applyFontFormats="0" applyPatternFormats="0" applyAlignmentFormats="0" applyWidthHeightFormats="1" dataCaption="Valores" updatedVersion="6" minRefreshableVersion="3" useAutoFormatting="1" rowGrandTotals="0" itemPrintTitles="1" createdVersion="6" indent="0" outline="1" outlineData="1" multipleFieldFilters="0">
  <location ref="P3:AA11" firstHeaderRow="1" firstDataRow="2" firstDataCol="1"/>
  <pivotFields count="15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Col" showAll="0">
      <items count="13">
        <item x="8"/>
        <item x="0"/>
        <item h="1" x="1"/>
        <item x="9"/>
        <item x="2"/>
        <item h="1" x="3"/>
        <item x="4"/>
        <item x="5"/>
        <item x="6"/>
        <item x="11"/>
        <item x="1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axis="axisRow" showAll="0" defaultSubtotal="0">
      <items count="10">
        <item sd="0" x="0"/>
        <item n="COM FLORIDA" sd="0" x="8"/>
        <item sd="0" x="1"/>
        <item n="COM GUEMES" sd="0" x="9"/>
        <item h="1" x="2"/>
        <item h="1" x="3"/>
        <item h="1" x="4"/>
        <item sd="0" x="5"/>
        <item n="COM LUCERO SAN TELMO" sd="0" x="7"/>
        <item sd="0" x="6"/>
      </items>
    </pivotField>
  </pivotFields>
  <rowFields count="2">
    <field x="14"/>
    <field x="0"/>
  </rowFields>
  <rowItems count="7">
    <i>
      <x/>
    </i>
    <i>
      <x v="1"/>
    </i>
    <i>
      <x v="2"/>
    </i>
    <i>
      <x v="3"/>
    </i>
    <i>
      <x v="7"/>
    </i>
    <i>
      <x v="8"/>
    </i>
    <i>
      <x v="9"/>
    </i>
  </rowItems>
  <colFields count="1">
    <field x="1"/>
  </colFields>
  <colItems count="11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de TOTAL S/IVA" fld="13" baseField="0" baseItem="0" numFmtId="164"/>
  </dataFields>
  <formats count="7"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collapsedLevelsAreSubtotals="1" fieldPosition="0">
        <references count="2">
          <reference field="1" count="1" selected="0">
            <x v="7"/>
          </reference>
          <reference field="14" count="1">
            <x v="2"/>
          </reference>
        </references>
      </pivotArea>
    </format>
    <format dxfId="0">
      <pivotArea collapsedLevelsAreSubtotals="1" fieldPosition="0">
        <references count="2">
          <reference field="1" count="1" selected="0">
            <x v="8"/>
          </reference>
          <reference field="1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2"/>
  <sheetViews>
    <sheetView tabSelected="1" topLeftCell="Q1" workbookViewId="0">
      <pane ySplit="1" topLeftCell="A2" activePane="bottomLeft" state="frozen"/>
      <selection pane="bottomLeft" activeCell="Z9" sqref="Z9"/>
    </sheetView>
  </sheetViews>
  <sheetFormatPr baseColWidth="10" defaultColWidth="11.58203125" defaultRowHeight="12.5"/>
  <cols>
    <col min="1" max="1" width="29.75" style="3" customWidth="1"/>
    <col min="2" max="2" width="18.33203125" style="3" bestFit="1" customWidth="1"/>
    <col min="3" max="3" width="47.9140625" style="3" bestFit="1" customWidth="1"/>
    <col min="4" max="4" width="18.33203125" style="3" bestFit="1" customWidth="1"/>
    <col min="5" max="5" width="17.33203125" style="3" bestFit="1" customWidth="1"/>
    <col min="6" max="7" width="13" style="3" bestFit="1" customWidth="1"/>
    <col min="8" max="8" width="16.9140625" style="3" bestFit="1" customWidth="1"/>
    <col min="9" max="9" width="13" style="3" bestFit="1" customWidth="1"/>
    <col min="10" max="10" width="18.25" style="3" bestFit="1" customWidth="1"/>
    <col min="11" max="11" width="17.4140625" style="3" bestFit="1" customWidth="1"/>
    <col min="12" max="12" width="15.4140625" style="3" bestFit="1" customWidth="1"/>
    <col min="13" max="13" width="10.75" style="3" bestFit="1" customWidth="1"/>
    <col min="14" max="14" width="13.08203125" style="29" bestFit="1" customWidth="1"/>
    <col min="15" max="15" width="11.58203125" style="3"/>
    <col min="16" max="16" width="26.1640625" style="3" customWidth="1"/>
    <col min="17" max="17" width="21.25" style="3" customWidth="1"/>
    <col min="18" max="18" width="8.9140625" style="3" bestFit="1" customWidth="1"/>
    <col min="19" max="20" width="9.9140625" style="3" customWidth="1"/>
    <col min="21" max="21" width="12.1640625" style="3" customWidth="1"/>
    <col min="22" max="22" width="10.1640625" style="3" customWidth="1"/>
    <col min="23" max="23" width="16.58203125" style="3" customWidth="1"/>
    <col min="24" max="24" width="20.08203125" style="3" customWidth="1"/>
    <col min="25" max="25" width="12.4140625" style="3" customWidth="1"/>
    <col min="26" max="26" width="10.6640625" style="3" customWidth="1"/>
    <col min="27" max="28" width="11.83203125" style="3" customWidth="1"/>
    <col min="29" max="29" width="11.83203125" style="3" bestFit="1" customWidth="1"/>
    <col min="30" max="16384" width="11.58203125" style="3"/>
  </cols>
  <sheetData>
    <row r="1" spans="1:29" ht="14.5" thickBot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2" t="s">
        <v>157</v>
      </c>
      <c r="N1" s="29" t="s">
        <v>248</v>
      </c>
      <c r="P1"/>
      <c r="Q1"/>
    </row>
    <row r="2" spans="1:29" ht="13.5" customHeight="1" thickBot="1">
      <c r="A2" s="8" t="s">
        <v>17</v>
      </c>
      <c r="B2" s="9" t="s">
        <v>18</v>
      </c>
      <c r="C2" s="10" t="s">
        <v>19</v>
      </c>
      <c r="D2" s="11" t="s">
        <v>20</v>
      </c>
      <c r="E2" s="12">
        <v>45903</v>
      </c>
      <c r="F2" s="11"/>
      <c r="G2" s="13" t="s">
        <v>1</v>
      </c>
      <c r="H2" s="11"/>
      <c r="I2" s="13" t="s">
        <v>21</v>
      </c>
      <c r="J2" s="14" t="s">
        <v>4</v>
      </c>
      <c r="K2" s="15">
        <v>45919</v>
      </c>
      <c r="L2" s="11"/>
      <c r="M2" s="3" t="s">
        <v>158</v>
      </c>
      <c r="N2" s="29">
        <v>20000</v>
      </c>
    </row>
    <row r="3" spans="1:29" ht="13.5" customHeight="1" thickBot="1">
      <c r="A3" s="8" t="s">
        <v>17</v>
      </c>
      <c r="B3" s="9" t="s">
        <v>5</v>
      </c>
      <c r="C3" s="11" t="s">
        <v>22</v>
      </c>
      <c r="D3" s="11" t="s">
        <v>23</v>
      </c>
      <c r="E3" s="11"/>
      <c r="F3" s="11"/>
      <c r="G3" s="13" t="s">
        <v>1</v>
      </c>
      <c r="H3" s="11"/>
      <c r="I3" s="11"/>
      <c r="J3" s="14" t="s">
        <v>4</v>
      </c>
      <c r="K3" s="11"/>
      <c r="L3" s="11"/>
      <c r="M3" s="3" t="s">
        <v>158</v>
      </c>
      <c r="N3" s="29">
        <v>0</v>
      </c>
      <c r="P3" s="30" t="s">
        <v>252</v>
      </c>
      <c r="Q3" s="30" t="s">
        <v>249</v>
      </c>
      <c r="R3"/>
      <c r="S3"/>
      <c r="T3"/>
      <c r="U3"/>
      <c r="V3"/>
      <c r="W3"/>
      <c r="X3"/>
      <c r="Y3"/>
      <c r="Z3"/>
      <c r="AA3"/>
      <c r="AB3"/>
      <c r="AC3"/>
    </row>
    <row r="4" spans="1:29" ht="13.5" customHeight="1" thickBot="1">
      <c r="A4" s="8" t="s">
        <v>17</v>
      </c>
      <c r="B4" s="9" t="s">
        <v>7</v>
      </c>
      <c r="C4" s="10" t="s">
        <v>7</v>
      </c>
      <c r="D4" s="11" t="s">
        <v>24</v>
      </c>
      <c r="E4" s="12">
        <v>45866</v>
      </c>
      <c r="F4" s="13" t="s">
        <v>25</v>
      </c>
      <c r="G4" s="13" t="s">
        <v>26</v>
      </c>
      <c r="H4" s="13" t="s">
        <v>27</v>
      </c>
      <c r="I4" s="13" t="s">
        <v>28</v>
      </c>
      <c r="J4" s="14" t="s">
        <v>29</v>
      </c>
      <c r="K4" s="15">
        <v>45874</v>
      </c>
      <c r="L4" s="15">
        <v>45873</v>
      </c>
      <c r="M4" s="3" t="s">
        <v>158</v>
      </c>
      <c r="N4" s="29">
        <v>39282.269999999997</v>
      </c>
      <c r="P4" s="30" t="s">
        <v>251</v>
      </c>
      <c r="Q4" t="s">
        <v>2</v>
      </c>
      <c r="R4" t="s">
        <v>18</v>
      </c>
      <c r="S4" t="s">
        <v>6</v>
      </c>
      <c r="T4" t="s">
        <v>7</v>
      </c>
      <c r="U4" t="s">
        <v>9</v>
      </c>
      <c r="V4" t="s">
        <v>12</v>
      </c>
      <c r="W4" t="s">
        <v>40</v>
      </c>
      <c r="X4" t="s">
        <v>112</v>
      </c>
      <c r="Y4" t="s">
        <v>74</v>
      </c>
      <c r="Z4" t="s">
        <v>160</v>
      </c>
      <c r="AA4" t="s">
        <v>250</v>
      </c>
      <c r="AB4"/>
      <c r="AC4"/>
    </row>
    <row r="5" spans="1:29" ht="13.5" customHeight="1" thickBot="1">
      <c r="A5" s="8" t="s">
        <v>17</v>
      </c>
      <c r="B5" s="9" t="s">
        <v>8</v>
      </c>
      <c r="C5" s="11" t="s">
        <v>16</v>
      </c>
      <c r="D5" s="11"/>
      <c r="E5" s="12">
        <v>45870</v>
      </c>
      <c r="F5" s="11"/>
      <c r="G5" s="11"/>
      <c r="H5" s="11"/>
      <c r="I5" s="28">
        <v>1146570.01</v>
      </c>
      <c r="J5" s="14" t="s">
        <v>4</v>
      </c>
      <c r="K5" s="15">
        <v>45877</v>
      </c>
      <c r="L5" s="15">
        <v>45877</v>
      </c>
      <c r="M5" s="3" t="s">
        <v>158</v>
      </c>
      <c r="N5" s="29">
        <v>1146570.01</v>
      </c>
      <c r="P5" s="31" t="s">
        <v>17</v>
      </c>
      <c r="Q5" s="33"/>
      <c r="R5" s="33">
        <v>20000</v>
      </c>
      <c r="S5" s="33"/>
      <c r="T5" s="33">
        <v>39282.269999999997</v>
      </c>
      <c r="U5" s="33">
        <v>30230</v>
      </c>
      <c r="V5" s="33">
        <v>92918.399999999994</v>
      </c>
      <c r="W5" s="34">
        <v>2623569.2800000003</v>
      </c>
      <c r="X5" s="33"/>
      <c r="Y5" s="33"/>
      <c r="Z5" s="33">
        <v>90000</v>
      </c>
      <c r="AA5" s="33">
        <v>2895999.95</v>
      </c>
      <c r="AB5"/>
      <c r="AC5"/>
    </row>
    <row r="6" spans="1:29" ht="13.5" customHeight="1" thickBot="1">
      <c r="A6" s="8" t="s">
        <v>17</v>
      </c>
      <c r="B6" s="9" t="s">
        <v>9</v>
      </c>
      <c r="C6" s="11" t="s">
        <v>10</v>
      </c>
      <c r="D6" s="11" t="s">
        <v>11</v>
      </c>
      <c r="E6" s="12">
        <v>45877</v>
      </c>
      <c r="F6" s="13" t="s">
        <v>31</v>
      </c>
      <c r="G6" s="13" t="s">
        <v>32</v>
      </c>
      <c r="H6" s="11"/>
      <c r="I6" s="13" t="s">
        <v>33</v>
      </c>
      <c r="J6" s="14" t="s">
        <v>4</v>
      </c>
      <c r="K6" s="15">
        <v>45891</v>
      </c>
      <c r="L6" s="15">
        <v>45891</v>
      </c>
      <c r="M6" s="3" t="s">
        <v>158</v>
      </c>
      <c r="N6" s="29">
        <v>30230</v>
      </c>
      <c r="P6" s="31" t="s">
        <v>253</v>
      </c>
      <c r="Q6" s="33">
        <v>532322</v>
      </c>
      <c r="R6" s="33">
        <v>40000</v>
      </c>
      <c r="S6" s="33">
        <v>405183.12</v>
      </c>
      <c r="T6" s="33">
        <v>642985.94999999995</v>
      </c>
      <c r="U6" s="33">
        <v>37650</v>
      </c>
      <c r="V6" s="33">
        <v>144997</v>
      </c>
      <c r="W6" s="33"/>
      <c r="X6" s="33"/>
      <c r="Y6" s="33">
        <v>41895</v>
      </c>
      <c r="Z6" s="33"/>
      <c r="AA6" s="33">
        <v>1845033.0699999998</v>
      </c>
      <c r="AB6"/>
      <c r="AC6"/>
    </row>
    <row r="7" spans="1:29" ht="13.5" customHeight="1" thickBot="1">
      <c r="A7" s="8" t="s">
        <v>17</v>
      </c>
      <c r="B7" s="9" t="s">
        <v>12</v>
      </c>
      <c r="C7" s="10" t="s">
        <v>34</v>
      </c>
      <c r="D7" s="11" t="s">
        <v>35</v>
      </c>
      <c r="E7" s="12">
        <v>45882</v>
      </c>
      <c r="F7" s="13" t="s">
        <v>36</v>
      </c>
      <c r="G7" s="13" t="s">
        <v>37</v>
      </c>
      <c r="H7" s="13" t="s">
        <v>38</v>
      </c>
      <c r="I7" s="13" t="s">
        <v>39</v>
      </c>
      <c r="J7" s="14" t="s">
        <v>29</v>
      </c>
      <c r="K7" s="15">
        <v>45894</v>
      </c>
      <c r="L7" s="15">
        <v>45894</v>
      </c>
      <c r="M7" s="3" t="s">
        <v>158</v>
      </c>
      <c r="N7" s="29">
        <v>92918.399999999994</v>
      </c>
      <c r="P7" s="31" t="s">
        <v>73</v>
      </c>
      <c r="Q7" s="33"/>
      <c r="R7" s="33">
        <v>40000</v>
      </c>
      <c r="S7" s="33"/>
      <c r="T7" s="33">
        <v>144977.76</v>
      </c>
      <c r="U7" s="33">
        <v>30230</v>
      </c>
      <c r="V7" s="34">
        <v>205400</v>
      </c>
      <c r="W7" s="33"/>
      <c r="X7" s="33"/>
      <c r="Y7" s="33">
        <v>41895</v>
      </c>
      <c r="Z7" s="33"/>
      <c r="AA7" s="33">
        <v>462502.76</v>
      </c>
      <c r="AB7"/>
      <c r="AC7"/>
    </row>
    <row r="8" spans="1:29" ht="13.5" customHeight="1" thickBot="1">
      <c r="A8" s="8" t="s">
        <v>17</v>
      </c>
      <c r="B8" s="9" t="s">
        <v>40</v>
      </c>
      <c r="C8" s="11" t="s">
        <v>41</v>
      </c>
      <c r="D8" s="11" t="s">
        <v>42</v>
      </c>
      <c r="E8" s="12">
        <v>45868</v>
      </c>
      <c r="F8" s="13" t="s">
        <v>43</v>
      </c>
      <c r="G8" s="13" t="s">
        <v>44</v>
      </c>
      <c r="H8" s="11"/>
      <c r="I8" s="13" t="s">
        <v>45</v>
      </c>
      <c r="J8" s="14" t="s">
        <v>4</v>
      </c>
      <c r="K8" s="15">
        <v>45884</v>
      </c>
      <c r="L8" s="15">
        <v>45884</v>
      </c>
      <c r="M8" s="3" t="s">
        <v>158</v>
      </c>
      <c r="N8" s="29">
        <v>692846.25</v>
      </c>
      <c r="P8" s="31" t="s">
        <v>254</v>
      </c>
      <c r="Q8" s="33"/>
      <c r="R8" s="33"/>
      <c r="S8" s="33"/>
      <c r="T8" s="33"/>
      <c r="U8" s="33">
        <v>30230</v>
      </c>
      <c r="V8" s="33">
        <v>35325</v>
      </c>
      <c r="W8" s="33"/>
      <c r="X8" s="33">
        <v>59500</v>
      </c>
      <c r="Y8" s="33"/>
      <c r="Z8" s="33">
        <v>190000</v>
      </c>
      <c r="AA8" s="33">
        <v>315055</v>
      </c>
      <c r="AB8"/>
      <c r="AC8"/>
    </row>
    <row r="9" spans="1:29" ht="13.5" customHeight="1" thickBot="1">
      <c r="A9" s="8" t="s">
        <v>17</v>
      </c>
      <c r="B9" s="9" t="s">
        <v>40</v>
      </c>
      <c r="C9" s="11" t="s">
        <v>46</v>
      </c>
      <c r="D9" s="11" t="s">
        <v>47</v>
      </c>
      <c r="E9" s="12">
        <v>45887</v>
      </c>
      <c r="F9" s="13" t="s">
        <v>48</v>
      </c>
      <c r="G9" s="13" t="s">
        <v>1</v>
      </c>
      <c r="H9" s="11"/>
      <c r="I9" s="13" t="s">
        <v>48</v>
      </c>
      <c r="J9" s="14" t="s">
        <v>4</v>
      </c>
      <c r="K9" s="15">
        <v>45895</v>
      </c>
      <c r="L9" s="15">
        <v>45895</v>
      </c>
      <c r="M9" s="3" t="s">
        <v>158</v>
      </c>
      <c r="N9" s="29">
        <v>292000</v>
      </c>
      <c r="P9" s="31" t="s">
        <v>118</v>
      </c>
      <c r="Q9" s="33"/>
      <c r="R9" s="33">
        <v>40000</v>
      </c>
      <c r="S9" s="33"/>
      <c r="T9" s="33">
        <v>87365.62</v>
      </c>
      <c r="U9" s="33">
        <v>30230</v>
      </c>
      <c r="V9" s="33">
        <v>57553.73</v>
      </c>
      <c r="W9" s="33"/>
      <c r="X9" s="33"/>
      <c r="Y9" s="33">
        <v>104434</v>
      </c>
      <c r="Z9" s="33">
        <v>190000</v>
      </c>
      <c r="AA9" s="33">
        <v>509583.35</v>
      </c>
      <c r="AB9"/>
      <c r="AC9"/>
    </row>
    <row r="10" spans="1:29" ht="13.5" customHeight="1" thickBot="1">
      <c r="A10" s="8" t="s">
        <v>17</v>
      </c>
      <c r="B10" s="9" t="s">
        <v>160</v>
      </c>
      <c r="C10" s="11" t="s">
        <v>161</v>
      </c>
      <c r="D10" s="11" t="s">
        <v>162</v>
      </c>
      <c r="E10" s="12">
        <v>45873</v>
      </c>
      <c r="F10" s="13" t="s">
        <v>163</v>
      </c>
      <c r="G10" s="13" t="s">
        <v>164</v>
      </c>
      <c r="H10" s="11"/>
      <c r="I10" s="13" t="s">
        <v>165</v>
      </c>
      <c r="J10" s="11" t="s">
        <v>166</v>
      </c>
      <c r="K10" s="15">
        <v>45890</v>
      </c>
      <c r="L10" s="15">
        <v>45890</v>
      </c>
      <c r="M10" s="23" t="s">
        <v>247</v>
      </c>
      <c r="N10" s="29">
        <v>90000</v>
      </c>
      <c r="P10" s="31" t="s">
        <v>135</v>
      </c>
      <c r="Q10" s="33"/>
      <c r="R10" s="33">
        <v>40000</v>
      </c>
      <c r="S10" s="33"/>
      <c r="T10" s="33">
        <v>74279.91</v>
      </c>
      <c r="U10" s="33">
        <v>30230</v>
      </c>
      <c r="V10" s="33"/>
      <c r="W10" s="33"/>
      <c r="X10" s="33"/>
      <c r="Y10" s="33">
        <v>41895</v>
      </c>
      <c r="Z10" s="33">
        <v>90000</v>
      </c>
      <c r="AA10" s="33">
        <v>276404.91000000003</v>
      </c>
      <c r="AB10"/>
      <c r="AC10"/>
    </row>
    <row r="11" spans="1:29" ht="13.5" customHeight="1" thickBot="1">
      <c r="A11" s="8" t="s">
        <v>17</v>
      </c>
      <c r="B11" s="9" t="s">
        <v>40</v>
      </c>
      <c r="C11" s="11" t="s">
        <v>41</v>
      </c>
      <c r="D11" s="11" t="s">
        <v>167</v>
      </c>
      <c r="E11" s="12">
        <v>45883</v>
      </c>
      <c r="F11" s="13" t="s">
        <v>168</v>
      </c>
      <c r="G11" s="13" t="s">
        <v>169</v>
      </c>
      <c r="H11" s="11"/>
      <c r="I11" s="13" t="s">
        <v>170</v>
      </c>
      <c r="J11" s="14" t="s">
        <v>171</v>
      </c>
      <c r="K11" s="15">
        <v>45888</v>
      </c>
      <c r="L11" s="15">
        <v>45888</v>
      </c>
      <c r="M11" s="23" t="s">
        <v>247</v>
      </c>
      <c r="N11" s="29">
        <v>1638723.03</v>
      </c>
      <c r="P11" s="31" t="s">
        <v>143</v>
      </c>
      <c r="Q11" s="33"/>
      <c r="R11" s="33">
        <v>20000</v>
      </c>
      <c r="S11" s="33"/>
      <c r="T11" s="33">
        <v>104085.8</v>
      </c>
      <c r="U11" s="33">
        <v>30230</v>
      </c>
      <c r="V11" s="33"/>
      <c r="W11" s="33"/>
      <c r="X11" s="33"/>
      <c r="Y11" s="33"/>
      <c r="Z11" s="33">
        <v>290000</v>
      </c>
      <c r="AA11" s="33">
        <v>444315.8</v>
      </c>
      <c r="AB11"/>
      <c r="AC11"/>
    </row>
    <row r="12" spans="1:29" ht="13.5" customHeight="1" thickBot="1">
      <c r="A12" s="8" t="s">
        <v>17</v>
      </c>
      <c r="B12" s="9" t="s">
        <v>40</v>
      </c>
      <c r="C12" s="11"/>
      <c r="D12" s="11"/>
      <c r="E12" s="11"/>
      <c r="F12" s="11"/>
      <c r="G12" s="13" t="s">
        <v>1</v>
      </c>
      <c r="H12" s="11"/>
      <c r="I12" s="11"/>
      <c r="J12" s="11"/>
      <c r="K12" s="11"/>
      <c r="L12" s="11"/>
      <c r="M12" s="23" t="s">
        <v>247</v>
      </c>
      <c r="N12" s="29">
        <v>0</v>
      </c>
      <c r="P12"/>
      <c r="Q12"/>
      <c r="R12"/>
      <c r="S12"/>
      <c r="T12"/>
      <c r="U12"/>
      <c r="V12"/>
      <c r="W12"/>
      <c r="X12"/>
      <c r="Y12"/>
      <c r="Z12"/>
      <c r="AA12" s="32"/>
      <c r="AB12"/>
      <c r="AC12"/>
    </row>
    <row r="13" spans="1:29" ht="13.5" customHeight="1" thickBot="1">
      <c r="A13" s="8" t="s">
        <v>17</v>
      </c>
      <c r="B13" s="9" t="s">
        <v>18</v>
      </c>
      <c r="C13" s="11" t="s">
        <v>19</v>
      </c>
      <c r="D13" s="11" t="s">
        <v>51</v>
      </c>
      <c r="E13" s="11"/>
      <c r="F13" s="11"/>
      <c r="G13" s="13" t="s">
        <v>1</v>
      </c>
      <c r="H13" s="11"/>
      <c r="I13" s="11"/>
      <c r="J13" s="11"/>
      <c r="K13" s="11"/>
      <c r="L13" s="11"/>
      <c r="M13" s="23" t="s">
        <v>247</v>
      </c>
      <c r="N13" s="29">
        <v>0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ht="13.5" customHeight="1" thickBot="1">
      <c r="A14" s="8" t="s">
        <v>17</v>
      </c>
      <c r="B14" s="9" t="s">
        <v>5</v>
      </c>
      <c r="C14" s="11" t="s">
        <v>22</v>
      </c>
      <c r="D14" s="11" t="s">
        <v>172</v>
      </c>
      <c r="E14" s="12">
        <v>45870</v>
      </c>
      <c r="F14" s="28">
        <v>1569764.97</v>
      </c>
      <c r="G14" s="13" t="s">
        <v>174</v>
      </c>
      <c r="H14" s="11"/>
      <c r="I14" s="13" t="s">
        <v>175</v>
      </c>
      <c r="J14" s="14" t="s">
        <v>171</v>
      </c>
      <c r="K14" s="15">
        <v>45881</v>
      </c>
      <c r="L14" s="15">
        <v>45881</v>
      </c>
      <c r="M14" s="23" t="s">
        <v>247</v>
      </c>
      <c r="N14" s="29">
        <v>1569764.97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ht="13.5" customHeight="1" thickBot="1">
      <c r="A15" s="8" t="s">
        <v>176</v>
      </c>
      <c r="B15" s="9" t="s">
        <v>2</v>
      </c>
      <c r="C15" s="11" t="s">
        <v>3</v>
      </c>
      <c r="D15" s="11" t="s">
        <v>177</v>
      </c>
      <c r="E15" s="12">
        <v>45877</v>
      </c>
      <c r="F15" s="11"/>
      <c r="G15" s="13" t="s">
        <v>1</v>
      </c>
      <c r="H15" s="13" t="s">
        <v>178</v>
      </c>
      <c r="I15" s="13" t="s">
        <v>178</v>
      </c>
      <c r="J15" s="14" t="s">
        <v>171</v>
      </c>
      <c r="K15" s="15">
        <v>45888</v>
      </c>
      <c r="L15" s="15">
        <v>45888</v>
      </c>
      <c r="M15" s="23" t="s">
        <v>247</v>
      </c>
      <c r="N15" s="29">
        <v>532322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29" ht="13.5" customHeight="1" thickBot="1">
      <c r="A16" s="8" t="s">
        <v>176</v>
      </c>
      <c r="B16" s="9" t="s">
        <v>5</v>
      </c>
      <c r="C16" s="11" t="s">
        <v>3</v>
      </c>
      <c r="D16" s="11" t="s">
        <v>180</v>
      </c>
      <c r="E16" s="12">
        <v>45880</v>
      </c>
      <c r="F16" s="28">
        <v>6550000</v>
      </c>
      <c r="G16" s="13" t="s">
        <v>182</v>
      </c>
      <c r="H16" s="11"/>
      <c r="I16" s="13" t="s">
        <v>183</v>
      </c>
      <c r="J16" s="14" t="s">
        <v>171</v>
      </c>
      <c r="K16" s="15">
        <v>45880</v>
      </c>
      <c r="L16" s="15">
        <v>45880</v>
      </c>
      <c r="M16" s="23" t="s">
        <v>247</v>
      </c>
      <c r="N16" s="29">
        <v>6550000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3.5" customHeight="1" thickBot="1">
      <c r="A17" s="8" t="s">
        <v>176</v>
      </c>
      <c r="B17" s="9" t="s">
        <v>6</v>
      </c>
      <c r="C17" s="11" t="s">
        <v>3</v>
      </c>
      <c r="D17" s="11" t="s">
        <v>177</v>
      </c>
      <c r="E17" s="12">
        <v>45877</v>
      </c>
      <c r="F17" s="13" t="s">
        <v>184</v>
      </c>
      <c r="G17" s="13" t="s">
        <v>185</v>
      </c>
      <c r="H17" s="13" t="s">
        <v>186</v>
      </c>
      <c r="I17" s="13" t="s">
        <v>187</v>
      </c>
      <c r="J17" s="14" t="s">
        <v>171</v>
      </c>
      <c r="K17" s="15">
        <v>45888</v>
      </c>
      <c r="L17" s="15">
        <v>45888</v>
      </c>
      <c r="M17" s="23" t="s">
        <v>247</v>
      </c>
      <c r="N17" s="29">
        <v>405183.12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3.5" customHeight="1" thickBot="1">
      <c r="A18" s="8" t="s">
        <v>176</v>
      </c>
      <c r="B18" s="9" t="s">
        <v>74</v>
      </c>
      <c r="C18" s="11" t="s">
        <v>75</v>
      </c>
      <c r="D18" s="11" t="s">
        <v>188</v>
      </c>
      <c r="E18" s="12">
        <v>45881</v>
      </c>
      <c r="F18" s="13" t="s">
        <v>77</v>
      </c>
      <c r="G18" s="13" t="s">
        <v>78</v>
      </c>
      <c r="H18" s="11"/>
      <c r="I18" s="13" t="s">
        <v>79</v>
      </c>
      <c r="J18" s="14" t="s">
        <v>171</v>
      </c>
      <c r="K18" s="15">
        <v>45891</v>
      </c>
      <c r="L18" s="15">
        <v>45891</v>
      </c>
      <c r="M18" s="23" t="s">
        <v>247</v>
      </c>
      <c r="N18" s="29">
        <v>41895</v>
      </c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9" ht="13.5" customHeight="1" thickBot="1">
      <c r="A19" s="8" t="s">
        <v>176</v>
      </c>
      <c r="B19" s="9" t="s">
        <v>8</v>
      </c>
      <c r="C19" s="11" t="s">
        <v>3</v>
      </c>
      <c r="D19" s="11" t="s">
        <v>177</v>
      </c>
      <c r="E19" s="12">
        <v>45877</v>
      </c>
      <c r="F19" s="11"/>
      <c r="G19" s="13" t="s">
        <v>1</v>
      </c>
      <c r="H19" s="28">
        <v>407740.5</v>
      </c>
      <c r="I19" s="13" t="s">
        <v>189</v>
      </c>
      <c r="J19" s="14" t="s">
        <v>171</v>
      </c>
      <c r="K19" s="15">
        <v>45888</v>
      </c>
      <c r="L19" s="15">
        <v>45888</v>
      </c>
      <c r="M19" s="23" t="s">
        <v>247</v>
      </c>
      <c r="N19" s="29">
        <v>407740.5</v>
      </c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9" ht="13.5" customHeight="1" thickBot="1">
      <c r="A20" s="8" t="s">
        <v>176</v>
      </c>
      <c r="B20" s="9" t="s">
        <v>9</v>
      </c>
      <c r="C20" s="11" t="s">
        <v>10</v>
      </c>
      <c r="D20" s="11" t="s">
        <v>190</v>
      </c>
      <c r="E20" s="12">
        <v>45877</v>
      </c>
      <c r="F20" s="13" t="s">
        <v>191</v>
      </c>
      <c r="G20" s="13" t="s">
        <v>192</v>
      </c>
      <c r="H20" s="11"/>
      <c r="I20" s="13" t="s">
        <v>193</v>
      </c>
      <c r="J20" s="14" t="s">
        <v>171</v>
      </c>
      <c r="K20" s="15">
        <v>45891</v>
      </c>
      <c r="L20" s="15">
        <v>45891</v>
      </c>
      <c r="M20" s="23" t="s">
        <v>247</v>
      </c>
      <c r="N20" s="29">
        <v>37650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9" ht="13.5" customHeight="1" thickBot="1">
      <c r="A21" s="8" t="s">
        <v>49</v>
      </c>
      <c r="B21" s="9" t="s">
        <v>2</v>
      </c>
      <c r="C21" s="11" t="s">
        <v>3</v>
      </c>
      <c r="D21" s="11" t="s">
        <v>50</v>
      </c>
      <c r="E21" s="11"/>
      <c r="F21" s="11"/>
      <c r="G21" s="13" t="s">
        <v>1</v>
      </c>
      <c r="H21" s="11"/>
      <c r="I21" s="11"/>
      <c r="J21" s="14" t="s">
        <v>4</v>
      </c>
      <c r="K21" s="11"/>
      <c r="L21" s="11"/>
      <c r="M21" s="3" t="s">
        <v>158</v>
      </c>
      <c r="N21" s="29">
        <v>0</v>
      </c>
      <c r="P21"/>
      <c r="Q21"/>
      <c r="R21"/>
      <c r="S21"/>
      <c r="T21"/>
      <c r="U21"/>
      <c r="V21"/>
      <c r="W21"/>
      <c r="X21"/>
      <c r="Y21"/>
      <c r="Z21"/>
      <c r="AA21"/>
    </row>
    <row r="22" spans="1:29" ht="13.5" customHeight="1" thickBot="1">
      <c r="A22" s="8" t="s">
        <v>49</v>
      </c>
      <c r="B22" s="9" t="s">
        <v>18</v>
      </c>
      <c r="C22" s="10" t="s">
        <v>19</v>
      </c>
      <c r="D22" s="11" t="s">
        <v>51</v>
      </c>
      <c r="E22" s="11"/>
      <c r="F22" s="11"/>
      <c r="G22" s="13" t="s">
        <v>1</v>
      </c>
      <c r="H22" s="11"/>
      <c r="I22" s="11"/>
      <c r="J22" s="14" t="s">
        <v>4</v>
      </c>
      <c r="K22" s="11"/>
      <c r="L22" s="11"/>
      <c r="M22" s="3" t="s">
        <v>158</v>
      </c>
      <c r="N22" s="29">
        <v>0</v>
      </c>
      <c r="P22"/>
      <c r="Q22"/>
      <c r="R22"/>
      <c r="S22"/>
      <c r="T22"/>
      <c r="U22"/>
      <c r="V22"/>
      <c r="W22"/>
      <c r="X22"/>
      <c r="Y22"/>
      <c r="Z22"/>
      <c r="AA22"/>
    </row>
    <row r="23" spans="1:29" ht="13.5" customHeight="1" thickBot="1">
      <c r="A23" s="8" t="s">
        <v>49</v>
      </c>
      <c r="B23" s="9" t="s">
        <v>6</v>
      </c>
      <c r="C23" s="11" t="s">
        <v>3</v>
      </c>
      <c r="D23" s="11" t="s">
        <v>50</v>
      </c>
      <c r="E23" s="11"/>
      <c r="F23" s="11"/>
      <c r="G23" s="13" t="s">
        <v>1</v>
      </c>
      <c r="H23" s="11"/>
      <c r="I23" s="11"/>
      <c r="J23" s="14" t="s">
        <v>4</v>
      </c>
      <c r="K23" s="11"/>
      <c r="L23" s="11"/>
      <c r="M23" s="3" t="s">
        <v>158</v>
      </c>
      <c r="N23" s="29">
        <v>0</v>
      </c>
    </row>
    <row r="24" spans="1:29" ht="13.5" customHeight="1" thickBot="1">
      <c r="A24" s="8" t="s">
        <v>49</v>
      </c>
      <c r="B24" s="9" t="s">
        <v>7</v>
      </c>
      <c r="C24" s="10" t="s">
        <v>7</v>
      </c>
      <c r="D24" s="11" t="s">
        <v>52</v>
      </c>
      <c r="E24" s="12">
        <v>45867</v>
      </c>
      <c r="F24" s="13" t="s">
        <v>53</v>
      </c>
      <c r="G24" s="13" t="s">
        <v>54</v>
      </c>
      <c r="H24" s="13" t="s">
        <v>55</v>
      </c>
      <c r="I24" s="13" t="s">
        <v>56</v>
      </c>
      <c r="J24" s="14" t="s">
        <v>29</v>
      </c>
      <c r="K24" s="15">
        <v>45875</v>
      </c>
      <c r="L24" s="15">
        <v>45873</v>
      </c>
      <c r="M24" s="3" t="s">
        <v>158</v>
      </c>
      <c r="N24" s="29">
        <v>150125.29999999999</v>
      </c>
    </row>
    <row r="25" spans="1:29" ht="13.5" customHeight="1" thickBot="1">
      <c r="A25" s="8" t="s">
        <v>49</v>
      </c>
      <c r="B25" s="9" t="s">
        <v>7</v>
      </c>
      <c r="C25" s="10" t="s">
        <v>7</v>
      </c>
      <c r="D25" s="11" t="s">
        <v>57</v>
      </c>
      <c r="E25" s="12">
        <v>45867</v>
      </c>
      <c r="F25" s="13" t="s">
        <v>58</v>
      </c>
      <c r="G25" s="13" t="s">
        <v>59</v>
      </c>
      <c r="H25" s="13" t="s">
        <v>60</v>
      </c>
      <c r="I25" s="13" t="s">
        <v>61</v>
      </c>
      <c r="J25" s="14" t="s">
        <v>29</v>
      </c>
      <c r="K25" s="15">
        <v>45875</v>
      </c>
      <c r="L25" s="15">
        <v>45873</v>
      </c>
      <c r="M25" s="3" t="s">
        <v>158</v>
      </c>
      <c r="N25" s="29">
        <v>15564.05</v>
      </c>
    </row>
    <row r="26" spans="1:29" ht="13.5" customHeight="1" thickBot="1">
      <c r="A26" s="8" t="s">
        <v>49</v>
      </c>
      <c r="B26" s="9" t="s">
        <v>7</v>
      </c>
      <c r="C26" s="10" t="s">
        <v>7</v>
      </c>
      <c r="D26" s="11" t="s">
        <v>62</v>
      </c>
      <c r="E26" s="12">
        <v>45873</v>
      </c>
      <c r="F26" s="13" t="s">
        <v>63</v>
      </c>
      <c r="G26" s="13" t="s">
        <v>64</v>
      </c>
      <c r="H26" s="13" t="s">
        <v>65</v>
      </c>
      <c r="I26" s="13" t="s">
        <v>66</v>
      </c>
      <c r="J26" s="14" t="s">
        <v>67</v>
      </c>
      <c r="K26" s="15">
        <v>45881</v>
      </c>
      <c r="L26" s="15">
        <v>45881</v>
      </c>
      <c r="M26" s="3" t="s">
        <v>158</v>
      </c>
      <c r="N26" s="29">
        <v>477296.6</v>
      </c>
    </row>
    <row r="27" spans="1:29" ht="13.5" customHeight="1" thickBot="1">
      <c r="A27" s="8" t="s">
        <v>49</v>
      </c>
      <c r="B27" s="9" t="s">
        <v>8</v>
      </c>
      <c r="C27" s="11" t="s">
        <v>3</v>
      </c>
      <c r="D27" s="11" t="s">
        <v>50</v>
      </c>
      <c r="E27" s="11"/>
      <c r="F27" s="11"/>
      <c r="G27" s="13" t="s">
        <v>1</v>
      </c>
      <c r="H27" s="11"/>
      <c r="I27" s="11"/>
      <c r="J27" s="14" t="s">
        <v>4</v>
      </c>
      <c r="K27" s="11"/>
      <c r="L27" s="11"/>
      <c r="M27" s="3" t="s">
        <v>158</v>
      </c>
      <c r="N27" s="29">
        <v>0</v>
      </c>
    </row>
    <row r="28" spans="1:29" ht="13.5" customHeight="1" thickBot="1">
      <c r="A28" s="8" t="s">
        <v>49</v>
      </c>
      <c r="B28" s="9" t="s">
        <v>9</v>
      </c>
      <c r="C28" s="11" t="s">
        <v>10</v>
      </c>
      <c r="D28" s="11" t="s">
        <v>23</v>
      </c>
      <c r="E28" s="11"/>
      <c r="F28" s="11"/>
      <c r="G28" s="13" t="s">
        <v>1</v>
      </c>
      <c r="H28" s="11"/>
      <c r="I28" s="11"/>
      <c r="J28" s="14" t="s">
        <v>4</v>
      </c>
      <c r="K28" s="11"/>
      <c r="L28" s="11"/>
      <c r="M28" s="3" t="s">
        <v>158</v>
      </c>
      <c r="N28" s="29">
        <v>0</v>
      </c>
    </row>
    <row r="29" spans="1:29" ht="13.5" customHeight="1" thickBot="1">
      <c r="A29" s="8" t="s">
        <v>49</v>
      </c>
      <c r="B29" s="9" t="s">
        <v>12</v>
      </c>
      <c r="C29" s="10" t="s">
        <v>13</v>
      </c>
      <c r="D29" s="11" t="s">
        <v>68</v>
      </c>
      <c r="E29" s="12">
        <v>45855</v>
      </c>
      <c r="F29" s="13" t="s">
        <v>69</v>
      </c>
      <c r="G29" s="13" t="s">
        <v>70</v>
      </c>
      <c r="H29" s="13" t="s">
        <v>71</v>
      </c>
      <c r="I29" s="13" t="s">
        <v>72</v>
      </c>
      <c r="J29" s="11" t="s">
        <v>14</v>
      </c>
      <c r="K29" s="15">
        <v>45874</v>
      </c>
      <c r="L29" s="15">
        <v>45874</v>
      </c>
      <c r="M29" s="3" t="s">
        <v>158</v>
      </c>
      <c r="N29" s="29">
        <v>144997</v>
      </c>
    </row>
    <row r="30" spans="1:29" ht="13.5" customHeight="1" thickBot="1">
      <c r="A30" s="8" t="s">
        <v>49</v>
      </c>
      <c r="B30" s="9" t="s">
        <v>18</v>
      </c>
      <c r="C30" s="11" t="s">
        <v>19</v>
      </c>
      <c r="D30" s="11" t="s">
        <v>179</v>
      </c>
      <c r="E30" s="12">
        <v>45903</v>
      </c>
      <c r="F30" s="11"/>
      <c r="G30" s="13" t="s">
        <v>1</v>
      </c>
      <c r="H30" s="11"/>
      <c r="I30" s="13" t="s">
        <v>80</v>
      </c>
      <c r="J30" s="14" t="s">
        <v>171</v>
      </c>
      <c r="K30" s="15">
        <v>45919</v>
      </c>
      <c r="L30" s="11"/>
      <c r="M30" s="23" t="s">
        <v>247</v>
      </c>
      <c r="N30" s="29">
        <v>40000</v>
      </c>
    </row>
    <row r="31" spans="1:29" ht="13.5" customHeight="1" thickBot="1">
      <c r="A31" s="8" t="s">
        <v>73</v>
      </c>
      <c r="B31" s="9" t="s">
        <v>74</v>
      </c>
      <c r="C31" s="11" t="s">
        <v>75</v>
      </c>
      <c r="D31" s="11" t="s">
        <v>76</v>
      </c>
      <c r="E31" s="12">
        <v>45881</v>
      </c>
      <c r="F31" s="13" t="s">
        <v>77</v>
      </c>
      <c r="G31" s="13" t="s">
        <v>78</v>
      </c>
      <c r="H31" s="11"/>
      <c r="I31" s="13" t="s">
        <v>79</v>
      </c>
      <c r="J31" s="14" t="s">
        <v>4</v>
      </c>
      <c r="K31" s="15">
        <v>45891</v>
      </c>
      <c r="L31" s="15">
        <v>45891</v>
      </c>
      <c r="M31" s="3" t="s">
        <v>158</v>
      </c>
      <c r="N31" s="29">
        <v>41895</v>
      </c>
    </row>
    <row r="32" spans="1:29" ht="13.5" customHeight="1" thickBot="1">
      <c r="A32" s="8" t="s">
        <v>73</v>
      </c>
      <c r="B32" s="9" t="s">
        <v>18</v>
      </c>
      <c r="C32" s="10" t="s">
        <v>19</v>
      </c>
      <c r="D32" s="11" t="s">
        <v>20</v>
      </c>
      <c r="E32" s="12">
        <v>45903</v>
      </c>
      <c r="F32" s="11"/>
      <c r="G32" s="13" t="s">
        <v>1</v>
      </c>
      <c r="H32" s="11"/>
      <c r="I32" s="13" t="s">
        <v>80</v>
      </c>
      <c r="J32" s="14" t="s">
        <v>4</v>
      </c>
      <c r="K32" s="15">
        <v>45919</v>
      </c>
      <c r="L32" s="11"/>
      <c r="M32" s="3" t="s">
        <v>158</v>
      </c>
      <c r="N32" s="29">
        <v>40000</v>
      </c>
    </row>
    <row r="33" spans="1:14" ht="13.5" customHeight="1" thickBot="1">
      <c r="A33" s="8" t="s">
        <v>73</v>
      </c>
      <c r="B33" s="9" t="s">
        <v>5</v>
      </c>
      <c r="C33" s="11" t="s">
        <v>81</v>
      </c>
      <c r="D33" s="11" t="s">
        <v>82</v>
      </c>
      <c r="E33" s="12">
        <v>45870</v>
      </c>
      <c r="F33" s="35">
        <f>I33/1.21</f>
        <v>667200</v>
      </c>
      <c r="G33" s="13" t="s">
        <v>1</v>
      </c>
      <c r="H33" s="11"/>
      <c r="I33" s="28">
        <v>807312</v>
      </c>
      <c r="J33" s="14" t="s">
        <v>4</v>
      </c>
      <c r="K33" s="15">
        <v>45880</v>
      </c>
      <c r="L33" s="15">
        <v>45880</v>
      </c>
      <c r="M33" s="3" t="s">
        <v>158</v>
      </c>
      <c r="N33" s="36">
        <f>F33</f>
        <v>667200</v>
      </c>
    </row>
    <row r="34" spans="1:14" ht="13.5" customHeight="1" thickBot="1">
      <c r="A34" s="8" t="s">
        <v>73</v>
      </c>
      <c r="B34" s="9" t="s">
        <v>7</v>
      </c>
      <c r="C34" s="10" t="s">
        <v>7</v>
      </c>
      <c r="D34" s="11" t="s">
        <v>84</v>
      </c>
      <c r="E34" s="12">
        <v>45866</v>
      </c>
      <c r="F34" s="13" t="s">
        <v>85</v>
      </c>
      <c r="G34" s="13" t="s">
        <v>86</v>
      </c>
      <c r="H34" s="13" t="s">
        <v>87</v>
      </c>
      <c r="I34" s="13" t="s">
        <v>88</v>
      </c>
      <c r="J34" s="14" t="s">
        <v>29</v>
      </c>
      <c r="K34" s="15">
        <v>45874</v>
      </c>
      <c r="L34" s="15">
        <v>45873</v>
      </c>
      <c r="M34" s="3" t="s">
        <v>158</v>
      </c>
      <c r="N34" s="29">
        <v>116796.22</v>
      </c>
    </row>
    <row r="35" spans="1:14" ht="13.5" customHeight="1" thickBot="1">
      <c r="A35" s="8" t="s">
        <v>73</v>
      </c>
      <c r="B35" s="9" t="s">
        <v>7</v>
      </c>
      <c r="C35" s="10" t="s">
        <v>7</v>
      </c>
      <c r="D35" s="11" t="s">
        <v>89</v>
      </c>
      <c r="E35" s="12">
        <v>45866</v>
      </c>
      <c r="F35" s="13" t="s">
        <v>90</v>
      </c>
      <c r="G35" s="13" t="s">
        <v>91</v>
      </c>
      <c r="H35" s="13" t="s">
        <v>92</v>
      </c>
      <c r="I35" s="13" t="s">
        <v>93</v>
      </c>
      <c r="J35" s="14" t="s">
        <v>29</v>
      </c>
      <c r="K35" s="15">
        <v>45874</v>
      </c>
      <c r="L35" s="15">
        <v>45873</v>
      </c>
      <c r="M35" s="3" t="s">
        <v>158</v>
      </c>
      <c r="N35" s="29">
        <v>28181.54</v>
      </c>
    </row>
    <row r="36" spans="1:14" ht="13.5" customHeight="1" thickBot="1">
      <c r="A36" s="8" t="s">
        <v>73</v>
      </c>
      <c r="B36" s="9" t="s">
        <v>8</v>
      </c>
      <c r="C36" s="11" t="s">
        <v>94</v>
      </c>
      <c r="D36" s="11" t="s">
        <v>15</v>
      </c>
      <c r="E36" s="12">
        <v>45870</v>
      </c>
      <c r="F36" s="11"/>
      <c r="G36" s="13" t="s">
        <v>1</v>
      </c>
      <c r="H36" s="11"/>
      <c r="I36" s="28">
        <v>242602.21</v>
      </c>
      <c r="J36" s="14" t="s">
        <v>96</v>
      </c>
      <c r="K36" s="15">
        <v>45881</v>
      </c>
      <c r="L36" s="15">
        <v>45881</v>
      </c>
      <c r="M36" s="3" t="s">
        <v>158</v>
      </c>
      <c r="N36" s="29">
        <v>242602.21</v>
      </c>
    </row>
    <row r="37" spans="1:14" ht="13.5" customHeight="1" thickBot="1">
      <c r="A37" s="8" t="s">
        <v>73</v>
      </c>
      <c r="B37" s="9" t="s">
        <v>9</v>
      </c>
      <c r="C37" s="11" t="s">
        <v>10</v>
      </c>
      <c r="D37" s="11" t="s">
        <v>11</v>
      </c>
      <c r="E37" s="12">
        <v>45877</v>
      </c>
      <c r="F37" s="13" t="s">
        <v>31</v>
      </c>
      <c r="G37" s="13" t="s">
        <v>32</v>
      </c>
      <c r="H37" s="11"/>
      <c r="I37" s="13" t="s">
        <v>33</v>
      </c>
      <c r="J37" s="14" t="s">
        <v>4</v>
      </c>
      <c r="K37" s="15">
        <v>45891</v>
      </c>
      <c r="L37" s="15">
        <v>45891</v>
      </c>
      <c r="M37" s="3" t="s">
        <v>158</v>
      </c>
      <c r="N37" s="29">
        <v>30230</v>
      </c>
    </row>
    <row r="38" spans="1:14" ht="13.5" customHeight="1" thickBot="1">
      <c r="A38" s="8" t="s">
        <v>73</v>
      </c>
      <c r="B38" s="9" t="s">
        <v>12</v>
      </c>
      <c r="C38" s="10" t="s">
        <v>13</v>
      </c>
      <c r="D38" s="11" t="s">
        <v>97</v>
      </c>
      <c r="E38" s="12">
        <v>45855</v>
      </c>
      <c r="F38" s="13" t="s">
        <v>98</v>
      </c>
      <c r="G38" s="13" t="s">
        <v>99</v>
      </c>
      <c r="H38" s="13" t="s">
        <v>100</v>
      </c>
      <c r="I38" s="13" t="s">
        <v>101</v>
      </c>
      <c r="J38" s="14" t="s">
        <v>29</v>
      </c>
      <c r="K38" s="15">
        <v>45874</v>
      </c>
      <c r="L38" s="15">
        <v>45873</v>
      </c>
      <c r="M38" s="3" t="s">
        <v>158</v>
      </c>
      <c r="N38" s="29">
        <v>102700</v>
      </c>
    </row>
    <row r="39" spans="1:14" ht="13.5" customHeight="1" thickBot="1">
      <c r="A39" s="8" t="s">
        <v>73</v>
      </c>
      <c r="B39" s="9" t="s">
        <v>18</v>
      </c>
      <c r="C39" s="11" t="s">
        <v>19</v>
      </c>
      <c r="D39" s="11" t="s">
        <v>51</v>
      </c>
      <c r="E39" s="11"/>
      <c r="F39" s="11"/>
      <c r="G39" s="13" t="s">
        <v>1</v>
      </c>
      <c r="H39" s="11"/>
      <c r="I39" s="11"/>
      <c r="J39" s="11"/>
      <c r="K39" s="11"/>
      <c r="L39" s="11"/>
      <c r="M39" s="23" t="s">
        <v>247</v>
      </c>
      <c r="N39" s="29">
        <v>0</v>
      </c>
    </row>
    <row r="40" spans="1:14" ht="13.5" customHeight="1" thickBot="1">
      <c r="A40" s="8" t="s">
        <v>73</v>
      </c>
      <c r="B40" s="9" t="s">
        <v>5</v>
      </c>
      <c r="C40" s="11" t="s">
        <v>81</v>
      </c>
      <c r="D40" s="11" t="s">
        <v>82</v>
      </c>
      <c r="E40" s="11"/>
      <c r="F40" s="11"/>
      <c r="G40" s="13" t="s">
        <v>1</v>
      </c>
      <c r="H40" s="11"/>
      <c r="I40" s="11"/>
      <c r="J40" s="11"/>
      <c r="K40" s="11"/>
      <c r="L40" s="11"/>
      <c r="M40" s="23" t="s">
        <v>247</v>
      </c>
      <c r="N40" s="29">
        <v>0</v>
      </c>
    </row>
    <row r="41" spans="1:14" ht="13.5" customHeight="1" thickBot="1">
      <c r="A41" s="8" t="s">
        <v>73</v>
      </c>
      <c r="B41" s="9" t="s">
        <v>7</v>
      </c>
      <c r="C41" s="11" t="s">
        <v>7</v>
      </c>
      <c r="D41" s="11"/>
      <c r="E41" s="11"/>
      <c r="F41" s="11"/>
      <c r="G41" s="11"/>
      <c r="H41" s="11"/>
      <c r="I41" s="11"/>
      <c r="J41" s="14" t="s">
        <v>29</v>
      </c>
      <c r="K41" s="11"/>
      <c r="L41" s="11"/>
      <c r="M41" s="23" t="s">
        <v>247</v>
      </c>
      <c r="N41" s="29">
        <v>0</v>
      </c>
    </row>
    <row r="42" spans="1:14" ht="13.5" customHeight="1" thickBot="1">
      <c r="A42" s="8" t="s">
        <v>73</v>
      </c>
      <c r="B42" s="9" t="s">
        <v>7</v>
      </c>
      <c r="C42" s="11" t="s">
        <v>7</v>
      </c>
      <c r="D42" s="11"/>
      <c r="E42" s="11"/>
      <c r="F42" s="11"/>
      <c r="G42" s="11"/>
      <c r="H42" s="11"/>
      <c r="I42" s="11"/>
      <c r="J42" s="14" t="s">
        <v>29</v>
      </c>
      <c r="K42" s="11"/>
      <c r="L42" s="11"/>
      <c r="M42" s="23" t="s">
        <v>247</v>
      </c>
      <c r="N42" s="29">
        <v>0</v>
      </c>
    </row>
    <row r="43" spans="1:14" ht="13.5" customHeight="1" thickBot="1">
      <c r="A43" s="8" t="s">
        <v>73</v>
      </c>
      <c r="B43" s="9" t="s">
        <v>8</v>
      </c>
      <c r="C43" s="11" t="s">
        <v>94</v>
      </c>
      <c r="D43" s="11" t="s">
        <v>15</v>
      </c>
      <c r="E43" s="11"/>
      <c r="F43" s="11"/>
      <c r="G43" s="13" t="s">
        <v>1</v>
      </c>
      <c r="H43" s="11"/>
      <c r="I43" s="11"/>
      <c r="J43" s="11"/>
      <c r="K43" s="11"/>
      <c r="L43" s="11"/>
      <c r="M43" s="23" t="s">
        <v>247</v>
      </c>
      <c r="N43" s="29">
        <v>0</v>
      </c>
    </row>
    <row r="44" spans="1:14" ht="13.5" customHeight="1" thickBot="1">
      <c r="A44" s="8" t="s">
        <v>73</v>
      </c>
      <c r="B44" s="9" t="s">
        <v>12</v>
      </c>
      <c r="C44" s="11" t="s">
        <v>13</v>
      </c>
      <c r="D44" s="11" t="s">
        <v>97</v>
      </c>
      <c r="E44" s="12">
        <v>45855</v>
      </c>
      <c r="F44" s="13" t="s">
        <v>98</v>
      </c>
      <c r="G44" s="13" t="s">
        <v>99</v>
      </c>
      <c r="H44" s="13" t="s">
        <v>100</v>
      </c>
      <c r="I44" s="13" t="s">
        <v>101</v>
      </c>
      <c r="J44" s="14" t="s">
        <v>29</v>
      </c>
      <c r="K44" s="15">
        <v>45874</v>
      </c>
      <c r="L44" s="15">
        <v>45873</v>
      </c>
      <c r="M44" s="23" t="s">
        <v>247</v>
      </c>
      <c r="N44" s="29">
        <v>102700</v>
      </c>
    </row>
    <row r="45" spans="1:14" ht="13.5" customHeight="1" thickBot="1">
      <c r="A45" s="8" t="s">
        <v>102</v>
      </c>
      <c r="B45" s="9" t="s">
        <v>12</v>
      </c>
      <c r="C45" s="10" t="s">
        <v>13</v>
      </c>
      <c r="D45" s="11" t="s">
        <v>103</v>
      </c>
      <c r="E45" s="12">
        <v>45855</v>
      </c>
      <c r="F45" s="13" t="s">
        <v>104</v>
      </c>
      <c r="G45" s="13" t="s">
        <v>105</v>
      </c>
      <c r="H45" s="13" t="s">
        <v>106</v>
      </c>
      <c r="I45" s="13" t="s">
        <v>107</v>
      </c>
      <c r="J45" s="14" t="s">
        <v>67</v>
      </c>
      <c r="K45" s="15">
        <v>45874</v>
      </c>
      <c r="L45" s="15">
        <v>45877</v>
      </c>
      <c r="M45" s="3" t="s">
        <v>158</v>
      </c>
      <c r="N45" s="29">
        <v>35325</v>
      </c>
    </row>
    <row r="46" spans="1:14" ht="13.5" customHeight="1" thickBot="1">
      <c r="A46" s="8" t="s">
        <v>102</v>
      </c>
      <c r="B46" s="9" t="s">
        <v>160</v>
      </c>
      <c r="C46" s="11" t="s">
        <v>161</v>
      </c>
      <c r="D46" s="11" t="s">
        <v>213</v>
      </c>
      <c r="E46" s="12">
        <v>45869</v>
      </c>
      <c r="F46" s="13" t="s">
        <v>214</v>
      </c>
      <c r="G46" s="13" t="s">
        <v>215</v>
      </c>
      <c r="H46" s="11"/>
      <c r="I46" s="13" t="s">
        <v>216</v>
      </c>
      <c r="J46" s="14" t="s">
        <v>171</v>
      </c>
      <c r="K46" s="15">
        <v>45888</v>
      </c>
      <c r="L46" s="15">
        <v>45888</v>
      </c>
      <c r="M46" s="23" t="s">
        <v>247</v>
      </c>
      <c r="N46" s="29">
        <v>190000</v>
      </c>
    </row>
    <row r="47" spans="1:14" ht="13.5" customHeight="1" thickBot="1">
      <c r="A47" s="8" t="s">
        <v>102</v>
      </c>
      <c r="B47" s="9" t="s">
        <v>5</v>
      </c>
      <c r="C47" s="11" t="s">
        <v>194</v>
      </c>
      <c r="D47" s="11" t="s">
        <v>217</v>
      </c>
      <c r="E47" s="12">
        <v>45870</v>
      </c>
      <c r="F47" s="28">
        <v>599275.1</v>
      </c>
      <c r="G47" s="13" t="s">
        <v>219</v>
      </c>
      <c r="H47" s="11"/>
      <c r="I47" s="13" t="s">
        <v>220</v>
      </c>
      <c r="J47" s="14" t="s">
        <v>171</v>
      </c>
      <c r="K47" s="15">
        <v>45880</v>
      </c>
      <c r="L47" s="15">
        <v>45880</v>
      </c>
      <c r="M47" s="23" t="s">
        <v>247</v>
      </c>
      <c r="N47" s="29">
        <v>599275.1</v>
      </c>
    </row>
    <row r="48" spans="1:14" ht="13.5" customHeight="1" thickBot="1">
      <c r="A48" s="8" t="s">
        <v>102</v>
      </c>
      <c r="B48" s="9" t="s">
        <v>8</v>
      </c>
      <c r="C48" s="11" t="s">
        <v>194</v>
      </c>
      <c r="D48" s="11" t="s">
        <v>217</v>
      </c>
      <c r="E48" s="12">
        <v>45870</v>
      </c>
      <c r="F48" s="11"/>
      <c r="G48" s="13" t="s">
        <v>1</v>
      </c>
      <c r="H48" s="28">
        <v>328003.06</v>
      </c>
      <c r="I48" s="13" t="s">
        <v>221</v>
      </c>
      <c r="J48" s="11"/>
      <c r="K48" s="15">
        <v>45880</v>
      </c>
      <c r="L48" s="15">
        <v>45880</v>
      </c>
      <c r="M48" s="23" t="s">
        <v>247</v>
      </c>
      <c r="N48" s="29">
        <v>328003.06</v>
      </c>
    </row>
    <row r="49" spans="1:14" ht="13.5" customHeight="1" thickBot="1">
      <c r="A49" s="8" t="s">
        <v>108</v>
      </c>
      <c r="B49" s="9" t="s">
        <v>5</v>
      </c>
      <c r="C49" s="11" t="s">
        <v>194</v>
      </c>
      <c r="D49" s="11"/>
      <c r="E49" s="11"/>
      <c r="F49" s="11"/>
      <c r="G49" s="13" t="s">
        <v>1</v>
      </c>
      <c r="H49" s="11"/>
      <c r="I49" s="11"/>
      <c r="J49" s="11"/>
      <c r="K49" s="11"/>
      <c r="L49" s="11"/>
      <c r="M49" s="23" t="s">
        <v>247</v>
      </c>
      <c r="N49" s="29">
        <v>0</v>
      </c>
    </row>
    <row r="50" spans="1:14" ht="13.5" customHeight="1" thickBot="1">
      <c r="A50" s="8" t="s">
        <v>108</v>
      </c>
      <c r="B50" s="9" t="s">
        <v>5</v>
      </c>
      <c r="C50" s="11" t="s">
        <v>194</v>
      </c>
      <c r="D50" s="11" t="s">
        <v>195</v>
      </c>
      <c r="E50" s="12">
        <v>45870</v>
      </c>
      <c r="F50" s="13" t="s">
        <v>196</v>
      </c>
      <c r="G50" s="13" t="s">
        <v>197</v>
      </c>
      <c r="H50" s="11"/>
      <c r="I50" s="13" t="s">
        <v>198</v>
      </c>
      <c r="J50" s="14" t="s">
        <v>171</v>
      </c>
      <c r="K50" s="15">
        <v>45880</v>
      </c>
      <c r="L50" s="15">
        <v>45880</v>
      </c>
      <c r="M50" s="23" t="s">
        <v>247</v>
      </c>
      <c r="N50" s="29">
        <v>250000</v>
      </c>
    </row>
    <row r="51" spans="1:14" ht="13.5" customHeight="1" thickBot="1">
      <c r="A51" s="8" t="s">
        <v>108</v>
      </c>
      <c r="B51" s="9" t="s">
        <v>7</v>
      </c>
      <c r="C51" s="11" t="s">
        <v>194</v>
      </c>
      <c r="D51" s="11" t="s">
        <v>23</v>
      </c>
      <c r="E51" s="11"/>
      <c r="F51" s="11"/>
      <c r="G51" s="13" t="s">
        <v>1</v>
      </c>
      <c r="H51" s="11"/>
      <c r="I51" s="11"/>
      <c r="J51" s="11"/>
      <c r="K51" s="11"/>
      <c r="L51" s="11"/>
      <c r="M51" s="23" t="s">
        <v>247</v>
      </c>
      <c r="N51" s="29">
        <v>0</v>
      </c>
    </row>
    <row r="52" spans="1:14" ht="13.5" customHeight="1" thickBot="1">
      <c r="A52" s="8" t="s">
        <v>108</v>
      </c>
      <c r="B52" s="9" t="s">
        <v>8</v>
      </c>
      <c r="C52" s="11" t="s">
        <v>194</v>
      </c>
      <c r="D52" s="11" t="s">
        <v>195</v>
      </c>
      <c r="E52" s="12">
        <v>45870</v>
      </c>
      <c r="F52" s="11"/>
      <c r="G52" s="13" t="s">
        <v>1</v>
      </c>
      <c r="H52" s="13" t="s">
        <v>199</v>
      </c>
      <c r="I52" s="13" t="s">
        <v>199</v>
      </c>
      <c r="J52" s="14" t="s">
        <v>171</v>
      </c>
      <c r="K52" s="15">
        <v>45880</v>
      </c>
      <c r="L52" s="15">
        <v>45880</v>
      </c>
      <c r="M52" s="23" t="s">
        <v>247</v>
      </c>
      <c r="N52" s="29">
        <v>18181.990000000002</v>
      </c>
    </row>
    <row r="53" spans="1:14" ht="13.5" customHeight="1" thickBot="1">
      <c r="A53" s="8" t="s">
        <v>108</v>
      </c>
      <c r="B53" s="9" t="s">
        <v>8</v>
      </c>
      <c r="C53" s="11" t="s">
        <v>194</v>
      </c>
      <c r="D53" s="11"/>
      <c r="E53" s="11"/>
      <c r="F53" s="11"/>
      <c r="G53" s="13" t="s">
        <v>1</v>
      </c>
      <c r="H53" s="11"/>
      <c r="I53" s="11"/>
      <c r="J53" s="11"/>
      <c r="K53" s="11"/>
      <c r="L53" s="11"/>
      <c r="M53" s="23" t="s">
        <v>247</v>
      </c>
      <c r="N53" s="29">
        <v>0</v>
      </c>
    </row>
    <row r="54" spans="1:14" ht="13.5" customHeight="1" thickBot="1">
      <c r="A54" s="8" t="s">
        <v>109</v>
      </c>
      <c r="B54" s="9" t="s">
        <v>5</v>
      </c>
      <c r="C54" s="11" t="s">
        <v>194</v>
      </c>
      <c r="D54" s="11" t="s">
        <v>200</v>
      </c>
      <c r="E54" s="12">
        <v>45870</v>
      </c>
      <c r="F54" s="13" t="s">
        <v>201</v>
      </c>
      <c r="G54" s="13" t="s">
        <v>202</v>
      </c>
      <c r="H54" s="11"/>
      <c r="I54" s="13" t="s">
        <v>203</v>
      </c>
      <c r="J54" s="14" t="s">
        <v>171</v>
      </c>
      <c r="K54" s="15">
        <v>45880</v>
      </c>
      <c r="L54" s="15">
        <v>45880</v>
      </c>
      <c r="M54" s="23" t="s">
        <v>247</v>
      </c>
      <c r="N54" s="29">
        <v>428053.64</v>
      </c>
    </row>
    <row r="55" spans="1:14" ht="13.5" customHeight="1" thickBot="1">
      <c r="A55" s="8" t="s">
        <v>109</v>
      </c>
      <c r="B55" s="9" t="s">
        <v>7</v>
      </c>
      <c r="C55" s="11" t="s">
        <v>194</v>
      </c>
      <c r="D55" s="11" t="s">
        <v>200</v>
      </c>
      <c r="E55" s="11"/>
      <c r="F55" s="13" t="s">
        <v>204</v>
      </c>
      <c r="G55" s="13" t="s">
        <v>205</v>
      </c>
      <c r="H55" s="11"/>
      <c r="I55" s="13" t="s">
        <v>206</v>
      </c>
      <c r="J55" s="14" t="s">
        <v>171</v>
      </c>
      <c r="K55" s="15">
        <v>45880</v>
      </c>
      <c r="L55" s="15">
        <v>45880</v>
      </c>
      <c r="M55" s="23" t="s">
        <v>247</v>
      </c>
      <c r="N55" s="29">
        <v>7508.22</v>
      </c>
    </row>
    <row r="56" spans="1:14" ht="13.5" customHeight="1" thickBot="1">
      <c r="A56" s="8" t="s">
        <v>109</v>
      </c>
      <c r="B56" s="9" t="s">
        <v>8</v>
      </c>
      <c r="C56" s="27" t="s">
        <v>194</v>
      </c>
      <c r="D56" s="11" t="s">
        <v>200</v>
      </c>
      <c r="E56" s="12">
        <v>45870</v>
      </c>
      <c r="F56" s="11"/>
      <c r="G56" s="13" t="s">
        <v>1</v>
      </c>
      <c r="H56" s="13" t="s">
        <v>207</v>
      </c>
      <c r="I56" s="13" t="s">
        <v>207</v>
      </c>
      <c r="J56" s="14" t="s">
        <v>171</v>
      </c>
      <c r="K56" s="15">
        <v>45880</v>
      </c>
      <c r="L56" s="15">
        <v>45880</v>
      </c>
      <c r="M56" s="23" t="s">
        <v>247</v>
      </c>
      <c r="N56" s="29">
        <v>50182.29</v>
      </c>
    </row>
    <row r="57" spans="1:14" ht="13.5" customHeight="1" thickBot="1">
      <c r="A57" s="8" t="s">
        <v>110</v>
      </c>
      <c r="B57" s="9" t="s">
        <v>18</v>
      </c>
      <c r="C57" s="10" t="s">
        <v>19</v>
      </c>
      <c r="D57" s="11" t="s">
        <v>20</v>
      </c>
      <c r="E57" s="12">
        <v>45903</v>
      </c>
      <c r="F57" s="11"/>
      <c r="G57" s="13" t="s">
        <v>1</v>
      </c>
      <c r="H57" s="11"/>
      <c r="I57" s="13" t="s">
        <v>80</v>
      </c>
      <c r="J57" s="14" t="s">
        <v>4</v>
      </c>
      <c r="K57" s="15">
        <v>45919</v>
      </c>
      <c r="L57" s="11"/>
      <c r="M57" s="3" t="s">
        <v>158</v>
      </c>
      <c r="N57" s="29">
        <v>40000</v>
      </c>
    </row>
    <row r="58" spans="1:14" ht="13.5" customHeight="1" thickBot="1">
      <c r="A58" s="8" t="s">
        <v>110</v>
      </c>
      <c r="B58" s="9" t="s">
        <v>5</v>
      </c>
      <c r="C58" s="11" t="s">
        <v>194</v>
      </c>
      <c r="D58" s="11" t="s">
        <v>208</v>
      </c>
      <c r="E58" s="12">
        <v>45870</v>
      </c>
      <c r="F58" s="13" t="s">
        <v>209</v>
      </c>
      <c r="G58" s="13" t="s">
        <v>210</v>
      </c>
      <c r="H58" s="11"/>
      <c r="I58" s="13" t="s">
        <v>211</v>
      </c>
      <c r="J58" s="14" t="s">
        <v>171</v>
      </c>
      <c r="K58" s="15">
        <v>45880</v>
      </c>
      <c r="L58" s="15">
        <v>45880</v>
      </c>
      <c r="M58" s="23" t="s">
        <v>247</v>
      </c>
      <c r="N58" s="29">
        <v>554000</v>
      </c>
    </row>
    <row r="59" spans="1:14" ht="13.5" customHeight="1" thickBot="1">
      <c r="A59" s="8" t="s">
        <v>110</v>
      </c>
      <c r="B59" s="9" t="s">
        <v>8</v>
      </c>
      <c r="C59" s="11" t="s">
        <v>194</v>
      </c>
      <c r="D59" s="11" t="s">
        <v>208</v>
      </c>
      <c r="E59" s="12">
        <v>45870</v>
      </c>
      <c r="F59" s="11"/>
      <c r="G59" s="13" t="s">
        <v>1</v>
      </c>
      <c r="H59" s="13" t="s">
        <v>212</v>
      </c>
      <c r="I59" s="13" t="s">
        <v>212</v>
      </c>
      <c r="J59" s="11"/>
      <c r="K59" s="15">
        <v>45880</v>
      </c>
      <c r="L59" s="15">
        <v>45880</v>
      </c>
      <c r="M59" s="23" t="s">
        <v>247</v>
      </c>
      <c r="N59" s="29">
        <v>314184.75</v>
      </c>
    </row>
    <row r="60" spans="1:14" ht="13.5" customHeight="1" thickBot="1">
      <c r="A60" s="8" t="s">
        <v>111</v>
      </c>
      <c r="B60" s="9" t="s">
        <v>112</v>
      </c>
      <c r="C60" s="10" t="s">
        <v>113</v>
      </c>
      <c r="D60" s="10" t="s">
        <v>114</v>
      </c>
      <c r="E60" s="18">
        <v>45889</v>
      </c>
      <c r="F60" s="19" t="s">
        <v>115</v>
      </c>
      <c r="G60" s="19" t="s">
        <v>116</v>
      </c>
      <c r="H60" s="10"/>
      <c r="I60" s="19" t="s">
        <v>117</v>
      </c>
      <c r="J60" s="20" t="s">
        <v>4</v>
      </c>
      <c r="K60" s="21">
        <v>45898</v>
      </c>
      <c r="L60" s="21">
        <v>45898</v>
      </c>
      <c r="M60" s="3" t="s">
        <v>158</v>
      </c>
      <c r="N60" s="29">
        <v>59500</v>
      </c>
    </row>
    <row r="61" spans="1:14" ht="13.5" customHeight="1" thickBot="1">
      <c r="A61" s="8" t="s">
        <v>111</v>
      </c>
      <c r="B61" s="9" t="s">
        <v>9</v>
      </c>
      <c r="C61" s="11" t="s">
        <v>10</v>
      </c>
      <c r="D61" s="11" t="s">
        <v>11</v>
      </c>
      <c r="E61" s="12">
        <v>45877</v>
      </c>
      <c r="F61" s="13" t="s">
        <v>31</v>
      </c>
      <c r="G61" s="13" t="s">
        <v>32</v>
      </c>
      <c r="H61" s="11"/>
      <c r="I61" s="13" t="s">
        <v>33</v>
      </c>
      <c r="J61" s="14" t="s">
        <v>4</v>
      </c>
      <c r="K61" s="15">
        <v>45891</v>
      </c>
      <c r="L61" s="15">
        <v>45891</v>
      </c>
      <c r="M61" s="3" t="s">
        <v>158</v>
      </c>
      <c r="N61" s="29">
        <v>30230</v>
      </c>
    </row>
    <row r="62" spans="1:14" ht="13.5" customHeight="1" thickBot="1">
      <c r="A62" s="8" t="s">
        <v>118</v>
      </c>
      <c r="B62" s="9" t="s">
        <v>18</v>
      </c>
      <c r="C62" s="10" t="s">
        <v>19</v>
      </c>
      <c r="D62" s="11" t="s">
        <v>20</v>
      </c>
      <c r="E62" s="12">
        <v>45903</v>
      </c>
      <c r="F62" s="11"/>
      <c r="G62" s="13" t="s">
        <v>1</v>
      </c>
      <c r="H62" s="11"/>
      <c r="I62" s="13" t="s">
        <v>80</v>
      </c>
      <c r="J62" s="14" t="s">
        <v>4</v>
      </c>
      <c r="K62" s="15">
        <v>45919</v>
      </c>
      <c r="L62" s="11"/>
      <c r="M62" s="3" t="s">
        <v>158</v>
      </c>
      <c r="N62" s="29">
        <v>40000</v>
      </c>
    </row>
    <row r="63" spans="1:14" ht="13.5" customHeight="1" thickBot="1">
      <c r="A63" s="8" t="s">
        <v>118</v>
      </c>
      <c r="B63" s="9" t="s">
        <v>5</v>
      </c>
      <c r="C63" s="11" t="s">
        <v>119</v>
      </c>
      <c r="D63" s="11" t="s">
        <v>23</v>
      </c>
      <c r="E63" s="11"/>
      <c r="F63" s="11"/>
      <c r="G63" s="13" t="s">
        <v>1</v>
      </c>
      <c r="H63" s="11"/>
      <c r="I63" s="11"/>
      <c r="J63" s="14" t="s">
        <v>4</v>
      </c>
      <c r="K63" s="11"/>
      <c r="L63" s="11"/>
      <c r="M63" s="3" t="s">
        <v>158</v>
      </c>
      <c r="N63" s="29">
        <v>0</v>
      </c>
    </row>
    <row r="64" spans="1:14" ht="13.5" customHeight="1" thickBot="1">
      <c r="A64" s="8" t="s">
        <v>118</v>
      </c>
      <c r="B64" s="9" t="s">
        <v>7</v>
      </c>
      <c r="C64" s="10" t="s">
        <v>7</v>
      </c>
      <c r="D64" s="11" t="s">
        <v>120</v>
      </c>
      <c r="E64" s="12">
        <v>45863</v>
      </c>
      <c r="F64" s="13" t="s">
        <v>121</v>
      </c>
      <c r="G64" s="13" t="s">
        <v>122</v>
      </c>
      <c r="H64" s="13" t="s">
        <v>123</v>
      </c>
      <c r="I64" s="13" t="s">
        <v>124</v>
      </c>
      <c r="J64" s="14" t="s">
        <v>29</v>
      </c>
      <c r="K64" s="15">
        <v>45873</v>
      </c>
      <c r="L64" s="15">
        <v>45873</v>
      </c>
      <c r="M64" s="3" t="s">
        <v>158</v>
      </c>
      <c r="N64" s="29">
        <v>87365.62</v>
      </c>
    </row>
    <row r="65" spans="1:14" ht="13.5" customHeight="1" thickBot="1">
      <c r="A65" s="8" t="s">
        <v>118</v>
      </c>
      <c r="B65" s="9" t="s">
        <v>8</v>
      </c>
      <c r="C65" s="11" t="s">
        <v>119</v>
      </c>
      <c r="D65" s="11" t="s">
        <v>125</v>
      </c>
      <c r="E65" s="12">
        <v>45874</v>
      </c>
      <c r="F65" s="28">
        <v>1901854.12</v>
      </c>
      <c r="G65" s="13" t="s">
        <v>127</v>
      </c>
      <c r="H65" s="13" t="s">
        <v>128</v>
      </c>
      <c r="I65" s="13" t="s">
        <v>129</v>
      </c>
      <c r="J65" s="14" t="s">
        <v>4</v>
      </c>
      <c r="K65" s="15">
        <v>45877</v>
      </c>
      <c r="L65" s="15">
        <v>45877</v>
      </c>
      <c r="M65" s="3" t="s">
        <v>158</v>
      </c>
      <c r="N65" s="29">
        <v>1901854.12</v>
      </c>
    </row>
    <row r="66" spans="1:14" ht="13.5" customHeight="1" thickBot="1">
      <c r="A66" s="8" t="s">
        <v>118</v>
      </c>
      <c r="B66" s="9" t="s">
        <v>9</v>
      </c>
      <c r="C66" s="11" t="s">
        <v>10</v>
      </c>
      <c r="D66" s="11" t="s">
        <v>11</v>
      </c>
      <c r="E66" s="12">
        <v>45877</v>
      </c>
      <c r="F66" s="13" t="s">
        <v>31</v>
      </c>
      <c r="G66" s="13" t="s">
        <v>32</v>
      </c>
      <c r="H66" s="11"/>
      <c r="I66" s="13" t="s">
        <v>33</v>
      </c>
      <c r="J66" s="14" t="s">
        <v>4</v>
      </c>
      <c r="K66" s="15">
        <v>45891</v>
      </c>
      <c r="L66" s="15">
        <v>45891</v>
      </c>
      <c r="M66" s="3" t="s">
        <v>158</v>
      </c>
      <c r="N66" s="29">
        <v>30230</v>
      </c>
    </row>
    <row r="67" spans="1:14" ht="13.5" customHeight="1" thickBot="1">
      <c r="A67" s="8" t="s">
        <v>118</v>
      </c>
      <c r="B67" s="9" t="s">
        <v>12</v>
      </c>
      <c r="C67" s="10" t="s">
        <v>13</v>
      </c>
      <c r="D67" s="11" t="s">
        <v>130</v>
      </c>
      <c r="E67" s="12">
        <v>45855</v>
      </c>
      <c r="F67" s="13" t="s">
        <v>131</v>
      </c>
      <c r="G67" s="13" t="s">
        <v>132</v>
      </c>
      <c r="H67" s="13" t="s">
        <v>133</v>
      </c>
      <c r="I67" s="13" t="s">
        <v>134</v>
      </c>
      <c r="J67" s="11" t="s">
        <v>14</v>
      </c>
      <c r="K67" s="15">
        <v>45876</v>
      </c>
      <c r="L67" s="15">
        <v>45876</v>
      </c>
      <c r="M67" s="3" t="s">
        <v>158</v>
      </c>
      <c r="N67" s="29">
        <v>57553.73</v>
      </c>
    </row>
    <row r="68" spans="1:14" ht="13.5" customHeight="1" thickBot="1">
      <c r="A68" s="8" t="s">
        <v>118</v>
      </c>
      <c r="B68" s="9" t="s">
        <v>160</v>
      </c>
      <c r="C68" s="11" t="s">
        <v>161</v>
      </c>
      <c r="D68" s="11" t="s">
        <v>222</v>
      </c>
      <c r="E68" s="12">
        <v>45873</v>
      </c>
      <c r="F68" s="13" t="s">
        <v>214</v>
      </c>
      <c r="G68" s="13" t="s">
        <v>215</v>
      </c>
      <c r="H68" s="11"/>
      <c r="I68" s="13" t="s">
        <v>216</v>
      </c>
      <c r="J68" s="11" t="s">
        <v>166</v>
      </c>
      <c r="K68" s="15">
        <v>45890</v>
      </c>
      <c r="L68" s="15">
        <v>45890</v>
      </c>
      <c r="M68" s="23" t="s">
        <v>247</v>
      </c>
      <c r="N68" s="29">
        <v>190000</v>
      </c>
    </row>
    <row r="69" spans="1:14" ht="13.5" customHeight="1" thickBot="1">
      <c r="A69" s="8" t="s">
        <v>118</v>
      </c>
      <c r="B69" s="9" t="s">
        <v>74</v>
      </c>
      <c r="C69" s="11" t="s">
        <v>75</v>
      </c>
      <c r="D69" s="11" t="s">
        <v>223</v>
      </c>
      <c r="E69" s="12">
        <v>45881</v>
      </c>
      <c r="F69" s="13" t="s">
        <v>77</v>
      </c>
      <c r="G69" s="13" t="s">
        <v>78</v>
      </c>
      <c r="H69" s="11"/>
      <c r="I69" s="13" t="s">
        <v>79</v>
      </c>
      <c r="J69" s="14" t="s">
        <v>171</v>
      </c>
      <c r="K69" s="15">
        <v>45891</v>
      </c>
      <c r="L69" s="15">
        <v>45891</v>
      </c>
      <c r="M69" s="23" t="s">
        <v>247</v>
      </c>
      <c r="N69" s="29">
        <v>41895</v>
      </c>
    </row>
    <row r="70" spans="1:14" ht="13.5" customHeight="1" thickBot="1">
      <c r="A70" s="8" t="s">
        <v>118</v>
      </c>
      <c r="B70" s="9" t="s">
        <v>18</v>
      </c>
      <c r="C70" s="11" t="s">
        <v>19</v>
      </c>
      <c r="D70" s="11" t="s">
        <v>51</v>
      </c>
      <c r="E70" s="11"/>
      <c r="F70" s="11"/>
      <c r="G70" s="13" t="s">
        <v>1</v>
      </c>
      <c r="H70" s="11"/>
      <c r="I70" s="11"/>
      <c r="J70" s="11"/>
      <c r="K70" s="11"/>
      <c r="L70" s="11"/>
      <c r="M70" s="23" t="s">
        <v>247</v>
      </c>
      <c r="N70" s="29">
        <v>0</v>
      </c>
    </row>
    <row r="71" spans="1:14" ht="13.5" customHeight="1" thickBot="1">
      <c r="A71" s="8" t="s">
        <v>118</v>
      </c>
      <c r="B71" s="9" t="s">
        <v>5</v>
      </c>
      <c r="C71" s="11" t="s">
        <v>119</v>
      </c>
      <c r="D71" s="11" t="s">
        <v>224</v>
      </c>
      <c r="E71" s="12">
        <v>45876</v>
      </c>
      <c r="F71" s="28">
        <v>1299988.6000000001</v>
      </c>
      <c r="G71" s="13" t="s">
        <v>226</v>
      </c>
      <c r="H71" s="13" t="s">
        <v>227</v>
      </c>
      <c r="I71" s="13" t="s">
        <v>228</v>
      </c>
      <c r="J71" s="14" t="s">
        <v>171</v>
      </c>
      <c r="K71" s="15">
        <v>45880</v>
      </c>
      <c r="L71" s="15">
        <v>45880</v>
      </c>
      <c r="M71" s="23" t="s">
        <v>247</v>
      </c>
      <c r="N71" s="29">
        <v>1299988.6000000001</v>
      </c>
    </row>
    <row r="72" spans="1:14" ht="13.5" customHeight="1" thickBot="1">
      <c r="A72" s="8" t="s">
        <v>118</v>
      </c>
      <c r="B72" s="9" t="s">
        <v>7</v>
      </c>
      <c r="C72" s="11" t="s">
        <v>7</v>
      </c>
      <c r="D72" s="11"/>
      <c r="E72" s="11"/>
      <c r="F72" s="11"/>
      <c r="G72" s="11"/>
      <c r="H72" s="11"/>
      <c r="I72" s="11"/>
      <c r="J72" s="14" t="s">
        <v>29</v>
      </c>
      <c r="K72" s="11"/>
      <c r="L72" s="11"/>
      <c r="M72" s="23" t="s">
        <v>247</v>
      </c>
      <c r="N72" s="29">
        <v>0</v>
      </c>
    </row>
    <row r="73" spans="1:14" ht="13.5" customHeight="1" thickBot="1">
      <c r="A73" s="8" t="s">
        <v>118</v>
      </c>
      <c r="B73" s="9" t="s">
        <v>8</v>
      </c>
      <c r="C73" s="11" t="s">
        <v>119</v>
      </c>
      <c r="D73" s="11" t="s">
        <v>23</v>
      </c>
      <c r="E73" s="11"/>
      <c r="F73" s="11"/>
      <c r="G73" s="13" t="s">
        <v>1</v>
      </c>
      <c r="H73" s="11"/>
      <c r="I73" s="11"/>
      <c r="J73" s="11"/>
      <c r="K73" s="11"/>
      <c r="L73" s="11"/>
      <c r="M73" s="23" t="s">
        <v>247</v>
      </c>
      <c r="N73" s="29">
        <v>0</v>
      </c>
    </row>
    <row r="74" spans="1:14" ht="13.5" customHeight="1" thickBot="1">
      <c r="A74" s="8" t="s">
        <v>118</v>
      </c>
      <c r="B74" s="9" t="s">
        <v>74</v>
      </c>
      <c r="C74" s="11" t="s">
        <v>75</v>
      </c>
      <c r="D74" s="11" t="s">
        <v>229</v>
      </c>
      <c r="E74" s="12">
        <v>45883</v>
      </c>
      <c r="F74" s="13" t="s">
        <v>230</v>
      </c>
      <c r="G74" s="13" t="s">
        <v>231</v>
      </c>
      <c r="H74" s="11"/>
      <c r="I74" s="13" t="s">
        <v>232</v>
      </c>
      <c r="J74" s="25" t="s">
        <v>171</v>
      </c>
      <c r="K74" s="15">
        <v>45891</v>
      </c>
      <c r="L74" s="15">
        <v>45891</v>
      </c>
      <c r="M74" s="23" t="s">
        <v>247</v>
      </c>
      <c r="N74" s="29">
        <v>62539</v>
      </c>
    </row>
    <row r="75" spans="1:14" ht="13.5" customHeight="1" thickBot="1">
      <c r="A75" s="8" t="s">
        <v>135</v>
      </c>
      <c r="B75" s="9" t="s">
        <v>18</v>
      </c>
      <c r="C75" s="26" t="s">
        <v>19</v>
      </c>
      <c r="D75" s="11" t="s">
        <v>20</v>
      </c>
      <c r="E75" s="12">
        <v>45903</v>
      </c>
      <c r="F75" s="11"/>
      <c r="G75" s="13" t="s">
        <v>1</v>
      </c>
      <c r="H75" s="11"/>
      <c r="I75" s="13" t="s">
        <v>80</v>
      </c>
      <c r="J75" s="14" t="s">
        <v>4</v>
      </c>
      <c r="K75" s="15">
        <v>45919</v>
      </c>
      <c r="L75" s="11"/>
      <c r="M75" s="3" t="s">
        <v>158</v>
      </c>
      <c r="N75" s="29">
        <v>40000</v>
      </c>
    </row>
    <row r="76" spans="1:14" ht="13.5" customHeight="1" thickBot="1">
      <c r="A76" s="8" t="s">
        <v>136</v>
      </c>
      <c r="B76" s="9" t="s">
        <v>18</v>
      </c>
      <c r="C76" s="10" t="s">
        <v>19</v>
      </c>
      <c r="D76" s="11" t="s">
        <v>51</v>
      </c>
      <c r="E76" s="11"/>
      <c r="F76" s="11"/>
      <c r="G76" s="13" t="s">
        <v>1</v>
      </c>
      <c r="H76" s="11"/>
      <c r="I76" s="11"/>
      <c r="J76" s="14" t="s">
        <v>4</v>
      </c>
      <c r="K76" s="11"/>
      <c r="L76" s="11"/>
      <c r="M76" s="3" t="s">
        <v>158</v>
      </c>
      <c r="N76" s="29">
        <v>0</v>
      </c>
    </row>
    <row r="77" spans="1:14" ht="13.5" thickBot="1">
      <c r="A77" s="8" t="s">
        <v>136</v>
      </c>
      <c r="B77" s="9" t="s">
        <v>5</v>
      </c>
      <c r="C77" s="11" t="s">
        <v>22</v>
      </c>
      <c r="D77" s="11" t="s">
        <v>23</v>
      </c>
      <c r="E77" s="11"/>
      <c r="F77" s="11"/>
      <c r="G77" s="13" t="s">
        <v>1</v>
      </c>
      <c r="H77" s="11"/>
      <c r="I77" s="11"/>
      <c r="J77" s="14" t="s">
        <v>4</v>
      </c>
      <c r="K77" s="11"/>
      <c r="L77" s="11"/>
      <c r="M77" s="3" t="s">
        <v>158</v>
      </c>
      <c r="N77" s="29">
        <v>0</v>
      </c>
    </row>
    <row r="78" spans="1:14" ht="13.5" customHeight="1" thickBot="1">
      <c r="A78" s="8" t="s">
        <v>136</v>
      </c>
      <c r="B78" s="9" t="s">
        <v>7</v>
      </c>
      <c r="C78" s="10" t="s">
        <v>7</v>
      </c>
      <c r="D78" s="11" t="s">
        <v>137</v>
      </c>
      <c r="E78" s="12">
        <v>45866</v>
      </c>
      <c r="F78" s="13" t="s">
        <v>138</v>
      </c>
      <c r="G78" s="13" t="s">
        <v>139</v>
      </c>
      <c r="H78" s="13" t="s">
        <v>140</v>
      </c>
      <c r="I78" s="13" t="s">
        <v>141</v>
      </c>
      <c r="J78" s="14" t="s">
        <v>29</v>
      </c>
      <c r="K78" s="15">
        <v>45874</v>
      </c>
      <c r="L78" s="15">
        <v>45873</v>
      </c>
      <c r="M78" s="3" t="s">
        <v>158</v>
      </c>
      <c r="N78" s="29">
        <v>74279.91</v>
      </c>
    </row>
    <row r="79" spans="1:14" ht="13.5" thickBot="1">
      <c r="A79" s="8" t="s">
        <v>136</v>
      </c>
      <c r="B79" s="9" t="s">
        <v>8</v>
      </c>
      <c r="C79" s="11" t="s">
        <v>16</v>
      </c>
      <c r="D79" s="11"/>
      <c r="E79" s="12">
        <v>45870</v>
      </c>
      <c r="F79" s="11"/>
      <c r="G79" s="11"/>
      <c r="H79" s="11"/>
      <c r="I79" s="28">
        <v>573285.05000000005</v>
      </c>
      <c r="J79" s="14" t="s">
        <v>4</v>
      </c>
      <c r="K79" s="15">
        <v>45877</v>
      </c>
      <c r="L79" s="15">
        <v>45877</v>
      </c>
      <c r="M79" s="3" t="s">
        <v>158</v>
      </c>
      <c r="N79" s="29">
        <v>573285.05000000005</v>
      </c>
    </row>
    <row r="80" spans="1:14" ht="13.5" customHeight="1" thickBot="1">
      <c r="A80" s="8" t="s">
        <v>136</v>
      </c>
      <c r="B80" s="9" t="s">
        <v>9</v>
      </c>
      <c r="C80" s="11" t="s">
        <v>10</v>
      </c>
      <c r="D80" s="11" t="s">
        <v>11</v>
      </c>
      <c r="E80" s="12">
        <v>45877</v>
      </c>
      <c r="F80" s="13" t="s">
        <v>31</v>
      </c>
      <c r="G80" s="13" t="s">
        <v>32</v>
      </c>
      <c r="H80" s="11"/>
      <c r="I80" s="13" t="s">
        <v>33</v>
      </c>
      <c r="J80" s="14" t="s">
        <v>4</v>
      </c>
      <c r="K80" s="15">
        <v>45891</v>
      </c>
      <c r="L80" s="15">
        <v>45891</v>
      </c>
      <c r="M80" s="3" t="s">
        <v>158</v>
      </c>
      <c r="N80" s="29">
        <v>30230</v>
      </c>
    </row>
    <row r="81" spans="1:14" ht="13.5" customHeight="1" thickBot="1">
      <c r="A81" s="8" t="s">
        <v>136</v>
      </c>
      <c r="B81" s="9" t="s">
        <v>160</v>
      </c>
      <c r="C81" s="11" t="s">
        <v>161</v>
      </c>
      <c r="D81" s="11" t="s">
        <v>233</v>
      </c>
      <c r="E81" s="12">
        <v>45869</v>
      </c>
      <c r="F81" s="13" t="s">
        <v>163</v>
      </c>
      <c r="G81" s="13" t="s">
        <v>164</v>
      </c>
      <c r="H81" s="11"/>
      <c r="I81" s="13" t="s">
        <v>165</v>
      </c>
      <c r="J81" s="14" t="s">
        <v>171</v>
      </c>
      <c r="K81" s="15">
        <v>45888</v>
      </c>
      <c r="L81" s="15">
        <v>45888</v>
      </c>
      <c r="M81" s="23" t="s">
        <v>247</v>
      </c>
      <c r="N81" s="29">
        <v>90000</v>
      </c>
    </row>
    <row r="82" spans="1:14" ht="13.5" customHeight="1" thickBot="1">
      <c r="A82" s="8" t="s">
        <v>136</v>
      </c>
      <c r="B82" s="9" t="s">
        <v>74</v>
      </c>
      <c r="C82" s="11" t="s">
        <v>75</v>
      </c>
      <c r="D82" s="11" t="s">
        <v>234</v>
      </c>
      <c r="E82" s="12">
        <v>45881</v>
      </c>
      <c r="F82" s="13" t="s">
        <v>77</v>
      </c>
      <c r="G82" s="13" t="s">
        <v>78</v>
      </c>
      <c r="H82" s="11"/>
      <c r="I82" s="13" t="s">
        <v>79</v>
      </c>
      <c r="J82" s="14" t="s">
        <v>171</v>
      </c>
      <c r="K82" s="15">
        <v>45891</v>
      </c>
      <c r="L82" s="15">
        <v>45891</v>
      </c>
      <c r="M82" s="23" t="s">
        <v>247</v>
      </c>
      <c r="N82" s="29">
        <v>41895</v>
      </c>
    </row>
    <row r="83" spans="1:14" ht="13.5" customHeight="1" thickBot="1">
      <c r="A83" s="8" t="s">
        <v>136</v>
      </c>
      <c r="B83" s="9" t="s">
        <v>18</v>
      </c>
      <c r="C83" s="27" t="s">
        <v>19</v>
      </c>
      <c r="D83" s="11" t="s">
        <v>51</v>
      </c>
      <c r="E83" s="11"/>
      <c r="F83" s="11"/>
      <c r="G83" s="13" t="s">
        <v>1</v>
      </c>
      <c r="H83" s="11"/>
      <c r="I83" s="11"/>
      <c r="J83" s="11"/>
      <c r="K83" s="11"/>
      <c r="L83" s="11"/>
      <c r="M83" s="23" t="s">
        <v>247</v>
      </c>
      <c r="N83" s="29">
        <v>0</v>
      </c>
    </row>
    <row r="84" spans="1:14" ht="13.5" thickBot="1">
      <c r="A84" s="8" t="s">
        <v>136</v>
      </c>
      <c r="B84" s="9" t="s">
        <v>5</v>
      </c>
      <c r="C84" s="11" t="s">
        <v>22</v>
      </c>
      <c r="D84" s="11" t="s">
        <v>235</v>
      </c>
      <c r="E84" s="12">
        <v>45870</v>
      </c>
      <c r="F84" s="28">
        <v>1741513.44</v>
      </c>
      <c r="G84" s="13" t="s">
        <v>237</v>
      </c>
      <c r="H84" s="11"/>
      <c r="I84" s="13" t="s">
        <v>238</v>
      </c>
      <c r="J84" s="14" t="s">
        <v>171</v>
      </c>
      <c r="K84" s="15">
        <v>45881</v>
      </c>
      <c r="L84" s="15">
        <v>45881</v>
      </c>
      <c r="M84" s="23" t="s">
        <v>247</v>
      </c>
      <c r="N84" s="29">
        <v>1741513.44</v>
      </c>
    </row>
    <row r="85" spans="1:14" ht="13.5" thickBot="1">
      <c r="A85" s="8" t="s">
        <v>136</v>
      </c>
      <c r="B85" s="9" t="s">
        <v>8</v>
      </c>
      <c r="C85" s="11" t="s">
        <v>16</v>
      </c>
      <c r="D85" s="11"/>
      <c r="E85" s="11"/>
      <c r="F85" s="11"/>
      <c r="G85" s="11"/>
      <c r="H85" s="11"/>
      <c r="I85" s="11"/>
      <c r="J85" s="11"/>
      <c r="K85" s="11"/>
      <c r="L85" s="11"/>
      <c r="M85" s="23" t="s">
        <v>247</v>
      </c>
      <c r="N85" s="29">
        <v>0</v>
      </c>
    </row>
    <row r="86" spans="1:14" ht="13.5" customHeight="1" thickBot="1">
      <c r="A86" s="8" t="s">
        <v>143</v>
      </c>
      <c r="B86" s="9" t="s">
        <v>18</v>
      </c>
      <c r="C86" s="10" t="s">
        <v>19</v>
      </c>
      <c r="D86" s="11" t="s">
        <v>20</v>
      </c>
      <c r="E86" s="12">
        <v>45903</v>
      </c>
      <c r="F86" s="11"/>
      <c r="G86" s="13" t="s">
        <v>1</v>
      </c>
      <c r="H86" s="11"/>
      <c r="I86" s="13" t="s">
        <v>21</v>
      </c>
      <c r="J86" s="14" t="s">
        <v>4</v>
      </c>
      <c r="K86" s="15">
        <v>45919</v>
      </c>
      <c r="L86" s="11"/>
      <c r="M86" s="3" t="s">
        <v>158</v>
      </c>
      <c r="N86" s="29">
        <v>20000</v>
      </c>
    </row>
    <row r="87" spans="1:14" ht="13.5" customHeight="1" thickBot="1">
      <c r="A87" s="8" t="s">
        <v>143</v>
      </c>
      <c r="B87" s="9" t="s">
        <v>8</v>
      </c>
      <c r="C87" s="11" t="s">
        <v>16</v>
      </c>
      <c r="D87" s="11"/>
      <c r="E87" s="12">
        <v>45870</v>
      </c>
      <c r="F87" s="11"/>
      <c r="G87" s="11"/>
      <c r="H87" s="11"/>
      <c r="I87" s="28">
        <v>573285.05000000005</v>
      </c>
      <c r="J87" s="14" t="s">
        <v>4</v>
      </c>
      <c r="K87" s="15">
        <v>45877</v>
      </c>
      <c r="L87" s="15">
        <v>45877</v>
      </c>
      <c r="M87" s="3" t="s">
        <v>158</v>
      </c>
      <c r="N87" s="29">
        <v>573285.05000000005</v>
      </c>
    </row>
    <row r="88" spans="1:14" ht="13.5" customHeight="1" thickBot="1">
      <c r="A88" s="8" t="s">
        <v>143</v>
      </c>
      <c r="B88" s="9" t="s">
        <v>9</v>
      </c>
      <c r="C88" s="11" t="s">
        <v>10</v>
      </c>
      <c r="D88" s="11" t="s">
        <v>11</v>
      </c>
      <c r="E88" s="12">
        <v>45877</v>
      </c>
      <c r="F88" s="13" t="s">
        <v>31</v>
      </c>
      <c r="G88" s="13" t="s">
        <v>32</v>
      </c>
      <c r="H88" s="11"/>
      <c r="I88" s="13" t="s">
        <v>33</v>
      </c>
      <c r="J88" s="14" t="s">
        <v>4</v>
      </c>
      <c r="K88" s="15">
        <v>45891</v>
      </c>
      <c r="L88" s="15">
        <v>45891</v>
      </c>
      <c r="M88" s="3" t="s">
        <v>158</v>
      </c>
      <c r="N88" s="29">
        <v>30230</v>
      </c>
    </row>
    <row r="89" spans="1:14" ht="13.5" customHeight="1" thickBot="1">
      <c r="A89" s="8" t="s">
        <v>143</v>
      </c>
      <c r="B89" s="9" t="s">
        <v>160</v>
      </c>
      <c r="C89" s="11" t="s">
        <v>161</v>
      </c>
      <c r="D89" s="11" t="s">
        <v>239</v>
      </c>
      <c r="E89" s="12">
        <v>45869</v>
      </c>
      <c r="F89" s="13" t="s">
        <v>240</v>
      </c>
      <c r="G89" s="13" t="s">
        <v>241</v>
      </c>
      <c r="H89" s="11"/>
      <c r="I89" s="13" t="s">
        <v>242</v>
      </c>
      <c r="J89" s="11" t="s">
        <v>166</v>
      </c>
      <c r="K89" s="15">
        <v>45890</v>
      </c>
      <c r="L89" s="15">
        <v>45890</v>
      </c>
      <c r="M89" s="23" t="s">
        <v>247</v>
      </c>
      <c r="N89" s="29">
        <v>290000</v>
      </c>
    </row>
    <row r="90" spans="1:14" ht="13.5" customHeight="1" thickBot="1">
      <c r="A90" s="8" t="s">
        <v>143</v>
      </c>
      <c r="B90" s="9" t="s">
        <v>5</v>
      </c>
      <c r="C90" s="11" t="s">
        <v>22</v>
      </c>
      <c r="D90" s="11" t="s">
        <v>243</v>
      </c>
      <c r="E90" s="12">
        <v>45870</v>
      </c>
      <c r="F90" s="28">
        <v>887700</v>
      </c>
      <c r="G90" s="13" t="s">
        <v>245</v>
      </c>
      <c r="H90" s="11"/>
      <c r="I90" s="13" t="s">
        <v>246</v>
      </c>
      <c r="J90" s="14" t="s">
        <v>171</v>
      </c>
      <c r="K90" s="15">
        <v>45881</v>
      </c>
      <c r="L90" s="15">
        <v>45881</v>
      </c>
      <c r="M90" s="23" t="s">
        <v>247</v>
      </c>
      <c r="N90" s="29">
        <v>887700</v>
      </c>
    </row>
    <row r="91" spans="1:14" ht="13.5" customHeight="1" thickBot="1">
      <c r="A91" s="8" t="s">
        <v>143</v>
      </c>
      <c r="B91" s="9" t="s">
        <v>7</v>
      </c>
      <c r="C91" s="11" t="s">
        <v>7</v>
      </c>
      <c r="D91" s="11" t="s">
        <v>15</v>
      </c>
      <c r="E91" s="11"/>
      <c r="F91" s="11"/>
      <c r="G91" s="13" t="s">
        <v>1</v>
      </c>
      <c r="H91" s="11"/>
      <c r="I91" s="13" t="s">
        <v>144</v>
      </c>
      <c r="J91" s="14" t="s">
        <v>29</v>
      </c>
      <c r="K91" s="15">
        <v>45875</v>
      </c>
      <c r="L91" s="15">
        <v>45873</v>
      </c>
      <c r="M91" s="23" t="s">
        <v>247</v>
      </c>
      <c r="N91" s="29">
        <v>104085.8</v>
      </c>
    </row>
    <row r="92" spans="1:14" ht="13.5" customHeight="1" thickBot="1">
      <c r="A92" s="8" t="s">
        <v>143</v>
      </c>
      <c r="B92" s="9" t="s">
        <v>8</v>
      </c>
      <c r="C92" s="11" t="s">
        <v>16</v>
      </c>
      <c r="D92" s="11"/>
      <c r="E92" s="11"/>
      <c r="F92" s="11"/>
      <c r="G92" s="11"/>
      <c r="H92" s="11"/>
      <c r="I92" s="11"/>
      <c r="J92" s="11"/>
      <c r="K92" s="11"/>
      <c r="L92" s="11"/>
      <c r="M92" s="23" t="s">
        <v>247</v>
      </c>
      <c r="N92" s="29">
        <v>0</v>
      </c>
    </row>
  </sheetData>
  <autoFilter ref="A1:M92"/>
  <sortState ref="A2:M11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16"/>
  <sheetViews>
    <sheetView topLeftCell="H1" workbookViewId="0">
      <selection activeCell="B39" sqref="B39"/>
    </sheetView>
  </sheetViews>
  <sheetFormatPr baseColWidth="10" defaultColWidth="11.58203125" defaultRowHeight="12.5"/>
  <cols>
    <col min="1" max="1" width="29.75" style="3" customWidth="1"/>
    <col min="2" max="2" width="18.33203125" style="3" bestFit="1" customWidth="1"/>
    <col min="3" max="3" width="47.9140625" style="3" bestFit="1" customWidth="1"/>
    <col min="4" max="4" width="18.33203125" style="3" bestFit="1" customWidth="1"/>
    <col min="5" max="5" width="17.33203125" style="3" bestFit="1" customWidth="1"/>
    <col min="6" max="7" width="13" style="3" bestFit="1" customWidth="1"/>
    <col min="8" max="8" width="16.9140625" style="3" bestFit="1" customWidth="1"/>
    <col min="9" max="9" width="13" style="3" bestFit="1" customWidth="1"/>
    <col min="10" max="10" width="18.25" style="3" bestFit="1" customWidth="1"/>
    <col min="11" max="11" width="17.4140625" style="3" bestFit="1" customWidth="1"/>
    <col min="12" max="12" width="15.4140625" style="3" bestFit="1" customWidth="1"/>
    <col min="13" max="13" width="10.75" style="3" bestFit="1" customWidth="1"/>
    <col min="14" max="16384" width="11.58203125" style="3"/>
  </cols>
  <sheetData>
    <row r="1" spans="1:13" ht="13.5" thickBot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2" t="s">
        <v>157</v>
      </c>
    </row>
    <row r="2" spans="1:13" ht="13.5" hidden="1" thickBot="1">
      <c r="A2" s="4" t="s">
        <v>0</v>
      </c>
      <c r="B2" s="5"/>
      <c r="C2" s="5"/>
      <c r="D2" s="5"/>
      <c r="E2" s="5"/>
      <c r="F2" s="5"/>
      <c r="G2" s="6" t="s">
        <v>1</v>
      </c>
      <c r="H2" s="5"/>
      <c r="I2" s="5"/>
      <c r="J2" s="5"/>
      <c r="K2" s="7">
        <v>45870</v>
      </c>
      <c r="L2" s="7">
        <v>45870</v>
      </c>
      <c r="M2" s="7">
        <v>45871</v>
      </c>
    </row>
    <row r="3" spans="1:13" ht="13.5" hidden="1" thickBot="1">
      <c r="A3" s="8" t="s">
        <v>17</v>
      </c>
      <c r="B3" s="9" t="s">
        <v>18</v>
      </c>
      <c r="C3" s="10" t="s">
        <v>19</v>
      </c>
      <c r="D3" s="11" t="s">
        <v>20</v>
      </c>
      <c r="E3" s="12">
        <v>45903</v>
      </c>
      <c r="F3" s="11"/>
      <c r="G3" s="13" t="s">
        <v>1</v>
      </c>
      <c r="H3" s="11"/>
      <c r="I3" s="13" t="s">
        <v>21</v>
      </c>
      <c r="J3" s="14" t="s">
        <v>4</v>
      </c>
      <c r="K3" s="15">
        <v>45919</v>
      </c>
      <c r="L3" s="11"/>
      <c r="M3" s="3" t="s">
        <v>158</v>
      </c>
    </row>
    <row r="4" spans="1:13" ht="13.5" hidden="1" thickBot="1">
      <c r="A4" s="8" t="s">
        <v>17</v>
      </c>
      <c r="B4" s="9" t="s">
        <v>5</v>
      </c>
      <c r="C4" s="11" t="s">
        <v>22</v>
      </c>
      <c r="D4" s="11" t="s">
        <v>23</v>
      </c>
      <c r="E4" s="11"/>
      <c r="F4" s="11"/>
      <c r="G4" s="13" t="s">
        <v>1</v>
      </c>
      <c r="H4" s="11"/>
      <c r="I4" s="11"/>
      <c r="J4" s="14" t="s">
        <v>4</v>
      </c>
      <c r="K4" s="11"/>
      <c r="L4" s="11"/>
      <c r="M4" s="3" t="s">
        <v>158</v>
      </c>
    </row>
    <row r="5" spans="1:13" ht="13.5" hidden="1" thickBot="1">
      <c r="A5" s="8" t="s">
        <v>17</v>
      </c>
      <c r="B5" s="9" t="s">
        <v>7</v>
      </c>
      <c r="C5" s="10" t="s">
        <v>7</v>
      </c>
      <c r="D5" s="11" t="s">
        <v>24</v>
      </c>
      <c r="E5" s="12">
        <v>45866</v>
      </c>
      <c r="F5" s="13" t="s">
        <v>25</v>
      </c>
      <c r="G5" s="13" t="s">
        <v>26</v>
      </c>
      <c r="H5" s="13" t="s">
        <v>27</v>
      </c>
      <c r="I5" s="13" t="s">
        <v>28</v>
      </c>
      <c r="J5" s="14" t="s">
        <v>29</v>
      </c>
      <c r="K5" s="15">
        <v>45874</v>
      </c>
      <c r="L5" s="15">
        <v>45873</v>
      </c>
      <c r="M5" s="3" t="s">
        <v>158</v>
      </c>
    </row>
    <row r="6" spans="1:13" ht="13.5" hidden="1" thickBot="1">
      <c r="A6" s="8" t="s">
        <v>17</v>
      </c>
      <c r="B6" s="9" t="s">
        <v>8</v>
      </c>
      <c r="C6" s="11" t="s">
        <v>16</v>
      </c>
      <c r="D6" s="11"/>
      <c r="E6" s="12">
        <v>45870</v>
      </c>
      <c r="F6" s="11"/>
      <c r="G6" s="11"/>
      <c r="H6" s="11"/>
      <c r="I6" s="13" t="s">
        <v>30</v>
      </c>
      <c r="J6" s="14" t="s">
        <v>4</v>
      </c>
      <c r="K6" s="15">
        <v>45877</v>
      </c>
      <c r="L6" s="15">
        <v>45877</v>
      </c>
      <c r="M6" s="3" t="s">
        <v>158</v>
      </c>
    </row>
    <row r="7" spans="1:13" ht="13.5" hidden="1" thickBot="1">
      <c r="A7" s="8" t="s">
        <v>17</v>
      </c>
      <c r="B7" s="9" t="s">
        <v>9</v>
      </c>
      <c r="C7" s="11" t="s">
        <v>10</v>
      </c>
      <c r="D7" s="11" t="s">
        <v>11</v>
      </c>
      <c r="E7" s="12">
        <v>45877</v>
      </c>
      <c r="F7" s="13" t="s">
        <v>31</v>
      </c>
      <c r="G7" s="13" t="s">
        <v>32</v>
      </c>
      <c r="H7" s="11"/>
      <c r="I7" s="13" t="s">
        <v>33</v>
      </c>
      <c r="J7" s="14" t="s">
        <v>4</v>
      </c>
      <c r="K7" s="15">
        <v>45891</v>
      </c>
      <c r="L7" s="15">
        <v>45891</v>
      </c>
      <c r="M7" s="3" t="s">
        <v>158</v>
      </c>
    </row>
    <row r="8" spans="1:13" ht="13.5" hidden="1" thickBot="1">
      <c r="A8" s="8" t="s">
        <v>17</v>
      </c>
      <c r="B8" s="9" t="s">
        <v>12</v>
      </c>
      <c r="C8" s="10" t="s">
        <v>34</v>
      </c>
      <c r="D8" s="11" t="s">
        <v>35</v>
      </c>
      <c r="E8" s="12">
        <v>45882</v>
      </c>
      <c r="F8" s="13" t="s">
        <v>36</v>
      </c>
      <c r="G8" s="13" t="s">
        <v>37</v>
      </c>
      <c r="H8" s="13" t="s">
        <v>38</v>
      </c>
      <c r="I8" s="13" t="s">
        <v>39</v>
      </c>
      <c r="J8" s="14" t="s">
        <v>29</v>
      </c>
      <c r="K8" s="15">
        <v>45894</v>
      </c>
      <c r="L8" s="15">
        <v>45894</v>
      </c>
      <c r="M8" s="3" t="s">
        <v>158</v>
      </c>
    </row>
    <row r="9" spans="1:13" ht="13.5" hidden="1" thickBot="1">
      <c r="A9" s="8" t="s">
        <v>17</v>
      </c>
      <c r="B9" s="9" t="s">
        <v>40</v>
      </c>
      <c r="C9" s="11" t="s">
        <v>41</v>
      </c>
      <c r="D9" s="11" t="s">
        <v>42</v>
      </c>
      <c r="E9" s="12">
        <v>45868</v>
      </c>
      <c r="F9" s="13" t="s">
        <v>43</v>
      </c>
      <c r="G9" s="13" t="s">
        <v>44</v>
      </c>
      <c r="H9" s="11"/>
      <c r="I9" s="13" t="s">
        <v>45</v>
      </c>
      <c r="J9" s="14" t="s">
        <v>4</v>
      </c>
      <c r="K9" s="15">
        <v>45884</v>
      </c>
      <c r="L9" s="15">
        <v>45884</v>
      </c>
      <c r="M9" s="3" t="s">
        <v>158</v>
      </c>
    </row>
    <row r="10" spans="1:13" ht="13.5" hidden="1" thickBot="1">
      <c r="A10" s="8" t="s">
        <v>17</v>
      </c>
      <c r="B10" s="9" t="s">
        <v>40</v>
      </c>
      <c r="C10" s="11" t="s">
        <v>46</v>
      </c>
      <c r="D10" s="11" t="s">
        <v>47</v>
      </c>
      <c r="E10" s="12">
        <v>45887</v>
      </c>
      <c r="F10" s="13" t="s">
        <v>48</v>
      </c>
      <c r="G10" s="13" t="s">
        <v>1</v>
      </c>
      <c r="H10" s="11"/>
      <c r="I10" s="13" t="s">
        <v>48</v>
      </c>
      <c r="J10" s="14" t="s">
        <v>4</v>
      </c>
      <c r="K10" s="15">
        <v>45895</v>
      </c>
      <c r="L10" s="15">
        <v>45895</v>
      </c>
      <c r="M10" s="3" t="s">
        <v>158</v>
      </c>
    </row>
    <row r="11" spans="1:13" ht="13.5" hidden="1" thickBot="1">
      <c r="A11" s="8" t="s">
        <v>49</v>
      </c>
      <c r="B11" s="9" t="s">
        <v>2</v>
      </c>
      <c r="C11" s="11" t="s">
        <v>3</v>
      </c>
      <c r="D11" s="11" t="s">
        <v>50</v>
      </c>
      <c r="E11" s="11"/>
      <c r="F11" s="11"/>
      <c r="G11" s="13" t="s">
        <v>1</v>
      </c>
      <c r="H11" s="11"/>
      <c r="I11" s="11"/>
      <c r="J11" s="14" t="s">
        <v>4</v>
      </c>
      <c r="K11" s="11"/>
      <c r="L11" s="11"/>
      <c r="M11" s="3" t="s">
        <v>158</v>
      </c>
    </row>
    <row r="12" spans="1:13" ht="13.5" hidden="1" thickBot="1">
      <c r="A12" s="8" t="s">
        <v>49</v>
      </c>
      <c r="B12" s="9" t="s">
        <v>18</v>
      </c>
      <c r="C12" s="10" t="s">
        <v>19</v>
      </c>
      <c r="D12" s="11" t="s">
        <v>51</v>
      </c>
      <c r="E12" s="11"/>
      <c r="F12" s="11"/>
      <c r="G12" s="13" t="s">
        <v>1</v>
      </c>
      <c r="H12" s="11"/>
      <c r="I12" s="11"/>
      <c r="J12" s="14" t="s">
        <v>4</v>
      </c>
      <c r="K12" s="11"/>
      <c r="L12" s="11"/>
      <c r="M12" s="3" t="s">
        <v>158</v>
      </c>
    </row>
    <row r="13" spans="1:13" ht="13.5" hidden="1" thickBot="1">
      <c r="A13" s="8" t="s">
        <v>49</v>
      </c>
      <c r="B13" s="9" t="s">
        <v>5</v>
      </c>
      <c r="C13" s="16"/>
      <c r="D13" s="16"/>
      <c r="E13" s="16"/>
      <c r="F13" s="16"/>
      <c r="G13" s="17" t="s">
        <v>1</v>
      </c>
      <c r="H13" s="16"/>
      <c r="I13" s="16"/>
      <c r="J13" s="16"/>
      <c r="K13" s="16"/>
      <c r="L13" s="16"/>
      <c r="M13" s="3" t="s">
        <v>158</v>
      </c>
    </row>
    <row r="14" spans="1:13" ht="13.5" hidden="1" thickBot="1">
      <c r="A14" s="8" t="s">
        <v>49</v>
      </c>
      <c r="B14" s="9" t="s">
        <v>6</v>
      </c>
      <c r="C14" s="11" t="s">
        <v>3</v>
      </c>
      <c r="D14" s="11" t="s">
        <v>50</v>
      </c>
      <c r="E14" s="11"/>
      <c r="F14" s="11"/>
      <c r="G14" s="13" t="s">
        <v>1</v>
      </c>
      <c r="H14" s="11"/>
      <c r="I14" s="11"/>
      <c r="J14" s="14" t="s">
        <v>4</v>
      </c>
      <c r="K14" s="11"/>
      <c r="L14" s="11"/>
      <c r="M14" s="3" t="s">
        <v>158</v>
      </c>
    </row>
    <row r="15" spans="1:13" ht="13.5" hidden="1" thickBot="1">
      <c r="A15" s="8" t="s">
        <v>49</v>
      </c>
      <c r="B15" s="9" t="s">
        <v>7</v>
      </c>
      <c r="C15" s="10" t="s">
        <v>7</v>
      </c>
      <c r="D15" s="11" t="s">
        <v>52</v>
      </c>
      <c r="E15" s="12">
        <v>45867</v>
      </c>
      <c r="F15" s="13" t="s">
        <v>53</v>
      </c>
      <c r="G15" s="13" t="s">
        <v>54</v>
      </c>
      <c r="H15" s="13" t="s">
        <v>55</v>
      </c>
      <c r="I15" s="13" t="s">
        <v>56</v>
      </c>
      <c r="J15" s="14" t="s">
        <v>29</v>
      </c>
      <c r="K15" s="15">
        <v>45875</v>
      </c>
      <c r="L15" s="15">
        <v>45873</v>
      </c>
      <c r="M15" s="3" t="s">
        <v>158</v>
      </c>
    </row>
    <row r="16" spans="1:13" ht="13.5" hidden="1" thickBot="1">
      <c r="A16" s="8" t="s">
        <v>49</v>
      </c>
      <c r="B16" s="9" t="s">
        <v>7</v>
      </c>
      <c r="C16" s="10" t="s">
        <v>7</v>
      </c>
      <c r="D16" s="11" t="s">
        <v>57</v>
      </c>
      <c r="E16" s="12">
        <v>45867</v>
      </c>
      <c r="F16" s="13" t="s">
        <v>58</v>
      </c>
      <c r="G16" s="13" t="s">
        <v>59</v>
      </c>
      <c r="H16" s="13" t="s">
        <v>60</v>
      </c>
      <c r="I16" s="13" t="s">
        <v>61</v>
      </c>
      <c r="J16" s="14" t="s">
        <v>29</v>
      </c>
      <c r="K16" s="15">
        <v>45875</v>
      </c>
      <c r="L16" s="15">
        <v>45873</v>
      </c>
      <c r="M16" s="3" t="s">
        <v>158</v>
      </c>
    </row>
    <row r="17" spans="1:13" ht="13.5" hidden="1" thickBot="1">
      <c r="A17" s="8" t="s">
        <v>49</v>
      </c>
      <c r="B17" s="9" t="s">
        <v>7</v>
      </c>
      <c r="C17" s="10" t="s">
        <v>7</v>
      </c>
      <c r="D17" s="11" t="s">
        <v>62</v>
      </c>
      <c r="E17" s="12">
        <v>45873</v>
      </c>
      <c r="F17" s="13" t="s">
        <v>63</v>
      </c>
      <c r="G17" s="13" t="s">
        <v>64</v>
      </c>
      <c r="H17" s="13" t="s">
        <v>65</v>
      </c>
      <c r="I17" s="13" t="s">
        <v>66</v>
      </c>
      <c r="J17" s="14" t="s">
        <v>67</v>
      </c>
      <c r="K17" s="15">
        <v>45881</v>
      </c>
      <c r="L17" s="15">
        <v>45881</v>
      </c>
      <c r="M17" s="3" t="s">
        <v>158</v>
      </c>
    </row>
    <row r="18" spans="1:13" ht="13.5" hidden="1" thickBot="1">
      <c r="A18" s="8" t="s">
        <v>49</v>
      </c>
      <c r="B18" s="9" t="s">
        <v>8</v>
      </c>
      <c r="C18" s="11" t="s">
        <v>3</v>
      </c>
      <c r="D18" s="11" t="s">
        <v>50</v>
      </c>
      <c r="E18" s="11"/>
      <c r="F18" s="11"/>
      <c r="G18" s="13" t="s">
        <v>1</v>
      </c>
      <c r="H18" s="11"/>
      <c r="I18" s="11"/>
      <c r="J18" s="14" t="s">
        <v>4</v>
      </c>
      <c r="K18" s="11"/>
      <c r="L18" s="11"/>
      <c r="M18" s="3" t="s">
        <v>158</v>
      </c>
    </row>
    <row r="19" spans="1:13" ht="13.5" hidden="1" thickBot="1">
      <c r="A19" s="8" t="s">
        <v>49</v>
      </c>
      <c r="B19" s="9" t="s">
        <v>9</v>
      </c>
      <c r="C19" s="11" t="s">
        <v>10</v>
      </c>
      <c r="D19" s="11" t="s">
        <v>23</v>
      </c>
      <c r="E19" s="11"/>
      <c r="F19" s="11"/>
      <c r="G19" s="13" t="s">
        <v>1</v>
      </c>
      <c r="H19" s="11"/>
      <c r="I19" s="11"/>
      <c r="J19" s="14" t="s">
        <v>4</v>
      </c>
      <c r="K19" s="11"/>
      <c r="L19" s="11"/>
      <c r="M19" s="3" t="s">
        <v>158</v>
      </c>
    </row>
    <row r="20" spans="1:13" ht="13.5" hidden="1" thickBot="1">
      <c r="A20" s="8" t="s">
        <v>49</v>
      </c>
      <c r="B20" s="9" t="s">
        <v>12</v>
      </c>
      <c r="C20" s="10" t="s">
        <v>13</v>
      </c>
      <c r="D20" s="11" t="s">
        <v>68</v>
      </c>
      <c r="E20" s="12">
        <v>45855</v>
      </c>
      <c r="F20" s="13" t="s">
        <v>69</v>
      </c>
      <c r="G20" s="13" t="s">
        <v>70</v>
      </c>
      <c r="H20" s="13" t="s">
        <v>71</v>
      </c>
      <c r="I20" s="13" t="s">
        <v>72</v>
      </c>
      <c r="J20" s="11" t="s">
        <v>14</v>
      </c>
      <c r="K20" s="15">
        <v>45874</v>
      </c>
      <c r="L20" s="15">
        <v>45874</v>
      </c>
      <c r="M20" s="3" t="s">
        <v>158</v>
      </c>
    </row>
    <row r="21" spans="1:13" ht="13.5" hidden="1" thickBot="1">
      <c r="A21" s="8" t="s">
        <v>73</v>
      </c>
      <c r="B21" s="9" t="s">
        <v>74</v>
      </c>
      <c r="C21" s="11" t="s">
        <v>75</v>
      </c>
      <c r="D21" s="11" t="s">
        <v>76</v>
      </c>
      <c r="E21" s="12">
        <v>45881</v>
      </c>
      <c r="F21" s="13" t="s">
        <v>77</v>
      </c>
      <c r="G21" s="13" t="s">
        <v>78</v>
      </c>
      <c r="H21" s="11"/>
      <c r="I21" s="13" t="s">
        <v>79</v>
      </c>
      <c r="J21" s="14" t="s">
        <v>4</v>
      </c>
      <c r="K21" s="15">
        <v>45891</v>
      </c>
      <c r="L21" s="15">
        <v>45891</v>
      </c>
      <c r="M21" s="3" t="s">
        <v>158</v>
      </c>
    </row>
    <row r="22" spans="1:13" ht="13.5" hidden="1" thickBot="1">
      <c r="A22" s="8" t="s">
        <v>73</v>
      </c>
      <c r="B22" s="9" t="s">
        <v>18</v>
      </c>
      <c r="C22" s="10" t="s">
        <v>19</v>
      </c>
      <c r="D22" s="11" t="s">
        <v>20</v>
      </c>
      <c r="E22" s="12">
        <v>45903</v>
      </c>
      <c r="F22" s="11"/>
      <c r="G22" s="13" t="s">
        <v>1</v>
      </c>
      <c r="H22" s="11"/>
      <c r="I22" s="13" t="s">
        <v>80</v>
      </c>
      <c r="J22" s="14" t="s">
        <v>4</v>
      </c>
      <c r="K22" s="15">
        <v>45919</v>
      </c>
      <c r="L22" s="11"/>
      <c r="M22" s="3" t="s">
        <v>158</v>
      </c>
    </row>
    <row r="23" spans="1:13" ht="13.5" hidden="1" thickBot="1">
      <c r="A23" s="8" t="s">
        <v>73</v>
      </c>
      <c r="B23" s="9" t="s">
        <v>5</v>
      </c>
      <c r="C23" s="11" t="s">
        <v>81</v>
      </c>
      <c r="D23" s="11" t="s">
        <v>82</v>
      </c>
      <c r="E23" s="12">
        <v>45870</v>
      </c>
      <c r="F23" s="11"/>
      <c r="G23" s="13" t="s">
        <v>1</v>
      </c>
      <c r="H23" s="11"/>
      <c r="I23" s="13" t="s">
        <v>83</v>
      </c>
      <c r="J23" s="14" t="s">
        <v>4</v>
      </c>
      <c r="K23" s="15">
        <v>45880</v>
      </c>
      <c r="L23" s="15">
        <v>45880</v>
      </c>
      <c r="M23" s="3" t="s">
        <v>158</v>
      </c>
    </row>
    <row r="24" spans="1:13" ht="13.5" hidden="1" thickBot="1">
      <c r="A24" s="8" t="s">
        <v>73</v>
      </c>
      <c r="B24" s="9" t="s">
        <v>7</v>
      </c>
      <c r="C24" s="10" t="s">
        <v>7</v>
      </c>
      <c r="D24" s="11" t="s">
        <v>84</v>
      </c>
      <c r="E24" s="12">
        <v>45866</v>
      </c>
      <c r="F24" s="13" t="s">
        <v>85</v>
      </c>
      <c r="G24" s="13" t="s">
        <v>86</v>
      </c>
      <c r="H24" s="13" t="s">
        <v>87</v>
      </c>
      <c r="I24" s="13" t="s">
        <v>88</v>
      </c>
      <c r="J24" s="14" t="s">
        <v>29</v>
      </c>
      <c r="K24" s="15">
        <v>45874</v>
      </c>
      <c r="L24" s="15">
        <v>45873</v>
      </c>
      <c r="M24" s="3" t="s">
        <v>158</v>
      </c>
    </row>
    <row r="25" spans="1:13" ht="13.5" hidden="1" thickBot="1">
      <c r="A25" s="8" t="s">
        <v>73</v>
      </c>
      <c r="B25" s="9" t="s">
        <v>7</v>
      </c>
      <c r="C25" s="10" t="s">
        <v>7</v>
      </c>
      <c r="D25" s="11" t="s">
        <v>89</v>
      </c>
      <c r="E25" s="12">
        <v>45866</v>
      </c>
      <c r="F25" s="13" t="s">
        <v>90</v>
      </c>
      <c r="G25" s="13" t="s">
        <v>91</v>
      </c>
      <c r="H25" s="13" t="s">
        <v>92</v>
      </c>
      <c r="I25" s="13" t="s">
        <v>93</v>
      </c>
      <c r="J25" s="14" t="s">
        <v>29</v>
      </c>
      <c r="K25" s="15">
        <v>45874</v>
      </c>
      <c r="L25" s="15">
        <v>45873</v>
      </c>
      <c r="M25" s="3" t="s">
        <v>158</v>
      </c>
    </row>
    <row r="26" spans="1:13" ht="13.5" hidden="1" thickBot="1">
      <c r="A26" s="8" t="s">
        <v>73</v>
      </c>
      <c r="B26" s="9" t="s">
        <v>8</v>
      </c>
      <c r="C26" s="11" t="s">
        <v>94</v>
      </c>
      <c r="D26" s="11" t="s">
        <v>15</v>
      </c>
      <c r="E26" s="12">
        <v>45870</v>
      </c>
      <c r="F26" s="11"/>
      <c r="G26" s="13" t="s">
        <v>1</v>
      </c>
      <c r="H26" s="11"/>
      <c r="I26" s="13" t="s">
        <v>95</v>
      </c>
      <c r="J26" s="14" t="s">
        <v>96</v>
      </c>
      <c r="K26" s="15">
        <v>45881</v>
      </c>
      <c r="L26" s="15">
        <v>45881</v>
      </c>
      <c r="M26" s="3" t="s">
        <v>158</v>
      </c>
    </row>
    <row r="27" spans="1:13" ht="13.5" hidden="1" thickBot="1">
      <c r="A27" s="8" t="s">
        <v>73</v>
      </c>
      <c r="B27" s="9" t="s">
        <v>9</v>
      </c>
      <c r="C27" s="11" t="s">
        <v>10</v>
      </c>
      <c r="D27" s="11" t="s">
        <v>11</v>
      </c>
      <c r="E27" s="12">
        <v>45877</v>
      </c>
      <c r="F27" s="13" t="s">
        <v>31</v>
      </c>
      <c r="G27" s="13" t="s">
        <v>32</v>
      </c>
      <c r="H27" s="11"/>
      <c r="I27" s="13" t="s">
        <v>33</v>
      </c>
      <c r="J27" s="14" t="s">
        <v>4</v>
      </c>
      <c r="K27" s="15">
        <v>45891</v>
      </c>
      <c r="L27" s="15">
        <v>45891</v>
      </c>
      <c r="M27" s="3" t="s">
        <v>158</v>
      </c>
    </row>
    <row r="28" spans="1:13" ht="13.5" hidden="1" thickBot="1">
      <c r="A28" s="8" t="s">
        <v>73</v>
      </c>
      <c r="B28" s="9" t="s">
        <v>12</v>
      </c>
      <c r="C28" s="10" t="s">
        <v>13</v>
      </c>
      <c r="D28" s="11" t="s">
        <v>97</v>
      </c>
      <c r="E28" s="12">
        <v>45855</v>
      </c>
      <c r="F28" s="13" t="s">
        <v>98</v>
      </c>
      <c r="G28" s="13" t="s">
        <v>99</v>
      </c>
      <c r="H28" s="13" t="s">
        <v>100</v>
      </c>
      <c r="I28" s="13" t="s">
        <v>101</v>
      </c>
      <c r="J28" s="14" t="s">
        <v>29</v>
      </c>
      <c r="K28" s="15">
        <v>45874</v>
      </c>
      <c r="L28" s="15">
        <v>45873</v>
      </c>
      <c r="M28" s="3" t="s">
        <v>158</v>
      </c>
    </row>
    <row r="29" spans="1:13" ht="13.5" thickBot="1">
      <c r="A29" s="8" t="s">
        <v>102</v>
      </c>
      <c r="B29" s="9" t="s">
        <v>12</v>
      </c>
      <c r="C29" s="10" t="s">
        <v>13</v>
      </c>
      <c r="D29" s="11" t="s">
        <v>103</v>
      </c>
      <c r="E29" s="12">
        <v>45855</v>
      </c>
      <c r="F29" s="13" t="s">
        <v>104</v>
      </c>
      <c r="G29" s="13" t="s">
        <v>105</v>
      </c>
      <c r="H29" s="13" t="s">
        <v>106</v>
      </c>
      <c r="I29" s="13" t="s">
        <v>107</v>
      </c>
      <c r="J29" s="14" t="s">
        <v>67</v>
      </c>
      <c r="K29" s="15">
        <v>45874</v>
      </c>
      <c r="L29" s="15">
        <v>45877</v>
      </c>
      <c r="M29" s="3" t="s">
        <v>158</v>
      </c>
    </row>
    <row r="30" spans="1:13" ht="13.5" thickBot="1">
      <c r="A30" s="8" t="s">
        <v>108</v>
      </c>
      <c r="B30" s="9" t="s">
        <v>5</v>
      </c>
      <c r="C30" s="16"/>
      <c r="D30" s="16"/>
      <c r="E30" s="16"/>
      <c r="F30" s="16"/>
      <c r="G30" s="17" t="s">
        <v>1</v>
      </c>
      <c r="H30" s="16"/>
      <c r="I30" s="16"/>
      <c r="J30" s="16"/>
      <c r="K30" s="16"/>
      <c r="L30" s="16"/>
      <c r="M30" s="3" t="s">
        <v>158</v>
      </c>
    </row>
    <row r="31" spans="1:13" ht="13.5" thickBot="1">
      <c r="A31" s="8" t="s">
        <v>108</v>
      </c>
      <c r="B31" s="9" t="s">
        <v>7</v>
      </c>
      <c r="C31" s="16"/>
      <c r="D31" s="16"/>
      <c r="E31" s="16"/>
      <c r="F31" s="16"/>
      <c r="G31" s="17" t="s">
        <v>1</v>
      </c>
      <c r="H31" s="16"/>
      <c r="I31" s="16"/>
      <c r="J31" s="16"/>
      <c r="K31" s="16"/>
      <c r="L31" s="16"/>
      <c r="M31" s="3" t="s">
        <v>158</v>
      </c>
    </row>
    <row r="32" spans="1:13" ht="13.5" thickBot="1">
      <c r="A32" s="8" t="s">
        <v>108</v>
      </c>
      <c r="B32" s="9" t="s">
        <v>8</v>
      </c>
      <c r="C32" s="16"/>
      <c r="D32" s="16"/>
      <c r="E32" s="16"/>
      <c r="F32" s="16"/>
      <c r="G32" s="17" t="s">
        <v>1</v>
      </c>
      <c r="H32" s="16"/>
      <c r="I32" s="16"/>
      <c r="J32" s="16"/>
      <c r="K32" s="16"/>
      <c r="L32" s="16"/>
      <c r="M32" s="3" t="s">
        <v>158</v>
      </c>
    </row>
    <row r="33" spans="1:13" ht="13.5" thickBot="1">
      <c r="A33" s="8" t="s">
        <v>108</v>
      </c>
      <c r="B33" s="9" t="s">
        <v>8</v>
      </c>
      <c r="C33" s="16"/>
      <c r="D33" s="16"/>
      <c r="E33" s="16"/>
      <c r="F33" s="16"/>
      <c r="G33" s="17" t="s">
        <v>1</v>
      </c>
      <c r="H33" s="16"/>
      <c r="I33" s="16"/>
      <c r="J33" s="16"/>
      <c r="K33" s="16"/>
      <c r="L33" s="16"/>
      <c r="M33" s="3" t="s">
        <v>158</v>
      </c>
    </row>
    <row r="34" spans="1:13" ht="13.5" thickBot="1">
      <c r="A34" s="8" t="s">
        <v>109</v>
      </c>
      <c r="B34" s="9" t="s">
        <v>5</v>
      </c>
      <c r="C34" s="16"/>
      <c r="D34" s="16"/>
      <c r="E34" s="16"/>
      <c r="F34" s="16"/>
      <c r="G34" s="17" t="s">
        <v>1</v>
      </c>
      <c r="H34" s="16"/>
      <c r="I34" s="16"/>
      <c r="J34" s="16"/>
      <c r="K34" s="16"/>
      <c r="L34" s="16"/>
      <c r="M34" s="3" t="s">
        <v>158</v>
      </c>
    </row>
    <row r="35" spans="1:13" ht="13.5" thickBot="1">
      <c r="A35" s="8" t="s">
        <v>109</v>
      </c>
      <c r="B35" s="9" t="s">
        <v>7</v>
      </c>
      <c r="C35" s="16"/>
      <c r="D35" s="16"/>
      <c r="E35" s="16"/>
      <c r="F35" s="16"/>
      <c r="G35" s="17" t="s">
        <v>1</v>
      </c>
      <c r="H35" s="16"/>
      <c r="I35" s="16"/>
      <c r="J35" s="16"/>
      <c r="K35" s="16"/>
      <c r="L35" s="16"/>
      <c r="M35" s="3" t="s">
        <v>158</v>
      </c>
    </row>
    <row r="36" spans="1:13" ht="13.5" thickBot="1">
      <c r="A36" s="8" t="s">
        <v>109</v>
      </c>
      <c r="B36" s="9" t="s">
        <v>8</v>
      </c>
      <c r="C36" s="16"/>
      <c r="D36" s="16"/>
      <c r="E36" s="16"/>
      <c r="F36" s="16"/>
      <c r="G36" s="17" t="s">
        <v>1</v>
      </c>
      <c r="H36" s="16"/>
      <c r="I36" s="16"/>
      <c r="J36" s="16"/>
      <c r="K36" s="16"/>
      <c r="L36" s="16"/>
      <c r="M36" s="3" t="s">
        <v>158</v>
      </c>
    </row>
    <row r="37" spans="1:13" ht="13.5" thickBot="1">
      <c r="A37" s="8" t="s">
        <v>110</v>
      </c>
      <c r="B37" s="9" t="s">
        <v>5</v>
      </c>
      <c r="C37" s="16"/>
      <c r="D37" s="16"/>
      <c r="E37" s="16"/>
      <c r="F37" s="16"/>
      <c r="G37" s="17" t="s">
        <v>1</v>
      </c>
      <c r="H37" s="16"/>
      <c r="I37" s="16"/>
      <c r="J37" s="16"/>
      <c r="K37" s="16"/>
      <c r="L37" s="16"/>
      <c r="M37" s="3" t="s">
        <v>158</v>
      </c>
    </row>
    <row r="38" spans="1:13" ht="13.5" thickBot="1">
      <c r="A38" s="8" t="s">
        <v>110</v>
      </c>
      <c r="B38" s="9" t="s">
        <v>18</v>
      </c>
      <c r="C38" s="10" t="s">
        <v>19</v>
      </c>
      <c r="D38" s="11" t="s">
        <v>20</v>
      </c>
      <c r="E38" s="12">
        <v>45903</v>
      </c>
      <c r="F38" s="11"/>
      <c r="G38" s="13" t="s">
        <v>1</v>
      </c>
      <c r="H38" s="11"/>
      <c r="I38" s="13" t="s">
        <v>80</v>
      </c>
      <c r="J38" s="14" t="s">
        <v>4</v>
      </c>
      <c r="K38" s="15">
        <v>45919</v>
      </c>
      <c r="L38" s="11"/>
      <c r="M38" s="3" t="s">
        <v>158</v>
      </c>
    </row>
    <row r="39" spans="1:13" ht="13.5" thickBot="1">
      <c r="A39" s="8" t="s">
        <v>111</v>
      </c>
      <c r="B39" s="9" t="s">
        <v>112</v>
      </c>
      <c r="C39" s="10" t="s">
        <v>113</v>
      </c>
      <c r="D39" s="10" t="s">
        <v>114</v>
      </c>
      <c r="E39" s="18">
        <v>45889</v>
      </c>
      <c r="F39" s="19" t="s">
        <v>115</v>
      </c>
      <c r="G39" s="19" t="s">
        <v>116</v>
      </c>
      <c r="H39" s="10"/>
      <c r="I39" s="19" t="s">
        <v>117</v>
      </c>
      <c r="J39" s="20" t="s">
        <v>4</v>
      </c>
      <c r="K39" s="21">
        <v>45898</v>
      </c>
      <c r="L39" s="21">
        <v>45898</v>
      </c>
      <c r="M39" s="3" t="s">
        <v>158</v>
      </c>
    </row>
    <row r="40" spans="1:13" ht="13.5" thickBot="1">
      <c r="A40" s="8" t="s">
        <v>111</v>
      </c>
      <c r="B40" s="9" t="s">
        <v>9</v>
      </c>
      <c r="C40" s="11" t="s">
        <v>10</v>
      </c>
      <c r="D40" s="11" t="s">
        <v>11</v>
      </c>
      <c r="E40" s="12">
        <v>45877</v>
      </c>
      <c r="F40" s="13" t="s">
        <v>31</v>
      </c>
      <c r="G40" s="13" t="s">
        <v>32</v>
      </c>
      <c r="H40" s="11"/>
      <c r="I40" s="13" t="s">
        <v>33</v>
      </c>
      <c r="J40" s="14" t="s">
        <v>4</v>
      </c>
      <c r="K40" s="15">
        <v>45891</v>
      </c>
      <c r="L40" s="15">
        <v>45891</v>
      </c>
      <c r="M40" s="3" t="s">
        <v>158</v>
      </c>
    </row>
    <row r="41" spans="1:13" ht="13.5" hidden="1" thickBot="1">
      <c r="A41" s="8" t="s">
        <v>118</v>
      </c>
      <c r="B41" s="9" t="s">
        <v>18</v>
      </c>
      <c r="C41" s="10" t="s">
        <v>19</v>
      </c>
      <c r="D41" s="11" t="s">
        <v>20</v>
      </c>
      <c r="E41" s="12">
        <v>45903</v>
      </c>
      <c r="F41" s="11"/>
      <c r="G41" s="13" t="s">
        <v>1</v>
      </c>
      <c r="H41" s="11"/>
      <c r="I41" s="13" t="s">
        <v>80</v>
      </c>
      <c r="J41" s="14" t="s">
        <v>4</v>
      </c>
      <c r="K41" s="15">
        <v>45919</v>
      </c>
      <c r="L41" s="11"/>
      <c r="M41" s="3" t="s">
        <v>158</v>
      </c>
    </row>
    <row r="42" spans="1:13" ht="13.5" hidden="1" thickBot="1">
      <c r="A42" s="8" t="s">
        <v>118</v>
      </c>
      <c r="B42" s="9" t="s">
        <v>5</v>
      </c>
      <c r="C42" s="11" t="s">
        <v>119</v>
      </c>
      <c r="D42" s="11" t="s">
        <v>23</v>
      </c>
      <c r="E42" s="11"/>
      <c r="F42" s="11"/>
      <c r="G42" s="13" t="s">
        <v>1</v>
      </c>
      <c r="H42" s="11"/>
      <c r="I42" s="11"/>
      <c r="J42" s="14" t="s">
        <v>4</v>
      </c>
      <c r="K42" s="11"/>
      <c r="L42" s="11"/>
      <c r="M42" s="3" t="s">
        <v>158</v>
      </c>
    </row>
    <row r="43" spans="1:13" ht="13.5" hidden="1" thickBot="1">
      <c r="A43" s="8" t="s">
        <v>118</v>
      </c>
      <c r="B43" s="9" t="s">
        <v>7</v>
      </c>
      <c r="C43" s="10" t="s">
        <v>7</v>
      </c>
      <c r="D43" s="11" t="s">
        <v>120</v>
      </c>
      <c r="E43" s="12">
        <v>45863</v>
      </c>
      <c r="F43" s="13" t="s">
        <v>121</v>
      </c>
      <c r="G43" s="13" t="s">
        <v>122</v>
      </c>
      <c r="H43" s="13" t="s">
        <v>123</v>
      </c>
      <c r="I43" s="13" t="s">
        <v>124</v>
      </c>
      <c r="J43" s="14" t="s">
        <v>29</v>
      </c>
      <c r="K43" s="15">
        <v>45873</v>
      </c>
      <c r="L43" s="15">
        <v>45873</v>
      </c>
      <c r="M43" s="3" t="s">
        <v>158</v>
      </c>
    </row>
    <row r="44" spans="1:13" ht="13.5" hidden="1" thickBot="1">
      <c r="A44" s="8" t="s">
        <v>118</v>
      </c>
      <c r="B44" s="9" t="s">
        <v>8</v>
      </c>
      <c r="C44" s="11" t="s">
        <v>119</v>
      </c>
      <c r="D44" s="11" t="s">
        <v>125</v>
      </c>
      <c r="E44" s="12">
        <v>45874</v>
      </c>
      <c r="F44" s="13" t="s">
        <v>126</v>
      </c>
      <c r="G44" s="13" t="s">
        <v>127</v>
      </c>
      <c r="H44" s="13" t="s">
        <v>128</v>
      </c>
      <c r="I44" s="13" t="s">
        <v>129</v>
      </c>
      <c r="J44" s="14" t="s">
        <v>4</v>
      </c>
      <c r="K44" s="15">
        <v>45877</v>
      </c>
      <c r="L44" s="15">
        <v>45877</v>
      </c>
      <c r="M44" s="3" t="s">
        <v>158</v>
      </c>
    </row>
    <row r="45" spans="1:13" ht="13.5" hidden="1" thickBot="1">
      <c r="A45" s="8" t="s">
        <v>118</v>
      </c>
      <c r="B45" s="9" t="s">
        <v>9</v>
      </c>
      <c r="C45" s="11" t="s">
        <v>10</v>
      </c>
      <c r="D45" s="11" t="s">
        <v>11</v>
      </c>
      <c r="E45" s="12">
        <v>45877</v>
      </c>
      <c r="F45" s="13" t="s">
        <v>31</v>
      </c>
      <c r="G45" s="13" t="s">
        <v>32</v>
      </c>
      <c r="H45" s="11"/>
      <c r="I45" s="13" t="s">
        <v>33</v>
      </c>
      <c r="J45" s="14" t="s">
        <v>4</v>
      </c>
      <c r="K45" s="15">
        <v>45891</v>
      </c>
      <c r="L45" s="15">
        <v>45891</v>
      </c>
      <c r="M45" s="3" t="s">
        <v>158</v>
      </c>
    </row>
    <row r="46" spans="1:13" ht="13.5" hidden="1" thickBot="1">
      <c r="A46" s="8" t="s">
        <v>118</v>
      </c>
      <c r="B46" s="9" t="s">
        <v>12</v>
      </c>
      <c r="C46" s="10" t="s">
        <v>13</v>
      </c>
      <c r="D46" s="11" t="s">
        <v>130</v>
      </c>
      <c r="E46" s="12">
        <v>45855</v>
      </c>
      <c r="F46" s="13" t="s">
        <v>131</v>
      </c>
      <c r="G46" s="13" t="s">
        <v>132</v>
      </c>
      <c r="H46" s="13" t="s">
        <v>133</v>
      </c>
      <c r="I46" s="13" t="s">
        <v>134</v>
      </c>
      <c r="J46" s="11" t="s">
        <v>14</v>
      </c>
      <c r="K46" s="15">
        <v>45876</v>
      </c>
      <c r="L46" s="15">
        <v>45876</v>
      </c>
      <c r="M46" s="3" t="s">
        <v>158</v>
      </c>
    </row>
    <row r="47" spans="1:13" ht="13.5" hidden="1" thickBot="1">
      <c r="A47" s="8" t="s">
        <v>135</v>
      </c>
      <c r="B47" s="9" t="s">
        <v>18</v>
      </c>
      <c r="C47" s="10" t="s">
        <v>19</v>
      </c>
      <c r="D47" s="11" t="s">
        <v>20</v>
      </c>
      <c r="E47" s="12">
        <v>45903</v>
      </c>
      <c r="F47" s="11"/>
      <c r="G47" s="13" t="s">
        <v>1</v>
      </c>
      <c r="H47" s="11"/>
      <c r="I47" s="13" t="s">
        <v>80</v>
      </c>
      <c r="J47" s="14" t="s">
        <v>4</v>
      </c>
      <c r="K47" s="15">
        <v>45919</v>
      </c>
      <c r="L47" s="11"/>
      <c r="M47" s="3" t="s">
        <v>158</v>
      </c>
    </row>
    <row r="48" spans="1:13" ht="13.5" hidden="1" thickBot="1">
      <c r="A48" s="8" t="s">
        <v>136</v>
      </c>
      <c r="B48" s="9" t="s">
        <v>18</v>
      </c>
      <c r="C48" s="10" t="s">
        <v>19</v>
      </c>
      <c r="D48" s="11" t="s">
        <v>51</v>
      </c>
      <c r="E48" s="11"/>
      <c r="F48" s="11"/>
      <c r="G48" s="13" t="s">
        <v>1</v>
      </c>
      <c r="H48" s="11"/>
      <c r="I48" s="11"/>
      <c r="J48" s="14" t="s">
        <v>4</v>
      </c>
      <c r="K48" s="11"/>
      <c r="L48" s="11"/>
      <c r="M48" s="3" t="s">
        <v>158</v>
      </c>
    </row>
    <row r="49" spans="1:13" ht="13.5" hidden="1" thickBot="1">
      <c r="A49" s="8" t="s">
        <v>136</v>
      </c>
      <c r="B49" s="9" t="s">
        <v>5</v>
      </c>
      <c r="C49" s="11" t="s">
        <v>22</v>
      </c>
      <c r="D49" s="11" t="s">
        <v>23</v>
      </c>
      <c r="E49" s="11"/>
      <c r="F49" s="11"/>
      <c r="G49" s="13" t="s">
        <v>1</v>
      </c>
      <c r="H49" s="11"/>
      <c r="I49" s="11"/>
      <c r="J49" s="14" t="s">
        <v>4</v>
      </c>
      <c r="K49" s="11"/>
      <c r="L49" s="11"/>
      <c r="M49" s="3" t="s">
        <v>158</v>
      </c>
    </row>
    <row r="50" spans="1:13" ht="13.5" hidden="1" thickBot="1">
      <c r="A50" s="8" t="s">
        <v>136</v>
      </c>
      <c r="B50" s="9" t="s">
        <v>7</v>
      </c>
      <c r="C50" s="10" t="s">
        <v>7</v>
      </c>
      <c r="D50" s="11" t="s">
        <v>137</v>
      </c>
      <c r="E50" s="12">
        <v>45866</v>
      </c>
      <c r="F50" s="13" t="s">
        <v>138</v>
      </c>
      <c r="G50" s="13" t="s">
        <v>139</v>
      </c>
      <c r="H50" s="13" t="s">
        <v>140</v>
      </c>
      <c r="I50" s="13" t="s">
        <v>141</v>
      </c>
      <c r="J50" s="14" t="s">
        <v>29</v>
      </c>
      <c r="K50" s="15">
        <v>45874</v>
      </c>
      <c r="L50" s="15">
        <v>45873</v>
      </c>
      <c r="M50" s="3" t="s">
        <v>158</v>
      </c>
    </row>
    <row r="51" spans="1:13" ht="13.5" hidden="1" thickBot="1">
      <c r="A51" s="8" t="s">
        <v>136</v>
      </c>
      <c r="B51" s="9" t="s">
        <v>8</v>
      </c>
      <c r="C51" s="11" t="s">
        <v>16</v>
      </c>
      <c r="D51" s="11"/>
      <c r="E51" s="12">
        <v>45870</v>
      </c>
      <c r="F51" s="11"/>
      <c r="G51" s="11"/>
      <c r="H51" s="11"/>
      <c r="I51" s="13" t="s">
        <v>142</v>
      </c>
      <c r="J51" s="14" t="s">
        <v>4</v>
      </c>
      <c r="K51" s="15">
        <v>45877</v>
      </c>
      <c r="L51" s="15">
        <v>45877</v>
      </c>
      <c r="M51" s="3" t="s">
        <v>158</v>
      </c>
    </row>
    <row r="52" spans="1:13" ht="13.5" hidden="1" thickBot="1">
      <c r="A52" s="8" t="s">
        <v>136</v>
      </c>
      <c r="B52" s="9" t="s">
        <v>9</v>
      </c>
      <c r="C52" s="11" t="s">
        <v>10</v>
      </c>
      <c r="D52" s="11" t="s">
        <v>11</v>
      </c>
      <c r="E52" s="12">
        <v>45877</v>
      </c>
      <c r="F52" s="13" t="s">
        <v>31</v>
      </c>
      <c r="G52" s="13" t="s">
        <v>32</v>
      </c>
      <c r="H52" s="11"/>
      <c r="I52" s="13" t="s">
        <v>33</v>
      </c>
      <c r="J52" s="14" t="s">
        <v>4</v>
      </c>
      <c r="K52" s="15">
        <v>45891</v>
      </c>
      <c r="L52" s="15">
        <v>45891</v>
      </c>
      <c r="M52" s="3" t="s">
        <v>158</v>
      </c>
    </row>
    <row r="53" spans="1:13" ht="13.5" hidden="1" thickBot="1">
      <c r="A53" s="8" t="s">
        <v>143</v>
      </c>
      <c r="B53" s="9" t="s">
        <v>18</v>
      </c>
      <c r="C53" s="10" t="s">
        <v>19</v>
      </c>
      <c r="D53" s="11" t="s">
        <v>20</v>
      </c>
      <c r="E53" s="12">
        <v>45903</v>
      </c>
      <c r="F53" s="11"/>
      <c r="G53" s="13" t="s">
        <v>1</v>
      </c>
      <c r="H53" s="11"/>
      <c r="I53" s="13" t="s">
        <v>21</v>
      </c>
      <c r="J53" s="14" t="s">
        <v>4</v>
      </c>
      <c r="K53" s="15">
        <v>45919</v>
      </c>
      <c r="L53" s="11"/>
      <c r="M53" s="3" t="s">
        <v>158</v>
      </c>
    </row>
    <row r="54" spans="1:13" ht="13.5" hidden="1" thickBot="1">
      <c r="A54" s="8" t="s">
        <v>143</v>
      </c>
      <c r="B54" s="9" t="s">
        <v>7</v>
      </c>
      <c r="C54" s="10" t="s">
        <v>7</v>
      </c>
      <c r="D54" s="11" t="s">
        <v>15</v>
      </c>
      <c r="E54" s="12">
        <v>45870</v>
      </c>
      <c r="F54" s="16"/>
      <c r="G54" s="16"/>
      <c r="H54" s="16"/>
      <c r="I54" s="13" t="s">
        <v>144</v>
      </c>
      <c r="J54" s="14" t="s">
        <v>29</v>
      </c>
      <c r="K54" s="15">
        <v>45875</v>
      </c>
      <c r="L54" s="15">
        <v>45875</v>
      </c>
      <c r="M54" s="3" t="s">
        <v>158</v>
      </c>
    </row>
    <row r="55" spans="1:13" ht="13.5" hidden="1" thickBot="1">
      <c r="A55" s="8" t="s">
        <v>143</v>
      </c>
      <c r="B55" s="9" t="s">
        <v>8</v>
      </c>
      <c r="C55" s="11" t="s">
        <v>16</v>
      </c>
      <c r="D55" s="11"/>
      <c r="E55" s="12">
        <v>45870</v>
      </c>
      <c r="F55" s="11"/>
      <c r="G55" s="11"/>
      <c r="H55" s="11"/>
      <c r="I55" s="13" t="s">
        <v>142</v>
      </c>
      <c r="J55" s="14" t="s">
        <v>4</v>
      </c>
      <c r="K55" s="15">
        <v>45877</v>
      </c>
      <c r="L55" s="15">
        <v>45877</v>
      </c>
      <c r="M55" s="3" t="s">
        <v>158</v>
      </c>
    </row>
    <row r="56" spans="1:13" ht="13.5" hidden="1" thickBot="1">
      <c r="A56" s="8" t="s">
        <v>143</v>
      </c>
      <c r="B56" s="9" t="s">
        <v>9</v>
      </c>
      <c r="C56" s="11" t="s">
        <v>10</v>
      </c>
      <c r="D56" s="11" t="s">
        <v>11</v>
      </c>
      <c r="E56" s="12">
        <v>45877</v>
      </c>
      <c r="F56" s="13" t="s">
        <v>31</v>
      </c>
      <c r="G56" s="13" t="s">
        <v>32</v>
      </c>
      <c r="H56" s="11"/>
      <c r="I56" s="13" t="s">
        <v>33</v>
      </c>
      <c r="J56" s="14" t="s">
        <v>4</v>
      </c>
      <c r="K56" s="15">
        <v>45891</v>
      </c>
      <c r="L56" s="15">
        <v>45891</v>
      </c>
      <c r="M56" s="3" t="s">
        <v>158</v>
      </c>
    </row>
    <row r="57" spans="1:13" ht="13" thickBot="1"/>
    <row r="58" spans="1:13" ht="13.5" thickBot="1">
      <c r="A58" s="22" t="s">
        <v>0</v>
      </c>
      <c r="B58" s="5"/>
      <c r="C58" s="5"/>
      <c r="D58" s="5"/>
      <c r="E58" s="5"/>
      <c r="F58" s="5"/>
      <c r="G58" s="6" t="s">
        <v>1</v>
      </c>
      <c r="H58" s="5"/>
      <c r="I58" s="5"/>
      <c r="J58" s="5"/>
      <c r="K58" s="7">
        <v>45870</v>
      </c>
      <c r="L58" s="7">
        <v>45870</v>
      </c>
    </row>
    <row r="59" spans="1:13" ht="13.5" thickBot="1">
      <c r="A59" s="8" t="s">
        <v>159</v>
      </c>
      <c r="B59" s="11"/>
      <c r="C59" s="11" t="s">
        <v>159</v>
      </c>
      <c r="D59" s="11"/>
      <c r="E59" s="11"/>
      <c r="F59" s="11"/>
      <c r="G59" s="13" t="s">
        <v>1</v>
      </c>
      <c r="H59" s="11"/>
      <c r="I59" s="11"/>
      <c r="J59" s="11"/>
      <c r="K59" s="11"/>
      <c r="L59" s="11"/>
      <c r="M59" s="23" t="s">
        <v>247</v>
      </c>
    </row>
    <row r="60" spans="1:13" ht="13.5" thickBot="1">
      <c r="A60" s="8" t="s">
        <v>17</v>
      </c>
      <c r="B60" s="9" t="s">
        <v>160</v>
      </c>
      <c r="C60" s="11" t="s">
        <v>161</v>
      </c>
      <c r="D60" s="11" t="s">
        <v>162</v>
      </c>
      <c r="E60" s="12">
        <v>45873</v>
      </c>
      <c r="F60" s="13" t="s">
        <v>163</v>
      </c>
      <c r="G60" s="13" t="s">
        <v>164</v>
      </c>
      <c r="H60" s="11"/>
      <c r="I60" s="13" t="s">
        <v>165</v>
      </c>
      <c r="J60" s="11" t="s">
        <v>166</v>
      </c>
      <c r="K60" s="15">
        <v>45890</v>
      </c>
      <c r="L60" s="15">
        <v>45890</v>
      </c>
      <c r="M60" s="23" t="s">
        <v>247</v>
      </c>
    </row>
    <row r="61" spans="1:13" ht="13.5" thickBot="1">
      <c r="A61" s="8" t="s">
        <v>17</v>
      </c>
      <c r="B61" s="9" t="s">
        <v>40</v>
      </c>
      <c r="C61" s="11" t="s">
        <v>41</v>
      </c>
      <c r="D61" s="11" t="s">
        <v>167</v>
      </c>
      <c r="E61" s="12">
        <v>45883</v>
      </c>
      <c r="F61" s="13" t="s">
        <v>168</v>
      </c>
      <c r="G61" s="13" t="s">
        <v>169</v>
      </c>
      <c r="H61" s="11"/>
      <c r="I61" s="13" t="s">
        <v>170</v>
      </c>
      <c r="J61" s="14" t="s">
        <v>171</v>
      </c>
      <c r="K61" s="15">
        <v>45888</v>
      </c>
      <c r="L61" s="15">
        <v>45888</v>
      </c>
      <c r="M61" s="23" t="s">
        <v>247</v>
      </c>
    </row>
    <row r="62" spans="1:13" ht="13.5" thickBot="1">
      <c r="A62" s="8" t="s">
        <v>17</v>
      </c>
      <c r="B62" s="9" t="s">
        <v>40</v>
      </c>
      <c r="C62" s="11"/>
      <c r="D62" s="11"/>
      <c r="E62" s="11"/>
      <c r="F62" s="11"/>
      <c r="G62" s="13" t="s">
        <v>1</v>
      </c>
      <c r="H62" s="11"/>
      <c r="I62" s="11"/>
      <c r="J62" s="11"/>
      <c r="K62" s="11"/>
      <c r="L62" s="11"/>
      <c r="M62" s="23" t="s">
        <v>247</v>
      </c>
    </row>
    <row r="63" spans="1:13" ht="13.5" thickBot="1">
      <c r="A63" s="8" t="s">
        <v>17</v>
      </c>
      <c r="B63" s="9" t="s">
        <v>18</v>
      </c>
      <c r="C63" s="11" t="s">
        <v>19</v>
      </c>
      <c r="D63" s="11" t="s">
        <v>51</v>
      </c>
      <c r="E63" s="11"/>
      <c r="F63" s="11"/>
      <c r="G63" s="13" t="s">
        <v>1</v>
      </c>
      <c r="H63" s="11"/>
      <c r="I63" s="11"/>
      <c r="J63" s="11"/>
      <c r="K63" s="11"/>
      <c r="L63" s="11"/>
      <c r="M63" s="23" t="s">
        <v>247</v>
      </c>
    </row>
    <row r="64" spans="1:13" ht="13.5" thickBot="1">
      <c r="A64" s="8" t="s">
        <v>17</v>
      </c>
      <c r="B64" s="9" t="s">
        <v>5</v>
      </c>
      <c r="C64" s="11" t="s">
        <v>22</v>
      </c>
      <c r="D64" s="11" t="s">
        <v>172</v>
      </c>
      <c r="E64" s="12">
        <v>45870</v>
      </c>
      <c r="F64" s="13" t="s">
        <v>173</v>
      </c>
      <c r="G64" s="13" t="s">
        <v>174</v>
      </c>
      <c r="H64" s="11"/>
      <c r="I64" s="13" t="s">
        <v>175</v>
      </c>
      <c r="J64" s="14" t="s">
        <v>171</v>
      </c>
      <c r="K64" s="15">
        <v>45881</v>
      </c>
      <c r="L64" s="15">
        <v>45881</v>
      </c>
      <c r="M64" s="23" t="s">
        <v>247</v>
      </c>
    </row>
    <row r="65" spans="1:13" ht="13.5" thickBot="1">
      <c r="A65" s="8" t="s">
        <v>17</v>
      </c>
      <c r="B65" s="9" t="s">
        <v>9</v>
      </c>
      <c r="C65" s="11" t="s">
        <v>10</v>
      </c>
      <c r="D65" s="16"/>
      <c r="E65" s="16"/>
      <c r="F65" s="16"/>
      <c r="G65" s="16"/>
      <c r="H65" s="16"/>
      <c r="I65" s="16"/>
      <c r="J65" s="16"/>
      <c r="K65" s="16"/>
      <c r="L65" s="16"/>
      <c r="M65" s="23" t="s">
        <v>247</v>
      </c>
    </row>
    <row r="66" spans="1:13" ht="13.5" thickBot="1">
      <c r="A66" s="8" t="s">
        <v>176</v>
      </c>
      <c r="B66" s="9" t="s">
        <v>2</v>
      </c>
      <c r="C66" s="11" t="s">
        <v>3</v>
      </c>
      <c r="D66" s="11" t="s">
        <v>177</v>
      </c>
      <c r="E66" s="12">
        <v>45877</v>
      </c>
      <c r="F66" s="11"/>
      <c r="G66" s="13" t="s">
        <v>1</v>
      </c>
      <c r="H66" s="13" t="s">
        <v>178</v>
      </c>
      <c r="I66" s="13" t="s">
        <v>178</v>
      </c>
      <c r="J66" s="14" t="s">
        <v>171</v>
      </c>
      <c r="K66" s="15">
        <v>45888</v>
      </c>
      <c r="L66" s="15">
        <v>45888</v>
      </c>
      <c r="M66" s="23" t="s">
        <v>247</v>
      </c>
    </row>
    <row r="67" spans="1:13" ht="13.5" thickBot="1">
      <c r="A67" s="8" t="s">
        <v>49</v>
      </c>
      <c r="B67" s="9" t="s">
        <v>18</v>
      </c>
      <c r="C67" s="11" t="s">
        <v>19</v>
      </c>
      <c r="D67" s="11" t="s">
        <v>179</v>
      </c>
      <c r="E67" s="12">
        <v>45903</v>
      </c>
      <c r="F67" s="11"/>
      <c r="G67" s="13" t="s">
        <v>1</v>
      </c>
      <c r="H67" s="11"/>
      <c r="I67" s="13" t="s">
        <v>80</v>
      </c>
      <c r="J67" s="14" t="s">
        <v>171</v>
      </c>
      <c r="K67" s="15">
        <v>45919</v>
      </c>
      <c r="L67" s="11"/>
      <c r="M67" s="23" t="s">
        <v>247</v>
      </c>
    </row>
    <row r="68" spans="1:13" ht="13.5" thickBot="1">
      <c r="A68" s="8" t="s">
        <v>176</v>
      </c>
      <c r="B68" s="9" t="s">
        <v>5</v>
      </c>
      <c r="C68" s="11" t="s">
        <v>3</v>
      </c>
      <c r="D68" s="11" t="s">
        <v>180</v>
      </c>
      <c r="E68" s="12">
        <v>45880</v>
      </c>
      <c r="F68" s="13" t="s">
        <v>181</v>
      </c>
      <c r="G68" s="13" t="s">
        <v>182</v>
      </c>
      <c r="H68" s="11"/>
      <c r="I68" s="13" t="s">
        <v>183</v>
      </c>
      <c r="J68" s="14" t="s">
        <v>171</v>
      </c>
      <c r="K68" s="15">
        <v>45880</v>
      </c>
      <c r="L68" s="15">
        <v>45880</v>
      </c>
      <c r="M68" s="23" t="s">
        <v>247</v>
      </c>
    </row>
    <row r="69" spans="1:13" ht="13.5" thickBot="1">
      <c r="A69" s="8" t="s">
        <v>176</v>
      </c>
      <c r="B69" s="9" t="s">
        <v>6</v>
      </c>
      <c r="C69" s="11" t="s">
        <v>3</v>
      </c>
      <c r="D69" s="11" t="s">
        <v>177</v>
      </c>
      <c r="E69" s="12">
        <v>45877</v>
      </c>
      <c r="F69" s="13" t="s">
        <v>184</v>
      </c>
      <c r="G69" s="13" t="s">
        <v>185</v>
      </c>
      <c r="H69" s="13" t="s">
        <v>186</v>
      </c>
      <c r="I69" s="13" t="s">
        <v>187</v>
      </c>
      <c r="J69" s="14" t="s">
        <v>171</v>
      </c>
      <c r="K69" s="15">
        <v>45888</v>
      </c>
      <c r="L69" s="15">
        <v>45888</v>
      </c>
      <c r="M69" s="23" t="s">
        <v>247</v>
      </c>
    </row>
    <row r="70" spans="1:13" ht="13.5" thickBot="1">
      <c r="A70" s="8" t="s">
        <v>176</v>
      </c>
      <c r="B70" s="9" t="s">
        <v>74</v>
      </c>
      <c r="C70" s="11" t="s">
        <v>75</v>
      </c>
      <c r="D70" s="11" t="s">
        <v>188</v>
      </c>
      <c r="E70" s="12">
        <v>45881</v>
      </c>
      <c r="F70" s="13" t="s">
        <v>77</v>
      </c>
      <c r="G70" s="13" t="s">
        <v>78</v>
      </c>
      <c r="H70" s="11"/>
      <c r="I70" s="13" t="s">
        <v>79</v>
      </c>
      <c r="J70" s="14" t="s">
        <v>171</v>
      </c>
      <c r="K70" s="15">
        <v>45891</v>
      </c>
      <c r="L70" s="15">
        <v>45891</v>
      </c>
      <c r="M70" s="23" t="s">
        <v>247</v>
      </c>
    </row>
    <row r="71" spans="1:13" ht="13.5" thickBot="1">
      <c r="A71" s="8" t="s">
        <v>176</v>
      </c>
      <c r="B71" s="9" t="s">
        <v>8</v>
      </c>
      <c r="C71" s="11" t="s">
        <v>3</v>
      </c>
      <c r="D71" s="11" t="s">
        <v>177</v>
      </c>
      <c r="E71" s="12">
        <v>45877</v>
      </c>
      <c r="F71" s="11"/>
      <c r="G71" s="13" t="s">
        <v>1</v>
      </c>
      <c r="H71" s="13" t="s">
        <v>189</v>
      </c>
      <c r="I71" s="13" t="s">
        <v>189</v>
      </c>
      <c r="J71" s="14" t="s">
        <v>171</v>
      </c>
      <c r="K71" s="15">
        <v>45888</v>
      </c>
      <c r="L71" s="15">
        <v>45888</v>
      </c>
      <c r="M71" s="23" t="s">
        <v>247</v>
      </c>
    </row>
    <row r="72" spans="1:13" ht="13.5" thickBot="1">
      <c r="A72" s="8" t="s">
        <v>176</v>
      </c>
      <c r="B72" s="9" t="s">
        <v>9</v>
      </c>
      <c r="C72" s="11" t="s">
        <v>10</v>
      </c>
      <c r="D72" s="11" t="s">
        <v>190</v>
      </c>
      <c r="E72" s="12">
        <v>45877</v>
      </c>
      <c r="F72" s="13" t="s">
        <v>191</v>
      </c>
      <c r="G72" s="13" t="s">
        <v>192</v>
      </c>
      <c r="H72" s="11"/>
      <c r="I72" s="13" t="s">
        <v>193</v>
      </c>
      <c r="J72" s="14" t="s">
        <v>171</v>
      </c>
      <c r="K72" s="15">
        <v>45891</v>
      </c>
      <c r="L72" s="15">
        <v>45891</v>
      </c>
      <c r="M72" s="23" t="s">
        <v>247</v>
      </c>
    </row>
    <row r="73" spans="1:13" ht="13.5" thickBot="1">
      <c r="A73" s="8" t="s">
        <v>176</v>
      </c>
      <c r="B73" s="9" t="s">
        <v>12</v>
      </c>
      <c r="C73" s="24" t="s">
        <v>13</v>
      </c>
      <c r="D73" s="16"/>
      <c r="E73" s="16"/>
      <c r="F73" s="16"/>
      <c r="G73" s="16"/>
      <c r="H73" s="16"/>
      <c r="I73" s="16"/>
      <c r="J73" s="16"/>
      <c r="K73" s="16"/>
      <c r="L73" s="16"/>
      <c r="M73" s="23" t="s">
        <v>247</v>
      </c>
    </row>
    <row r="74" spans="1:13" ht="13.5" thickBot="1">
      <c r="A74" s="8" t="s">
        <v>73</v>
      </c>
      <c r="B74" s="9" t="s">
        <v>18</v>
      </c>
      <c r="C74" s="11" t="s">
        <v>19</v>
      </c>
      <c r="D74" s="11" t="s">
        <v>51</v>
      </c>
      <c r="E74" s="11"/>
      <c r="F74" s="11"/>
      <c r="G74" s="13" t="s">
        <v>1</v>
      </c>
      <c r="H74" s="11"/>
      <c r="I74" s="11"/>
      <c r="J74" s="11"/>
      <c r="K74" s="11"/>
      <c r="L74" s="11"/>
      <c r="M74" s="23" t="s">
        <v>247</v>
      </c>
    </row>
    <row r="75" spans="1:13" ht="13.5" thickBot="1">
      <c r="A75" s="8" t="s">
        <v>73</v>
      </c>
      <c r="B75" s="9" t="s">
        <v>5</v>
      </c>
      <c r="C75" s="11" t="s">
        <v>81</v>
      </c>
      <c r="D75" s="11" t="s">
        <v>82</v>
      </c>
      <c r="E75" s="11"/>
      <c r="F75" s="11"/>
      <c r="G75" s="13" t="s">
        <v>1</v>
      </c>
      <c r="H75" s="11"/>
      <c r="I75" s="11"/>
      <c r="J75" s="11"/>
      <c r="K75" s="11"/>
      <c r="L75" s="11"/>
      <c r="M75" s="23" t="s">
        <v>247</v>
      </c>
    </row>
    <row r="76" spans="1:13" ht="13.5" thickBot="1">
      <c r="A76" s="8" t="s">
        <v>73</v>
      </c>
      <c r="B76" s="9" t="s">
        <v>7</v>
      </c>
      <c r="C76" s="11" t="s">
        <v>7</v>
      </c>
      <c r="D76" s="11"/>
      <c r="E76" s="11"/>
      <c r="F76" s="11"/>
      <c r="G76" s="11"/>
      <c r="H76" s="11"/>
      <c r="I76" s="11"/>
      <c r="J76" s="14" t="s">
        <v>29</v>
      </c>
      <c r="K76" s="11"/>
      <c r="L76" s="11"/>
      <c r="M76" s="23" t="s">
        <v>247</v>
      </c>
    </row>
    <row r="77" spans="1:13" ht="13.5" thickBot="1">
      <c r="A77" s="8" t="s">
        <v>73</v>
      </c>
      <c r="B77" s="9" t="s">
        <v>7</v>
      </c>
      <c r="C77" s="11" t="s">
        <v>7</v>
      </c>
      <c r="D77" s="11"/>
      <c r="E77" s="11"/>
      <c r="F77" s="11"/>
      <c r="G77" s="11"/>
      <c r="H77" s="11"/>
      <c r="I77" s="11"/>
      <c r="J77" s="14" t="s">
        <v>29</v>
      </c>
      <c r="K77" s="11"/>
      <c r="L77" s="11"/>
      <c r="M77" s="23" t="s">
        <v>247</v>
      </c>
    </row>
    <row r="78" spans="1:13" ht="13.5" thickBot="1">
      <c r="A78" s="8" t="s">
        <v>73</v>
      </c>
      <c r="B78" s="9" t="s">
        <v>8</v>
      </c>
      <c r="C78" s="11" t="s">
        <v>94</v>
      </c>
      <c r="D78" s="11" t="s">
        <v>15</v>
      </c>
      <c r="E78" s="11"/>
      <c r="F78" s="11"/>
      <c r="G78" s="13" t="s">
        <v>1</v>
      </c>
      <c r="H78" s="11"/>
      <c r="I78" s="11"/>
      <c r="J78" s="11"/>
      <c r="K78" s="11"/>
      <c r="L78" s="11"/>
      <c r="M78" s="23" t="s">
        <v>247</v>
      </c>
    </row>
    <row r="79" spans="1:13" ht="13.5" thickBot="1">
      <c r="A79" s="8" t="s">
        <v>73</v>
      </c>
      <c r="B79" s="9" t="s">
        <v>9</v>
      </c>
      <c r="C79" s="11" t="s">
        <v>10</v>
      </c>
      <c r="D79" s="16"/>
      <c r="E79" s="16"/>
      <c r="F79" s="16"/>
      <c r="G79" s="16"/>
      <c r="H79" s="16"/>
      <c r="I79" s="16"/>
      <c r="J79" s="16"/>
      <c r="K79" s="16"/>
      <c r="L79" s="16"/>
      <c r="M79" s="23" t="s">
        <v>247</v>
      </c>
    </row>
    <row r="80" spans="1:13" ht="13.5" thickBot="1">
      <c r="A80" s="8" t="s">
        <v>73</v>
      </c>
      <c r="B80" s="9" t="s">
        <v>12</v>
      </c>
      <c r="C80" s="11" t="s">
        <v>13</v>
      </c>
      <c r="D80" s="11" t="s">
        <v>97</v>
      </c>
      <c r="E80" s="12">
        <v>45855</v>
      </c>
      <c r="F80" s="13" t="s">
        <v>98</v>
      </c>
      <c r="G80" s="13" t="s">
        <v>99</v>
      </c>
      <c r="H80" s="13" t="s">
        <v>100</v>
      </c>
      <c r="I80" s="13" t="s">
        <v>101</v>
      </c>
      <c r="J80" s="14" t="s">
        <v>29</v>
      </c>
      <c r="K80" s="15">
        <v>45874</v>
      </c>
      <c r="L80" s="15">
        <v>45873</v>
      </c>
      <c r="M80" s="23" t="s">
        <v>247</v>
      </c>
    </row>
    <row r="81" spans="1:13" ht="13.5" thickBot="1">
      <c r="A81" s="8" t="s">
        <v>108</v>
      </c>
      <c r="B81" s="9" t="s">
        <v>5</v>
      </c>
      <c r="C81" s="11" t="s">
        <v>194</v>
      </c>
      <c r="D81" s="11"/>
      <c r="E81" s="11"/>
      <c r="F81" s="11"/>
      <c r="G81" s="13" t="s">
        <v>1</v>
      </c>
      <c r="H81" s="11"/>
      <c r="I81" s="11"/>
      <c r="J81" s="11"/>
      <c r="K81" s="11"/>
      <c r="L81" s="11"/>
      <c r="M81" s="23" t="s">
        <v>247</v>
      </c>
    </row>
    <row r="82" spans="1:13" ht="13.5" thickBot="1">
      <c r="A82" s="8" t="s">
        <v>108</v>
      </c>
      <c r="B82" s="9" t="s">
        <v>5</v>
      </c>
      <c r="C82" s="11" t="s">
        <v>194</v>
      </c>
      <c r="D82" s="11" t="s">
        <v>195</v>
      </c>
      <c r="E82" s="12">
        <v>45870</v>
      </c>
      <c r="F82" s="13" t="s">
        <v>196</v>
      </c>
      <c r="G82" s="13" t="s">
        <v>197</v>
      </c>
      <c r="H82" s="11"/>
      <c r="I82" s="13" t="s">
        <v>198</v>
      </c>
      <c r="J82" s="14" t="s">
        <v>171</v>
      </c>
      <c r="K82" s="15">
        <v>45880</v>
      </c>
      <c r="L82" s="15">
        <v>45880</v>
      </c>
      <c r="M82" s="23" t="s">
        <v>247</v>
      </c>
    </row>
    <row r="83" spans="1:13" ht="13.5" thickBot="1">
      <c r="A83" s="8" t="s">
        <v>108</v>
      </c>
      <c r="B83" s="9" t="s">
        <v>7</v>
      </c>
      <c r="C83" s="11" t="s">
        <v>194</v>
      </c>
      <c r="D83" s="11" t="s">
        <v>23</v>
      </c>
      <c r="E83" s="11"/>
      <c r="F83" s="11"/>
      <c r="G83" s="13" t="s">
        <v>1</v>
      </c>
      <c r="H83" s="11"/>
      <c r="I83" s="11"/>
      <c r="J83" s="11"/>
      <c r="K83" s="11"/>
      <c r="L83" s="11"/>
      <c r="M83" s="23" t="s">
        <v>247</v>
      </c>
    </row>
    <row r="84" spans="1:13" ht="13.5" thickBot="1">
      <c r="A84" s="8" t="s">
        <v>108</v>
      </c>
      <c r="B84" s="9" t="s">
        <v>8</v>
      </c>
      <c r="C84" s="11" t="s">
        <v>194</v>
      </c>
      <c r="D84" s="11" t="s">
        <v>195</v>
      </c>
      <c r="E84" s="12">
        <v>45870</v>
      </c>
      <c r="F84" s="11"/>
      <c r="G84" s="13" t="s">
        <v>1</v>
      </c>
      <c r="H84" s="13" t="s">
        <v>199</v>
      </c>
      <c r="I84" s="13" t="s">
        <v>199</v>
      </c>
      <c r="J84" s="14" t="s">
        <v>171</v>
      </c>
      <c r="K84" s="15">
        <v>45880</v>
      </c>
      <c r="L84" s="15">
        <v>45880</v>
      </c>
      <c r="M84" s="23" t="s">
        <v>247</v>
      </c>
    </row>
    <row r="85" spans="1:13" ht="13.5" thickBot="1">
      <c r="A85" s="8" t="s">
        <v>108</v>
      </c>
      <c r="B85" s="9" t="s">
        <v>8</v>
      </c>
      <c r="C85" s="11" t="s">
        <v>194</v>
      </c>
      <c r="D85" s="11"/>
      <c r="E85" s="11"/>
      <c r="F85" s="11"/>
      <c r="G85" s="13" t="s">
        <v>1</v>
      </c>
      <c r="H85" s="11"/>
      <c r="I85" s="11"/>
      <c r="J85" s="11"/>
      <c r="K85" s="11"/>
      <c r="L85" s="11"/>
      <c r="M85" s="23" t="s">
        <v>247</v>
      </c>
    </row>
    <row r="86" spans="1:13" ht="13.5" thickBot="1">
      <c r="A86" s="8" t="s">
        <v>109</v>
      </c>
      <c r="B86" s="9" t="s">
        <v>5</v>
      </c>
      <c r="C86" s="11" t="s">
        <v>194</v>
      </c>
      <c r="D86" s="11" t="s">
        <v>200</v>
      </c>
      <c r="E86" s="12">
        <v>45870</v>
      </c>
      <c r="F86" s="13" t="s">
        <v>201</v>
      </c>
      <c r="G86" s="13" t="s">
        <v>202</v>
      </c>
      <c r="H86" s="11"/>
      <c r="I86" s="13" t="s">
        <v>203</v>
      </c>
      <c r="J86" s="14" t="s">
        <v>171</v>
      </c>
      <c r="K86" s="15">
        <v>45880</v>
      </c>
      <c r="L86" s="15">
        <v>45880</v>
      </c>
      <c r="M86" s="23" t="s">
        <v>247</v>
      </c>
    </row>
    <row r="87" spans="1:13" ht="13.5" thickBot="1">
      <c r="A87" s="8" t="s">
        <v>109</v>
      </c>
      <c r="B87" s="9" t="s">
        <v>7</v>
      </c>
      <c r="C87" s="11" t="s">
        <v>194</v>
      </c>
      <c r="D87" s="11" t="s">
        <v>200</v>
      </c>
      <c r="E87" s="11"/>
      <c r="F87" s="13" t="s">
        <v>204</v>
      </c>
      <c r="G87" s="13" t="s">
        <v>205</v>
      </c>
      <c r="H87" s="11"/>
      <c r="I87" s="13" t="s">
        <v>206</v>
      </c>
      <c r="J87" s="14" t="s">
        <v>171</v>
      </c>
      <c r="K87" s="15">
        <v>45880</v>
      </c>
      <c r="L87" s="15">
        <v>45880</v>
      </c>
      <c r="M87" s="23" t="s">
        <v>247</v>
      </c>
    </row>
    <row r="88" spans="1:13" ht="13.5" thickBot="1">
      <c r="A88" s="8" t="s">
        <v>109</v>
      </c>
      <c r="B88" s="9" t="s">
        <v>8</v>
      </c>
      <c r="C88" s="11" t="s">
        <v>194</v>
      </c>
      <c r="D88" s="11" t="s">
        <v>200</v>
      </c>
      <c r="E88" s="12">
        <v>45870</v>
      </c>
      <c r="F88" s="11"/>
      <c r="G88" s="13" t="s">
        <v>1</v>
      </c>
      <c r="H88" s="13" t="s">
        <v>207</v>
      </c>
      <c r="I88" s="13" t="s">
        <v>207</v>
      </c>
      <c r="J88" s="14" t="s">
        <v>171</v>
      </c>
      <c r="K88" s="15">
        <v>45880</v>
      </c>
      <c r="L88" s="15">
        <v>45880</v>
      </c>
      <c r="M88" s="23" t="s">
        <v>247</v>
      </c>
    </row>
    <row r="89" spans="1:13" ht="13.5" thickBot="1">
      <c r="A89" s="8" t="s">
        <v>110</v>
      </c>
      <c r="B89" s="9" t="s">
        <v>5</v>
      </c>
      <c r="C89" s="11" t="s">
        <v>194</v>
      </c>
      <c r="D89" s="11" t="s">
        <v>208</v>
      </c>
      <c r="E89" s="12">
        <v>45870</v>
      </c>
      <c r="F89" s="13" t="s">
        <v>209</v>
      </c>
      <c r="G89" s="13" t="s">
        <v>210</v>
      </c>
      <c r="H89" s="11"/>
      <c r="I89" s="13" t="s">
        <v>211</v>
      </c>
      <c r="J89" s="14" t="s">
        <v>171</v>
      </c>
      <c r="K89" s="15">
        <v>45880</v>
      </c>
      <c r="L89" s="15">
        <v>45880</v>
      </c>
      <c r="M89" s="23" t="s">
        <v>247</v>
      </c>
    </row>
    <row r="90" spans="1:13" ht="13.5" thickBot="1">
      <c r="A90" s="8" t="s">
        <v>110</v>
      </c>
      <c r="B90" s="9" t="s">
        <v>8</v>
      </c>
      <c r="C90" s="11" t="s">
        <v>194</v>
      </c>
      <c r="D90" s="11" t="s">
        <v>208</v>
      </c>
      <c r="E90" s="12">
        <v>45870</v>
      </c>
      <c r="F90" s="11"/>
      <c r="G90" s="13" t="s">
        <v>1</v>
      </c>
      <c r="H90" s="13" t="s">
        <v>212</v>
      </c>
      <c r="I90" s="13" t="s">
        <v>212</v>
      </c>
      <c r="J90" s="11"/>
      <c r="K90" s="15">
        <v>45880</v>
      </c>
      <c r="L90" s="15">
        <v>45880</v>
      </c>
      <c r="M90" s="23" t="s">
        <v>247</v>
      </c>
    </row>
    <row r="91" spans="1:13" ht="13.5" thickBot="1">
      <c r="A91" s="8" t="s">
        <v>102</v>
      </c>
      <c r="B91" s="9" t="s">
        <v>160</v>
      </c>
      <c r="C91" s="11" t="s">
        <v>161</v>
      </c>
      <c r="D91" s="11" t="s">
        <v>213</v>
      </c>
      <c r="E91" s="12">
        <v>45869</v>
      </c>
      <c r="F91" s="13" t="s">
        <v>214</v>
      </c>
      <c r="G91" s="13" t="s">
        <v>215</v>
      </c>
      <c r="H91" s="11"/>
      <c r="I91" s="13" t="s">
        <v>216</v>
      </c>
      <c r="J91" s="14" t="s">
        <v>171</v>
      </c>
      <c r="K91" s="15">
        <v>45888</v>
      </c>
      <c r="L91" s="15">
        <v>45888</v>
      </c>
      <c r="M91" s="23" t="s">
        <v>247</v>
      </c>
    </row>
    <row r="92" spans="1:13" ht="13.5" thickBot="1">
      <c r="A92" s="8" t="s">
        <v>102</v>
      </c>
      <c r="B92" s="9" t="s">
        <v>5</v>
      </c>
      <c r="C92" s="11" t="s">
        <v>194</v>
      </c>
      <c r="D92" s="11" t="s">
        <v>217</v>
      </c>
      <c r="E92" s="12">
        <v>45870</v>
      </c>
      <c r="F92" s="13" t="s">
        <v>218</v>
      </c>
      <c r="G92" s="13" t="s">
        <v>219</v>
      </c>
      <c r="H92" s="11"/>
      <c r="I92" s="13" t="s">
        <v>220</v>
      </c>
      <c r="J92" s="14" t="s">
        <v>171</v>
      </c>
      <c r="K92" s="15">
        <v>45880</v>
      </c>
      <c r="L92" s="15">
        <v>45880</v>
      </c>
      <c r="M92" s="23" t="s">
        <v>247</v>
      </c>
    </row>
    <row r="93" spans="1:13" ht="13.5" thickBot="1">
      <c r="A93" s="8" t="s">
        <v>102</v>
      </c>
      <c r="B93" s="9" t="s">
        <v>8</v>
      </c>
      <c r="C93" s="11" t="s">
        <v>194</v>
      </c>
      <c r="D93" s="11" t="s">
        <v>217</v>
      </c>
      <c r="E93" s="12">
        <v>45870</v>
      </c>
      <c r="F93" s="11"/>
      <c r="G93" s="13" t="s">
        <v>1</v>
      </c>
      <c r="H93" s="13" t="s">
        <v>221</v>
      </c>
      <c r="I93" s="13" t="s">
        <v>221</v>
      </c>
      <c r="J93" s="11"/>
      <c r="K93" s="15">
        <v>45880</v>
      </c>
      <c r="L93" s="15">
        <v>45880</v>
      </c>
      <c r="M93" s="23" t="s">
        <v>247</v>
      </c>
    </row>
    <row r="94" spans="1:13" ht="13.5" thickBot="1">
      <c r="A94" s="8" t="s">
        <v>102</v>
      </c>
      <c r="B94" s="9" t="s">
        <v>9</v>
      </c>
      <c r="C94" s="11" t="s">
        <v>10</v>
      </c>
      <c r="D94" s="16"/>
      <c r="E94" s="16"/>
      <c r="F94" s="16"/>
      <c r="G94" s="16"/>
      <c r="H94" s="16"/>
      <c r="I94" s="16"/>
      <c r="J94" s="16"/>
      <c r="K94" s="16"/>
      <c r="L94" s="16"/>
      <c r="M94" s="23" t="s">
        <v>247</v>
      </c>
    </row>
    <row r="95" spans="1:13" ht="13.5" thickBot="1">
      <c r="A95" s="8" t="s">
        <v>102</v>
      </c>
      <c r="B95" s="9" t="s">
        <v>12</v>
      </c>
      <c r="C95" s="24" t="s">
        <v>13</v>
      </c>
      <c r="D95" s="16"/>
      <c r="E95" s="16"/>
      <c r="F95" s="16"/>
      <c r="G95" s="16"/>
      <c r="H95" s="16"/>
      <c r="I95" s="16"/>
      <c r="J95" s="16"/>
      <c r="K95" s="16"/>
      <c r="L95" s="16"/>
      <c r="M95" s="23" t="s">
        <v>247</v>
      </c>
    </row>
    <row r="96" spans="1:13" ht="13.5" thickBot="1">
      <c r="A96" s="8" t="s">
        <v>118</v>
      </c>
      <c r="B96" s="9" t="s">
        <v>160</v>
      </c>
      <c r="C96" s="11" t="s">
        <v>161</v>
      </c>
      <c r="D96" s="11" t="s">
        <v>222</v>
      </c>
      <c r="E96" s="12">
        <v>45873</v>
      </c>
      <c r="F96" s="13" t="s">
        <v>214</v>
      </c>
      <c r="G96" s="13" t="s">
        <v>215</v>
      </c>
      <c r="H96" s="11"/>
      <c r="I96" s="13" t="s">
        <v>216</v>
      </c>
      <c r="J96" s="11" t="s">
        <v>166</v>
      </c>
      <c r="K96" s="15">
        <v>45890</v>
      </c>
      <c r="L96" s="15">
        <v>45890</v>
      </c>
      <c r="M96" s="23" t="s">
        <v>247</v>
      </c>
    </row>
    <row r="97" spans="1:13" ht="13.5" thickBot="1">
      <c r="A97" s="8" t="s">
        <v>118</v>
      </c>
      <c r="B97" s="9" t="s">
        <v>74</v>
      </c>
      <c r="C97" s="11" t="s">
        <v>75</v>
      </c>
      <c r="D97" s="11" t="s">
        <v>223</v>
      </c>
      <c r="E97" s="12">
        <v>45881</v>
      </c>
      <c r="F97" s="13" t="s">
        <v>77</v>
      </c>
      <c r="G97" s="13" t="s">
        <v>78</v>
      </c>
      <c r="H97" s="11"/>
      <c r="I97" s="13" t="s">
        <v>79</v>
      </c>
      <c r="J97" s="14" t="s">
        <v>171</v>
      </c>
      <c r="K97" s="15">
        <v>45891</v>
      </c>
      <c r="L97" s="15">
        <v>45891</v>
      </c>
      <c r="M97" s="23" t="s">
        <v>247</v>
      </c>
    </row>
    <row r="98" spans="1:13" ht="13.5" thickBot="1">
      <c r="A98" s="8" t="s">
        <v>118</v>
      </c>
      <c r="B98" s="9" t="s">
        <v>18</v>
      </c>
      <c r="C98" s="11" t="s">
        <v>19</v>
      </c>
      <c r="D98" s="11" t="s">
        <v>51</v>
      </c>
      <c r="E98" s="11"/>
      <c r="F98" s="11"/>
      <c r="G98" s="13" t="s">
        <v>1</v>
      </c>
      <c r="H98" s="11"/>
      <c r="I98" s="11"/>
      <c r="J98" s="11"/>
      <c r="K98" s="11"/>
      <c r="L98" s="11"/>
      <c r="M98" s="23" t="s">
        <v>247</v>
      </c>
    </row>
    <row r="99" spans="1:13" ht="13.5" thickBot="1">
      <c r="A99" s="8" t="s">
        <v>118</v>
      </c>
      <c r="B99" s="9" t="s">
        <v>5</v>
      </c>
      <c r="C99" s="11" t="s">
        <v>119</v>
      </c>
      <c r="D99" s="11" t="s">
        <v>224</v>
      </c>
      <c r="E99" s="12">
        <v>45876</v>
      </c>
      <c r="F99" s="13" t="s">
        <v>225</v>
      </c>
      <c r="G99" s="13" t="s">
        <v>226</v>
      </c>
      <c r="H99" s="13" t="s">
        <v>227</v>
      </c>
      <c r="I99" s="13" t="s">
        <v>228</v>
      </c>
      <c r="J99" s="14" t="s">
        <v>171</v>
      </c>
      <c r="K99" s="15">
        <v>45880</v>
      </c>
      <c r="L99" s="15">
        <v>45880</v>
      </c>
      <c r="M99" s="23" t="s">
        <v>247</v>
      </c>
    </row>
    <row r="100" spans="1:13" ht="13.5" thickBot="1">
      <c r="A100" s="8" t="s">
        <v>118</v>
      </c>
      <c r="B100" s="9" t="s">
        <v>7</v>
      </c>
      <c r="C100" s="11" t="s">
        <v>7</v>
      </c>
      <c r="D100" s="11"/>
      <c r="E100" s="11"/>
      <c r="F100" s="11"/>
      <c r="G100" s="11"/>
      <c r="H100" s="11"/>
      <c r="I100" s="11"/>
      <c r="J100" s="14" t="s">
        <v>29</v>
      </c>
      <c r="K100" s="11"/>
      <c r="L100" s="11"/>
      <c r="M100" s="23" t="s">
        <v>247</v>
      </c>
    </row>
    <row r="101" spans="1:13" ht="13.5" thickBot="1">
      <c r="A101" s="8" t="s">
        <v>118</v>
      </c>
      <c r="B101" s="9" t="s">
        <v>8</v>
      </c>
      <c r="C101" s="11" t="s">
        <v>119</v>
      </c>
      <c r="D101" s="11" t="s">
        <v>23</v>
      </c>
      <c r="E101" s="11"/>
      <c r="F101" s="11"/>
      <c r="G101" s="13" t="s">
        <v>1</v>
      </c>
      <c r="H101" s="11"/>
      <c r="I101" s="11"/>
      <c r="J101" s="11"/>
      <c r="K101" s="11"/>
      <c r="L101" s="11"/>
      <c r="M101" s="23" t="s">
        <v>247</v>
      </c>
    </row>
    <row r="102" spans="1:13" ht="13.5" thickBot="1">
      <c r="A102" s="8" t="s">
        <v>118</v>
      </c>
      <c r="B102" s="9" t="s">
        <v>9</v>
      </c>
      <c r="C102" s="11" t="s">
        <v>10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23" t="s">
        <v>247</v>
      </c>
    </row>
    <row r="103" spans="1:13" ht="13.5" thickBot="1">
      <c r="A103" s="8" t="s">
        <v>118</v>
      </c>
      <c r="B103" s="9" t="s">
        <v>12</v>
      </c>
      <c r="C103" s="24" t="s">
        <v>13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23" t="s">
        <v>247</v>
      </c>
    </row>
    <row r="104" spans="1:13" ht="13.5" thickBot="1">
      <c r="A104" s="8" t="s">
        <v>118</v>
      </c>
      <c r="B104" s="9" t="s">
        <v>74</v>
      </c>
      <c r="C104" s="11" t="s">
        <v>75</v>
      </c>
      <c r="D104" s="11" t="s">
        <v>229</v>
      </c>
      <c r="E104" s="12">
        <v>45883</v>
      </c>
      <c r="F104" s="13" t="s">
        <v>230</v>
      </c>
      <c r="G104" s="13" t="s">
        <v>231</v>
      </c>
      <c r="H104" s="11"/>
      <c r="I104" s="13" t="s">
        <v>232</v>
      </c>
      <c r="J104" s="25" t="s">
        <v>171</v>
      </c>
      <c r="K104" s="15">
        <v>45891</v>
      </c>
      <c r="L104" s="15">
        <v>45891</v>
      </c>
      <c r="M104" s="23" t="s">
        <v>247</v>
      </c>
    </row>
    <row r="105" spans="1:13" ht="13.5" thickBot="1">
      <c r="A105" s="8" t="s">
        <v>136</v>
      </c>
      <c r="B105" s="9" t="s">
        <v>160</v>
      </c>
      <c r="C105" s="11" t="s">
        <v>161</v>
      </c>
      <c r="D105" s="11" t="s">
        <v>233</v>
      </c>
      <c r="E105" s="12">
        <v>45869</v>
      </c>
      <c r="F105" s="13" t="s">
        <v>163</v>
      </c>
      <c r="G105" s="13" t="s">
        <v>164</v>
      </c>
      <c r="H105" s="11"/>
      <c r="I105" s="13" t="s">
        <v>165</v>
      </c>
      <c r="J105" s="14" t="s">
        <v>171</v>
      </c>
      <c r="K105" s="15">
        <v>45888</v>
      </c>
      <c r="L105" s="15">
        <v>45888</v>
      </c>
      <c r="M105" s="23" t="s">
        <v>247</v>
      </c>
    </row>
    <row r="106" spans="1:13" ht="13.5" thickBot="1">
      <c r="A106" s="8" t="s">
        <v>136</v>
      </c>
      <c r="B106" s="9" t="s">
        <v>74</v>
      </c>
      <c r="C106" s="11" t="s">
        <v>75</v>
      </c>
      <c r="D106" s="11" t="s">
        <v>234</v>
      </c>
      <c r="E106" s="12">
        <v>45881</v>
      </c>
      <c r="F106" s="13" t="s">
        <v>77</v>
      </c>
      <c r="G106" s="13" t="s">
        <v>78</v>
      </c>
      <c r="H106" s="11"/>
      <c r="I106" s="13" t="s">
        <v>79</v>
      </c>
      <c r="J106" s="14" t="s">
        <v>171</v>
      </c>
      <c r="K106" s="15">
        <v>45891</v>
      </c>
      <c r="L106" s="15">
        <v>45891</v>
      </c>
      <c r="M106" s="23" t="s">
        <v>247</v>
      </c>
    </row>
    <row r="107" spans="1:13" ht="13.5" thickBot="1">
      <c r="A107" s="8" t="s">
        <v>136</v>
      </c>
      <c r="B107" s="9" t="s">
        <v>18</v>
      </c>
      <c r="C107" s="11" t="s">
        <v>19</v>
      </c>
      <c r="D107" s="11" t="s">
        <v>51</v>
      </c>
      <c r="E107" s="11"/>
      <c r="F107" s="11"/>
      <c r="G107" s="13" t="s">
        <v>1</v>
      </c>
      <c r="H107" s="11"/>
      <c r="I107" s="11"/>
      <c r="J107" s="11"/>
      <c r="K107" s="11"/>
      <c r="L107" s="11"/>
      <c r="M107" s="23" t="s">
        <v>247</v>
      </c>
    </row>
    <row r="108" spans="1:13" ht="13.5" thickBot="1">
      <c r="A108" s="8" t="s">
        <v>136</v>
      </c>
      <c r="B108" s="9" t="s">
        <v>5</v>
      </c>
      <c r="C108" s="11" t="s">
        <v>22</v>
      </c>
      <c r="D108" s="11" t="s">
        <v>235</v>
      </c>
      <c r="E108" s="12">
        <v>45870</v>
      </c>
      <c r="F108" s="13" t="s">
        <v>236</v>
      </c>
      <c r="G108" s="13" t="s">
        <v>237</v>
      </c>
      <c r="H108" s="11"/>
      <c r="I108" s="13" t="s">
        <v>238</v>
      </c>
      <c r="J108" s="14" t="s">
        <v>171</v>
      </c>
      <c r="K108" s="15">
        <v>45881</v>
      </c>
      <c r="L108" s="15">
        <v>45881</v>
      </c>
      <c r="M108" s="23" t="s">
        <v>247</v>
      </c>
    </row>
    <row r="109" spans="1:13" ht="13.5" thickBot="1">
      <c r="A109" s="8" t="s">
        <v>136</v>
      </c>
      <c r="B109" s="9" t="s">
        <v>7</v>
      </c>
      <c r="C109" s="11" t="s">
        <v>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23" t="s">
        <v>247</v>
      </c>
    </row>
    <row r="110" spans="1:13" ht="13.5" thickBot="1">
      <c r="A110" s="8" t="s">
        <v>136</v>
      </c>
      <c r="B110" s="9" t="s">
        <v>8</v>
      </c>
      <c r="C110" s="11" t="s">
        <v>16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23" t="s">
        <v>247</v>
      </c>
    </row>
    <row r="111" spans="1:13" ht="13.5" thickBot="1">
      <c r="A111" s="8" t="s">
        <v>136</v>
      </c>
      <c r="B111" s="9" t="s">
        <v>9</v>
      </c>
      <c r="C111" s="11" t="s">
        <v>10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23" t="s">
        <v>247</v>
      </c>
    </row>
    <row r="112" spans="1:13" ht="13.5" thickBot="1">
      <c r="A112" s="8" t="s">
        <v>143</v>
      </c>
      <c r="B112" s="9" t="s">
        <v>160</v>
      </c>
      <c r="C112" s="11" t="s">
        <v>161</v>
      </c>
      <c r="D112" s="11" t="s">
        <v>239</v>
      </c>
      <c r="E112" s="12">
        <v>45869</v>
      </c>
      <c r="F112" s="13" t="s">
        <v>240</v>
      </c>
      <c r="G112" s="13" t="s">
        <v>241</v>
      </c>
      <c r="H112" s="11"/>
      <c r="I112" s="13" t="s">
        <v>242</v>
      </c>
      <c r="J112" s="11" t="s">
        <v>166</v>
      </c>
      <c r="K112" s="15">
        <v>45890</v>
      </c>
      <c r="L112" s="15">
        <v>45890</v>
      </c>
      <c r="M112" s="23" t="s">
        <v>247</v>
      </c>
    </row>
    <row r="113" spans="1:13" ht="13.5" thickBot="1">
      <c r="A113" s="8" t="s">
        <v>143</v>
      </c>
      <c r="B113" s="9" t="s">
        <v>5</v>
      </c>
      <c r="C113" s="11" t="s">
        <v>22</v>
      </c>
      <c r="D113" s="11" t="s">
        <v>243</v>
      </c>
      <c r="E113" s="12">
        <v>45870</v>
      </c>
      <c r="F113" s="13" t="s">
        <v>244</v>
      </c>
      <c r="G113" s="13" t="s">
        <v>245</v>
      </c>
      <c r="H113" s="11"/>
      <c r="I113" s="13" t="s">
        <v>246</v>
      </c>
      <c r="J113" s="14" t="s">
        <v>171</v>
      </c>
      <c r="K113" s="15">
        <v>45881</v>
      </c>
      <c r="L113" s="15">
        <v>45881</v>
      </c>
      <c r="M113" s="23" t="s">
        <v>247</v>
      </c>
    </row>
    <row r="114" spans="1:13" ht="13.5" thickBot="1">
      <c r="A114" s="8" t="s">
        <v>143</v>
      </c>
      <c r="B114" s="9" t="s">
        <v>7</v>
      </c>
      <c r="C114" s="11" t="s">
        <v>7</v>
      </c>
      <c r="D114" s="11" t="s">
        <v>15</v>
      </c>
      <c r="E114" s="11"/>
      <c r="F114" s="11"/>
      <c r="G114" s="13" t="s">
        <v>1</v>
      </c>
      <c r="H114" s="11"/>
      <c r="I114" s="13" t="s">
        <v>144</v>
      </c>
      <c r="J114" s="14" t="s">
        <v>29</v>
      </c>
      <c r="K114" s="15">
        <v>45875</v>
      </c>
      <c r="L114" s="15">
        <v>45873</v>
      </c>
      <c r="M114" s="23" t="s">
        <v>247</v>
      </c>
    </row>
    <row r="115" spans="1:13" ht="13.5" thickBot="1">
      <c r="A115" s="8" t="s">
        <v>143</v>
      </c>
      <c r="B115" s="9" t="s">
        <v>8</v>
      </c>
      <c r="C115" s="11" t="s">
        <v>16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23" t="s">
        <v>247</v>
      </c>
    </row>
    <row r="116" spans="1:13" ht="13.5" thickBot="1">
      <c r="A116" s="8" t="s">
        <v>143</v>
      </c>
      <c r="B116" s="9" t="s">
        <v>9</v>
      </c>
      <c r="C116" s="11" t="s">
        <v>10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23" t="s">
        <v>247</v>
      </c>
    </row>
  </sheetData>
  <autoFilter ref="A1:M56">
    <filterColumn colId="0">
      <filters>
        <filter val="COM LUCERO GUEMES"/>
        <filter val="COM LUCERO GUEMES GONDOLA 13"/>
        <filter val="COM LUCERO GUEMES GONDOLA 7"/>
        <filter val="COM LUCERO GUEMES LOCAL 04"/>
        <filter val="COM LUCERO GUEMES LOCAL 0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Popok</dc:creator>
  <cp:lastModifiedBy>PC</cp:lastModifiedBy>
  <dcterms:created xsi:type="dcterms:W3CDTF">2025-09-18T15:57:14Z</dcterms:created>
  <dcterms:modified xsi:type="dcterms:W3CDTF">2025-09-25T17:52:28Z</dcterms:modified>
</cp:coreProperties>
</file>