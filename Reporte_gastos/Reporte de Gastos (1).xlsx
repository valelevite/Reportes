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tabRatio="807" firstSheet="4" activeTab="7"/>
  </bookViews>
  <sheets>
    <sheet name="Sueldos febrero" sheetId="11" r:id="rId1"/>
    <sheet name="Sueldos 03-2025" sheetId="21" r:id="rId2"/>
    <sheet name="Sueldos 04-2025" sheetId="20" r:id="rId3"/>
    <sheet name="Sueldos 05-2025" sheetId="17" r:id="rId4"/>
    <sheet name="Sueldos 06-2025" sheetId="19" r:id="rId5"/>
    <sheet name="Base" sheetId="13" r:id="rId6"/>
    <sheet name="Tabla" sheetId="14" r:id="rId7"/>
    <sheet name="LUCERO" sheetId="3" r:id="rId8"/>
    <sheet name="LUCERO-SAN TELMO" sheetId="7" r:id="rId9"/>
    <sheet name="LUCERO-SAN TELMO (A)" sheetId="9" r:id="rId10"/>
    <sheet name="LUCERO-CENTRO" sheetId="6" r:id="rId11"/>
    <sheet name="LUCERO-CENTRO (A)" sheetId="10" r:id="rId12"/>
    <sheet name="AS-SAN TELMO" sheetId="8" r:id="rId13"/>
  </sheets>
  <definedNames>
    <definedName name="_xlnm._FilterDatabase" localSheetId="5" hidden="1">Base!$A$1:$G$289</definedName>
    <definedName name="_xlnm._FilterDatabase" localSheetId="1" hidden="1">'Sueldos 03-2025'!$A$1:$T$27</definedName>
    <definedName name="_xlnm._FilterDatabase" localSheetId="2" hidden="1">'Sueldos 04-2025'!$A$1:$Q$33</definedName>
    <definedName name="_xlnm._FilterDatabase" localSheetId="3" hidden="1">'Sueldos 05-2025'!$A$1:$Q$29</definedName>
    <definedName name="_xlnm._FilterDatabase" localSheetId="0" hidden="1">'Sueldos febrero'!$A$1:$L$32</definedName>
    <definedName name="_xlcn.WorksheetConnection_Sueldos0420252A1D261" hidden="1">'Sueldos 04-2025'!$A$1:$D$26</definedName>
    <definedName name="_xlcn.WorksheetConnection_Sueldos0420252A1P271" hidden="1">'Sueldos 04-2025'!$A$1:$P$26</definedName>
    <definedName name="_xlnm.Print_Area" localSheetId="12">'AS-SAN TELMO'!$A$1:$G$38</definedName>
    <definedName name="_xlnm.Print_Area" localSheetId="7">LUCERO!$A$1:$G$38</definedName>
    <definedName name="_xlnm.Print_Area" localSheetId="10">'LUCERO-CENTRO'!$A$1:$G$38</definedName>
    <definedName name="_xlnm.Print_Area" localSheetId="8">'LUCERO-SAN TELMO'!$A$1:$G$38</definedName>
  </definedNames>
  <calcPr calcId="162913"/>
  <pivotCaches>
    <pivotCache cacheId="36" r:id="rId14"/>
    <pivotCache cacheId="37" r:id="rId15"/>
    <pivotCache cacheId="38" r:id="rId16"/>
    <pivotCache cacheId="39" r:id="rId17"/>
    <pivotCache cacheId="41" r:id="rId18"/>
    <pivotCache cacheId="44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3" name="Rango3" connection="WorksheetConnection_Sueldos 04-2025 (2)!$A$1:$P$27"/>
          <x15:modelTable id="Rango4" name="Rango4" connection="WorksheetConnection_Sueldos 04-2025 (2)!$A$1:$D$26"/>
        </x15:modelTables>
      </x15:dataModel>
    </ext>
  </extLst>
</workbook>
</file>

<file path=xl/calcChain.xml><?xml version="1.0" encoding="utf-8"?>
<calcChain xmlns="http://schemas.openxmlformats.org/spreadsheetml/2006/main">
  <c r="S3" i="17" l="1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2" i="17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" i="19"/>
  <c r="R3" i="17" l="1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2" i="17"/>
  <c r="U13" i="17" l="1"/>
  <c r="T13" i="20"/>
  <c r="W4" i="8" l="1"/>
  <c r="W7" i="8" s="1"/>
  <c r="V4" i="8"/>
  <c r="V7" i="8" s="1"/>
  <c r="V4" i="6"/>
  <c r="V6" i="6" s="1"/>
  <c r="AF41" i="10"/>
  <c r="AF42" i="10" s="1"/>
  <c r="U41" i="10"/>
  <c r="U43" i="10" s="1"/>
  <c r="J41" i="10"/>
  <c r="J44" i="10" s="1"/>
  <c r="V4" i="7"/>
  <c r="V6" i="7" s="1"/>
  <c r="AG41" i="9"/>
  <c r="AG42" i="9" s="1"/>
  <c r="U41" i="9"/>
  <c r="U44" i="9" s="1"/>
  <c r="J41" i="9"/>
  <c r="J43" i="9" s="1"/>
  <c r="V4" i="3"/>
  <c r="V5" i="3" s="1"/>
  <c r="W4" i="6"/>
  <c r="W6" i="6" s="1"/>
  <c r="AG41" i="10"/>
  <c r="AG42" i="10" s="1"/>
  <c r="V41" i="10"/>
  <c r="V42" i="10" s="1"/>
  <c r="K41" i="10"/>
  <c r="K44" i="10" s="1"/>
  <c r="J42" i="10"/>
  <c r="K42" i="10"/>
  <c r="V5" i="8"/>
  <c r="W5" i="8"/>
  <c r="V6" i="8"/>
  <c r="AG43" i="10"/>
  <c r="AG44" i="10"/>
  <c r="U42" i="10"/>
  <c r="V43" i="10"/>
  <c r="V5" i="6"/>
  <c r="W4" i="7"/>
  <c r="W5" i="7" s="1"/>
  <c r="AH41" i="9"/>
  <c r="AH42" i="9" s="1"/>
  <c r="V41" i="9"/>
  <c r="K41" i="9"/>
  <c r="K44" i="9" s="1"/>
  <c r="AH44" i="9"/>
  <c r="K42" i="9"/>
  <c r="K43" i="9"/>
  <c r="W7" i="3"/>
  <c r="V7" i="3"/>
  <c r="W6" i="3"/>
  <c r="W5" i="3"/>
  <c r="V42" i="9"/>
  <c r="V43" i="9"/>
  <c r="V44" i="9"/>
  <c r="W4" i="3"/>
  <c r="G289" i="13"/>
  <c r="A289" i="13"/>
  <c r="G288" i="13"/>
  <c r="A288" i="13"/>
  <c r="G287" i="13"/>
  <c r="A287" i="13"/>
  <c r="G286" i="13"/>
  <c r="A286" i="13"/>
  <c r="G285" i="13"/>
  <c r="A285" i="13"/>
  <c r="G284" i="13"/>
  <c r="A284" i="13"/>
  <c r="G283" i="13"/>
  <c r="A283" i="13"/>
  <c r="G282" i="13"/>
  <c r="A282" i="13"/>
  <c r="G281" i="13"/>
  <c r="A281" i="13"/>
  <c r="G280" i="13"/>
  <c r="A280" i="13"/>
  <c r="G279" i="13"/>
  <c r="A279" i="13"/>
  <c r="G278" i="13"/>
  <c r="A278" i="13"/>
  <c r="G277" i="13"/>
  <c r="A277" i="13"/>
  <c r="G276" i="13"/>
  <c r="A276" i="13"/>
  <c r="G275" i="13"/>
  <c r="A275" i="13"/>
  <c r="G274" i="13"/>
  <c r="A274" i="13"/>
  <c r="G273" i="13"/>
  <c r="A273" i="13"/>
  <c r="G272" i="13"/>
  <c r="A272" i="13"/>
  <c r="G271" i="13"/>
  <c r="A271" i="13"/>
  <c r="G270" i="13"/>
  <c r="A270" i="13"/>
  <c r="G269" i="13"/>
  <c r="A269" i="13"/>
  <c r="G268" i="13"/>
  <c r="A268" i="13"/>
  <c r="G267" i="13"/>
  <c r="A267" i="13"/>
  <c r="G266" i="13"/>
  <c r="A266" i="13"/>
  <c r="G265" i="13"/>
  <c r="A265" i="13"/>
  <c r="G264" i="13"/>
  <c r="A264" i="13"/>
  <c r="G263" i="13"/>
  <c r="A263" i="13"/>
  <c r="G262" i="13"/>
  <c r="A262" i="13"/>
  <c r="G261" i="13"/>
  <c r="A261" i="13"/>
  <c r="G260" i="13"/>
  <c r="A260" i="13"/>
  <c r="G259" i="13"/>
  <c r="A259" i="13"/>
  <c r="G258" i="13"/>
  <c r="A258" i="13"/>
  <c r="G257" i="13"/>
  <c r="A257" i="13"/>
  <c r="G256" i="13"/>
  <c r="A256" i="13"/>
  <c r="G255" i="13"/>
  <c r="A255" i="13"/>
  <c r="G254" i="13"/>
  <c r="A254" i="13"/>
  <c r="G253" i="13"/>
  <c r="A253" i="13"/>
  <c r="G252" i="13"/>
  <c r="A252" i="13"/>
  <c r="G251" i="13"/>
  <c r="A251" i="13"/>
  <c r="G250" i="13"/>
  <c r="A250" i="13"/>
  <c r="G249" i="13"/>
  <c r="A249" i="13"/>
  <c r="G248" i="13"/>
  <c r="A248" i="13"/>
  <c r="G247" i="13"/>
  <c r="A247" i="13"/>
  <c r="G246" i="13"/>
  <c r="A246" i="13"/>
  <c r="G245" i="13"/>
  <c r="A245" i="13"/>
  <c r="G244" i="13"/>
  <c r="A244" i="13"/>
  <c r="G243" i="13"/>
  <c r="A243" i="13"/>
  <c r="G242" i="13"/>
  <c r="A242" i="13"/>
  <c r="G241" i="13"/>
  <c r="A241" i="13"/>
  <c r="G240" i="13"/>
  <c r="A240" i="13"/>
  <c r="G239" i="13"/>
  <c r="A239" i="13"/>
  <c r="G238" i="13"/>
  <c r="A238" i="13"/>
  <c r="G237" i="13"/>
  <c r="A237" i="13"/>
  <c r="G236" i="13"/>
  <c r="A236" i="13"/>
  <c r="G235" i="13"/>
  <c r="A235" i="13"/>
  <c r="G234" i="13"/>
  <c r="A234" i="13"/>
  <c r="G233" i="13"/>
  <c r="A233" i="13"/>
  <c r="G232" i="13"/>
  <c r="A232" i="13"/>
  <c r="G231" i="13"/>
  <c r="A231" i="13"/>
  <c r="G230" i="13"/>
  <c r="A230" i="13"/>
  <c r="G229" i="13"/>
  <c r="A229" i="13"/>
  <c r="G228" i="13"/>
  <c r="A228" i="13"/>
  <c r="G227" i="13"/>
  <c r="A227" i="13"/>
  <c r="G226" i="13"/>
  <c r="A226" i="13"/>
  <c r="W6" i="8" l="1"/>
  <c r="V7" i="6"/>
  <c r="AF44" i="10"/>
  <c r="AF43" i="10"/>
  <c r="U44" i="10"/>
  <c r="J43" i="10"/>
  <c r="V5" i="7"/>
  <c r="V7" i="7"/>
  <c r="AG43" i="9"/>
  <c r="AG44" i="9"/>
  <c r="U42" i="9"/>
  <c r="U43" i="9"/>
  <c r="J44" i="9"/>
  <c r="J42" i="9"/>
  <c r="V6" i="3"/>
  <c r="W7" i="6"/>
  <c r="W5" i="6"/>
  <c r="V44" i="10"/>
  <c r="K43" i="10"/>
  <c r="W7" i="7"/>
  <c r="W6" i="7"/>
  <c r="AH43" i="9"/>
  <c r="I44" i="9"/>
  <c r="H44" i="9"/>
  <c r="I43" i="9"/>
  <c r="H43" i="9"/>
  <c r="I42" i="9"/>
  <c r="H42" i="9"/>
  <c r="U7" i="7"/>
  <c r="T7" i="7"/>
  <c r="U6" i="7"/>
  <c r="T6" i="7"/>
  <c r="U5" i="7"/>
  <c r="T5" i="7"/>
  <c r="U6" i="3"/>
  <c r="U7" i="3"/>
  <c r="U5" i="3"/>
  <c r="T6" i="3"/>
  <c r="T5" i="3"/>
  <c r="T7" i="3"/>
  <c r="G225" i="13" l="1"/>
  <c r="A225" i="13"/>
  <c r="G224" i="13"/>
  <c r="A224" i="13"/>
  <c r="G223" i="13"/>
  <c r="A223" i="13"/>
  <c r="G222" i="13"/>
  <c r="A222" i="13"/>
  <c r="G221" i="13"/>
  <c r="A221" i="13"/>
  <c r="G220" i="13"/>
  <c r="A220" i="13"/>
  <c r="G219" i="13"/>
  <c r="A219" i="13"/>
  <c r="G218" i="13"/>
  <c r="A218" i="13"/>
  <c r="G217" i="13"/>
  <c r="A217" i="13"/>
  <c r="G216" i="13"/>
  <c r="A216" i="13"/>
  <c r="G215" i="13"/>
  <c r="A215" i="13"/>
  <c r="G214" i="13"/>
  <c r="A214" i="13"/>
  <c r="G213" i="13"/>
  <c r="A213" i="13"/>
  <c r="G212" i="13"/>
  <c r="A212" i="13"/>
  <c r="G211" i="13"/>
  <c r="A211" i="13"/>
  <c r="G210" i="13"/>
  <c r="A210" i="13"/>
  <c r="G209" i="13"/>
  <c r="A209" i="13"/>
  <c r="G208" i="13"/>
  <c r="A208" i="13"/>
  <c r="G207" i="13"/>
  <c r="A207" i="13"/>
  <c r="G206" i="13"/>
  <c r="A206" i="13"/>
  <c r="G205" i="13"/>
  <c r="A205" i="13"/>
  <c r="G204" i="13"/>
  <c r="A204" i="13"/>
  <c r="G203" i="13"/>
  <c r="A203" i="13"/>
  <c r="G202" i="13"/>
  <c r="A202" i="13"/>
  <c r="G201" i="13"/>
  <c r="A201" i="13"/>
  <c r="G200" i="13"/>
  <c r="A200" i="13"/>
  <c r="G199" i="13"/>
  <c r="A199" i="13"/>
  <c r="G198" i="13"/>
  <c r="A198" i="13"/>
  <c r="G197" i="13"/>
  <c r="A197" i="13"/>
  <c r="G196" i="13"/>
  <c r="A196" i="13"/>
  <c r="G195" i="13"/>
  <c r="A195" i="13"/>
  <c r="G194" i="13"/>
  <c r="A194" i="13"/>
  <c r="G193" i="13"/>
  <c r="A193" i="13"/>
  <c r="G192" i="13"/>
  <c r="A192" i="13"/>
  <c r="G191" i="13"/>
  <c r="A191" i="13"/>
  <c r="G190" i="13"/>
  <c r="A190" i="13"/>
  <c r="G189" i="13"/>
  <c r="A189" i="13"/>
  <c r="G188" i="13"/>
  <c r="A188" i="13"/>
  <c r="G187" i="13"/>
  <c r="A187" i="13"/>
  <c r="G186" i="13"/>
  <c r="A186" i="13"/>
  <c r="G185" i="13"/>
  <c r="A185" i="13"/>
  <c r="G184" i="13"/>
  <c r="A184" i="13"/>
  <c r="G183" i="13"/>
  <c r="A183" i="13"/>
  <c r="G182" i="13"/>
  <c r="A182" i="13"/>
  <c r="G181" i="13"/>
  <c r="A181" i="13"/>
  <c r="G180" i="13"/>
  <c r="A180" i="13"/>
  <c r="G179" i="13"/>
  <c r="A179" i="13"/>
  <c r="G178" i="13"/>
  <c r="A178" i="13"/>
  <c r="G177" i="13"/>
  <c r="A177" i="13"/>
  <c r="G176" i="13"/>
  <c r="A176" i="13"/>
  <c r="G175" i="13"/>
  <c r="A175" i="13"/>
  <c r="G174" i="13"/>
  <c r="A174" i="13"/>
  <c r="G173" i="13"/>
  <c r="A173" i="13"/>
  <c r="G172" i="13"/>
  <c r="A172" i="13"/>
  <c r="G171" i="13"/>
  <c r="A171" i="13"/>
  <c r="G170" i="13"/>
  <c r="A170" i="13"/>
  <c r="G169" i="13"/>
  <c r="A169" i="13"/>
  <c r="G168" i="13"/>
  <c r="A168" i="13"/>
  <c r="G167" i="13"/>
  <c r="A167" i="13"/>
  <c r="G166" i="13"/>
  <c r="A166" i="13"/>
  <c r="G165" i="13"/>
  <c r="A165" i="13"/>
  <c r="G164" i="13"/>
  <c r="A164" i="13"/>
  <c r="G163" i="13"/>
  <c r="A163" i="13"/>
  <c r="G162" i="13"/>
  <c r="A162" i="13"/>
  <c r="G161" i="13"/>
  <c r="A161" i="13"/>
  <c r="G160" i="13"/>
  <c r="A160" i="13"/>
  <c r="G159" i="13"/>
  <c r="A159" i="13"/>
  <c r="G158" i="13"/>
  <c r="A158" i="13"/>
  <c r="G157" i="13"/>
  <c r="A157" i="13"/>
  <c r="G156" i="13"/>
  <c r="A156" i="13"/>
  <c r="G155" i="13"/>
  <c r="A155" i="13"/>
  <c r="G154" i="13"/>
  <c r="A154" i="13"/>
  <c r="G153" i="13"/>
  <c r="A153" i="13"/>
  <c r="G152" i="13"/>
  <c r="A152" i="13"/>
  <c r="G151" i="13"/>
  <c r="A151" i="13"/>
  <c r="G150" i="13"/>
  <c r="A150" i="13"/>
  <c r="G149" i="13"/>
  <c r="A149" i="13"/>
  <c r="G148" i="13"/>
  <c r="A148" i="13"/>
  <c r="G147" i="13"/>
  <c r="A147" i="13"/>
  <c r="G146" i="13"/>
  <c r="A146" i="13"/>
  <c r="G145" i="13"/>
  <c r="A145" i="13"/>
  <c r="G144" i="13"/>
  <c r="A144" i="13"/>
  <c r="G143" i="13"/>
  <c r="A143" i="13"/>
  <c r="G142" i="13"/>
  <c r="A142" i="13"/>
  <c r="G141" i="13"/>
  <c r="A141" i="13"/>
  <c r="G140" i="13"/>
  <c r="A140" i="13"/>
  <c r="G139" i="13"/>
  <c r="A139" i="13"/>
  <c r="G138" i="13"/>
  <c r="A138" i="13"/>
  <c r="G137" i="13"/>
  <c r="A137" i="13"/>
  <c r="G136" i="13"/>
  <c r="A136" i="13"/>
  <c r="G135" i="13"/>
  <c r="A135" i="13"/>
  <c r="G134" i="13"/>
  <c r="A134" i="13"/>
  <c r="G133" i="13"/>
  <c r="A133" i="13"/>
  <c r="G132" i="13"/>
  <c r="A132" i="13"/>
  <c r="G131" i="13"/>
  <c r="A131" i="13"/>
  <c r="G130" i="13"/>
  <c r="A130" i="13"/>
  <c r="G129" i="13"/>
  <c r="A129" i="13"/>
  <c r="G128" i="13"/>
  <c r="A128" i="13"/>
  <c r="G127" i="13"/>
  <c r="A127" i="13"/>
  <c r="G126" i="13"/>
  <c r="A126" i="13"/>
  <c r="G125" i="13"/>
  <c r="A125" i="13"/>
  <c r="G124" i="13"/>
  <c r="A124" i="13"/>
  <c r="G123" i="13"/>
  <c r="A123" i="13"/>
  <c r="G122" i="13"/>
  <c r="A122" i="13"/>
  <c r="G121" i="13"/>
  <c r="A121" i="13"/>
  <c r="G120" i="13"/>
  <c r="A120" i="13"/>
  <c r="G119" i="13"/>
  <c r="A119" i="13"/>
  <c r="G118" i="13"/>
  <c r="A118" i="13"/>
  <c r="G117" i="13"/>
  <c r="A117" i="13"/>
  <c r="G116" i="13"/>
  <c r="A116" i="13"/>
  <c r="G115" i="13"/>
  <c r="A115" i="13"/>
  <c r="G114" i="13"/>
  <c r="A114" i="13"/>
  <c r="G113" i="13"/>
  <c r="A113" i="13"/>
  <c r="G112" i="13"/>
  <c r="A112" i="13"/>
  <c r="G111" i="13"/>
  <c r="A111" i="13"/>
  <c r="G110" i="13"/>
  <c r="A110" i="13"/>
  <c r="G109" i="13"/>
  <c r="A109" i="13"/>
  <c r="G108" i="13"/>
  <c r="A108" i="13"/>
  <c r="G107" i="13"/>
  <c r="A107" i="13"/>
  <c r="G106" i="13"/>
  <c r="A106" i="13"/>
  <c r="G105" i="13"/>
  <c r="A105" i="13"/>
  <c r="G104" i="13"/>
  <c r="A104" i="13"/>
  <c r="G103" i="13"/>
  <c r="A103" i="13"/>
  <c r="G102" i="13"/>
  <c r="A102" i="13"/>
  <c r="G101" i="13"/>
  <c r="A101" i="13"/>
  <c r="G100" i="13"/>
  <c r="A100" i="13"/>
  <c r="G99" i="13"/>
  <c r="A99" i="13"/>
  <c r="G98" i="13"/>
  <c r="A98" i="13"/>
  <c r="G97" i="13"/>
  <c r="A97" i="13"/>
  <c r="G96" i="13"/>
  <c r="A96" i="13"/>
  <c r="G95" i="13"/>
  <c r="A95" i="13"/>
  <c r="G94" i="13"/>
  <c r="A94" i="13"/>
  <c r="G93" i="13"/>
  <c r="A93" i="13"/>
  <c r="G92" i="13"/>
  <c r="A92" i="13"/>
  <c r="G91" i="13"/>
  <c r="A91" i="13"/>
  <c r="G90" i="13"/>
  <c r="A90" i="13"/>
  <c r="G89" i="13"/>
  <c r="A89" i="13"/>
  <c r="G88" i="13"/>
  <c r="A88" i="13"/>
  <c r="G87" i="13"/>
  <c r="A87" i="13"/>
  <c r="G86" i="13"/>
  <c r="A86" i="13"/>
  <c r="G85" i="13"/>
  <c r="A85" i="13"/>
  <c r="G84" i="13"/>
  <c r="A84" i="13"/>
  <c r="G83" i="13"/>
  <c r="A83" i="13"/>
  <c r="G82" i="13"/>
  <c r="A82" i="13"/>
  <c r="G81" i="13"/>
  <c r="A81" i="13"/>
  <c r="G80" i="13"/>
  <c r="A80" i="13"/>
  <c r="G79" i="13"/>
  <c r="A79" i="13"/>
  <c r="G78" i="13"/>
  <c r="A78" i="13"/>
  <c r="G77" i="13"/>
  <c r="A77" i="13"/>
  <c r="G76" i="13"/>
  <c r="A76" i="13"/>
  <c r="G75" i="13"/>
  <c r="A75" i="13"/>
  <c r="G74" i="13"/>
  <c r="A74" i="13"/>
  <c r="G73" i="13"/>
  <c r="A73" i="13"/>
  <c r="G72" i="13"/>
  <c r="A72" i="13"/>
  <c r="G71" i="13"/>
  <c r="A71" i="13"/>
  <c r="G70" i="13"/>
  <c r="A70" i="13"/>
  <c r="G69" i="13"/>
  <c r="A69" i="13"/>
  <c r="G68" i="13"/>
  <c r="A68" i="13"/>
  <c r="G67" i="13"/>
  <c r="A67" i="13"/>
  <c r="G66" i="13"/>
  <c r="A66" i="13"/>
  <c r="G65" i="13"/>
  <c r="A65" i="13"/>
  <c r="G64" i="13"/>
  <c r="A64" i="13"/>
  <c r="G63" i="13"/>
  <c r="A63" i="13"/>
  <c r="G62" i="13"/>
  <c r="A62" i="13"/>
  <c r="G61" i="13"/>
  <c r="A61" i="13"/>
  <c r="G60" i="13"/>
  <c r="A60" i="13"/>
  <c r="G59" i="13"/>
  <c r="A59" i="13"/>
  <c r="G58" i="13"/>
  <c r="A58" i="13"/>
  <c r="G57" i="13"/>
  <c r="A57" i="13"/>
  <c r="G56" i="13"/>
  <c r="A56" i="13"/>
  <c r="G55" i="13"/>
  <c r="A55" i="13"/>
  <c r="G54" i="13"/>
  <c r="A54" i="13"/>
  <c r="G53" i="13"/>
  <c r="A53" i="13"/>
  <c r="G52" i="13"/>
  <c r="A52" i="13"/>
  <c r="G51" i="13"/>
  <c r="A51" i="13"/>
  <c r="G50" i="13"/>
  <c r="A50" i="13"/>
  <c r="G49" i="13"/>
  <c r="A49" i="13"/>
  <c r="G48" i="13"/>
  <c r="A48" i="13"/>
  <c r="G47" i="13"/>
  <c r="A47" i="13"/>
  <c r="G46" i="13"/>
  <c r="A46" i="13"/>
  <c r="G45" i="13"/>
  <c r="A45" i="13"/>
  <c r="G44" i="13"/>
  <c r="A44" i="13"/>
  <c r="G43" i="13"/>
  <c r="A43" i="13"/>
  <c r="G42" i="13"/>
  <c r="A42" i="13"/>
  <c r="G41" i="13"/>
  <c r="A41" i="13"/>
  <c r="G40" i="13"/>
  <c r="A40" i="13"/>
  <c r="G39" i="13"/>
  <c r="A39" i="13"/>
  <c r="G38" i="13"/>
  <c r="A38" i="13"/>
  <c r="G37" i="13"/>
  <c r="A37" i="13"/>
  <c r="G36" i="13"/>
  <c r="A36" i="13"/>
  <c r="G35" i="13"/>
  <c r="A35" i="13"/>
  <c r="G34" i="13"/>
  <c r="A34" i="13"/>
  <c r="G33" i="13"/>
  <c r="A33" i="13"/>
  <c r="G32" i="13"/>
  <c r="A32" i="13"/>
  <c r="G31" i="13"/>
  <c r="A31" i="13"/>
  <c r="G30" i="13"/>
  <c r="A30" i="13"/>
  <c r="G29" i="13"/>
  <c r="A29" i="13"/>
  <c r="G28" i="13"/>
  <c r="A28" i="13"/>
  <c r="G27" i="13"/>
  <c r="A27" i="13"/>
  <c r="G26" i="13"/>
  <c r="A26" i="13"/>
  <c r="G25" i="13"/>
  <c r="A25" i="13"/>
  <c r="G24" i="13"/>
  <c r="A24" i="13"/>
  <c r="G23" i="13"/>
  <c r="A23" i="13"/>
  <c r="G22" i="13"/>
  <c r="A22" i="13"/>
  <c r="G21" i="13"/>
  <c r="A21" i="13"/>
  <c r="G20" i="13"/>
  <c r="A20" i="13"/>
  <c r="G19" i="13"/>
  <c r="A19" i="13"/>
  <c r="G18" i="13"/>
  <c r="A18" i="13"/>
  <c r="G17" i="13"/>
  <c r="A17" i="13"/>
  <c r="G16" i="13"/>
  <c r="A16" i="13"/>
  <c r="G15" i="13"/>
  <c r="A15" i="13"/>
  <c r="G14" i="13"/>
  <c r="A14" i="13"/>
  <c r="G13" i="13"/>
  <c r="A13" i="13"/>
  <c r="G12" i="13"/>
  <c r="A12" i="13"/>
  <c r="G11" i="13"/>
  <c r="A11" i="13"/>
  <c r="G10" i="13"/>
  <c r="A10" i="13"/>
  <c r="G9" i="13"/>
  <c r="A9" i="13"/>
  <c r="G8" i="13"/>
  <c r="A8" i="13"/>
  <c r="G7" i="13"/>
  <c r="A7" i="13"/>
  <c r="G6" i="13"/>
  <c r="A6" i="13"/>
  <c r="G5" i="13"/>
  <c r="A5" i="13"/>
  <c r="G4" i="13"/>
  <c r="A4" i="13"/>
  <c r="G3" i="13"/>
  <c r="A3" i="13"/>
  <c r="G2" i="13"/>
  <c r="A2" i="13"/>
  <c r="AD42" i="10" l="1"/>
  <c r="AE42" i="10"/>
  <c r="AD43" i="10"/>
  <c r="AE43" i="10"/>
  <c r="AD44" i="10"/>
  <c r="AE44" i="10"/>
  <c r="S42" i="10"/>
  <c r="T42" i="10"/>
  <c r="S43" i="10"/>
  <c r="T43" i="10"/>
  <c r="S44" i="10"/>
  <c r="T44" i="10"/>
  <c r="H42" i="10"/>
  <c r="I42" i="10"/>
  <c r="H43" i="10"/>
  <c r="I43" i="10"/>
  <c r="H44" i="10"/>
  <c r="I44" i="10"/>
  <c r="T5" i="6"/>
  <c r="U5" i="6"/>
  <c r="T6" i="6"/>
  <c r="U6" i="6"/>
  <c r="T7" i="6"/>
  <c r="U7" i="6"/>
  <c r="AE42" i="9"/>
  <c r="AF42" i="9"/>
  <c r="AE43" i="9"/>
  <c r="AF43" i="9"/>
  <c r="AE44" i="9"/>
  <c r="AF44" i="9"/>
  <c r="S42" i="9"/>
  <c r="T42" i="9"/>
  <c r="S43" i="9"/>
  <c r="T43" i="9"/>
  <c r="S44" i="9"/>
  <c r="T44" i="9"/>
  <c r="T5" i="8"/>
  <c r="U5" i="8"/>
  <c r="T6" i="8"/>
  <c r="U6" i="8"/>
  <c r="T7" i="8"/>
  <c r="U7" i="8"/>
  <c r="U4" i="3" l="1"/>
  <c r="T4" i="3"/>
  <c r="S7" i="8" l="1"/>
  <c r="S6" i="8"/>
  <c r="S5" i="8"/>
  <c r="O7" i="8"/>
  <c r="O6" i="8"/>
  <c r="O5" i="8"/>
  <c r="P7" i="8"/>
  <c r="P6" i="8"/>
  <c r="P5" i="8"/>
  <c r="Q7" i="8"/>
  <c r="Q6" i="8"/>
  <c r="Q5" i="8"/>
  <c r="R6" i="8"/>
  <c r="R7" i="8"/>
  <c r="R5" i="8"/>
  <c r="AC44" i="10"/>
  <c r="AC43" i="10"/>
  <c r="AC42" i="10"/>
  <c r="AB44" i="10"/>
  <c r="AB43" i="10"/>
  <c r="AB42" i="10"/>
  <c r="R44" i="10"/>
  <c r="R43" i="10"/>
  <c r="R42" i="10"/>
  <c r="P44" i="10"/>
  <c r="P43" i="10"/>
  <c r="P42" i="10"/>
  <c r="Q44" i="10"/>
  <c r="Q43" i="10"/>
  <c r="Q42" i="10"/>
  <c r="O44" i="10"/>
  <c r="O43" i="10"/>
  <c r="O42" i="10"/>
  <c r="N44" i="10"/>
  <c r="N43" i="10"/>
  <c r="N42" i="10"/>
  <c r="G44" i="10"/>
  <c r="G43" i="10"/>
  <c r="G42" i="10"/>
  <c r="C44" i="10"/>
  <c r="C43" i="10"/>
  <c r="C42" i="10"/>
  <c r="D44" i="10"/>
  <c r="D43" i="10"/>
  <c r="D42" i="10"/>
  <c r="E44" i="10"/>
  <c r="E43" i="10"/>
  <c r="E42" i="10"/>
  <c r="F43" i="10"/>
  <c r="F44" i="10"/>
  <c r="F42" i="10"/>
  <c r="S7" i="6"/>
  <c r="S6" i="6"/>
  <c r="S5" i="6"/>
  <c r="O7" i="6"/>
  <c r="O6" i="6"/>
  <c r="O5" i="6"/>
  <c r="P7" i="6"/>
  <c r="P6" i="6"/>
  <c r="P5" i="6"/>
  <c r="Q7" i="6"/>
  <c r="Q6" i="6"/>
  <c r="Q5" i="6"/>
  <c r="R6" i="6"/>
  <c r="R7" i="6"/>
  <c r="R5" i="6"/>
  <c r="AD44" i="9"/>
  <c r="AD43" i="9"/>
  <c r="AD42" i="9"/>
  <c r="AC44" i="9"/>
  <c r="AC43" i="9"/>
  <c r="AC42" i="9"/>
  <c r="AB44" i="9"/>
  <c r="AB43" i="9"/>
  <c r="AB42" i="9"/>
  <c r="AA44" i="9"/>
  <c r="AA43" i="9"/>
  <c r="AA42" i="9"/>
  <c r="R44" i="9"/>
  <c r="R43" i="9"/>
  <c r="R42" i="9"/>
  <c r="Q44" i="9"/>
  <c r="Q43" i="9"/>
  <c r="Q42" i="9"/>
  <c r="P44" i="9"/>
  <c r="P43" i="9"/>
  <c r="P42" i="9"/>
  <c r="O44" i="9"/>
  <c r="O43" i="9"/>
  <c r="O42" i="9"/>
  <c r="N44" i="9"/>
  <c r="N43" i="9"/>
  <c r="N42" i="9"/>
  <c r="C44" i="9"/>
  <c r="C43" i="9"/>
  <c r="C42" i="9"/>
  <c r="D44" i="9"/>
  <c r="D43" i="9"/>
  <c r="D42" i="9"/>
  <c r="E44" i="9"/>
  <c r="E43" i="9"/>
  <c r="E42" i="9"/>
  <c r="G44" i="9"/>
  <c r="G43" i="9"/>
  <c r="G42" i="9"/>
  <c r="F43" i="9"/>
  <c r="F44" i="9"/>
  <c r="F42" i="9"/>
  <c r="S7" i="7"/>
  <c r="S6" i="7"/>
  <c r="S5" i="7"/>
  <c r="O7" i="7"/>
  <c r="O6" i="7"/>
  <c r="O5" i="7"/>
  <c r="P7" i="7"/>
  <c r="P6" i="7"/>
  <c r="P5" i="7"/>
  <c r="Q7" i="7"/>
  <c r="Q6" i="7"/>
  <c r="Q5" i="7"/>
  <c r="R6" i="7"/>
  <c r="R7" i="7"/>
  <c r="R5" i="7"/>
  <c r="O7" i="3"/>
  <c r="O6" i="3"/>
  <c r="O5" i="3"/>
  <c r="P7" i="3"/>
  <c r="P6" i="3"/>
  <c r="P5" i="3"/>
  <c r="Q7" i="3"/>
  <c r="Q6" i="3"/>
  <c r="Q5" i="3"/>
  <c r="R7" i="3"/>
  <c r="R6" i="3"/>
  <c r="R5" i="3"/>
  <c r="S6" i="3"/>
  <c r="S7" i="3"/>
  <c r="S5" i="3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ueldos 04-2025 (2)!$A$1:$D$26" type="102" refreshedVersion="6" minRefreshableVersion="5">
    <extLst>
      <ext xmlns:x15="http://schemas.microsoft.com/office/spreadsheetml/2010/11/main" uri="{DE250136-89BD-433C-8126-D09CA5730AF9}">
        <x15:connection id="Rango4" autoDelete="1">
          <x15:rangePr sourceName="_xlcn.WorksheetConnection_Sueldos0420252A1D261"/>
        </x15:connection>
      </ext>
    </extLst>
  </connection>
  <connection id="3" name="WorksheetConnection_Sueldos 04-2025 (2)!$A$1:$P$27" type="102" refreshedVersion="6" minRefreshableVersion="5">
    <extLst>
      <ext xmlns:x15="http://schemas.microsoft.com/office/spreadsheetml/2010/11/main" uri="{DE250136-89BD-433C-8126-D09CA5730AF9}">
        <x15:connection id="Rango3" autoDelete="1">
          <x15:rangePr sourceName="_xlcn.WorksheetConnection_Sueldos0420252A1P271"/>
        </x15:connection>
      </ext>
    </extLst>
  </connection>
</connections>
</file>

<file path=xl/sharedStrings.xml><?xml version="1.0" encoding="utf-8"?>
<sst xmlns="http://schemas.openxmlformats.org/spreadsheetml/2006/main" count="1857" uniqueCount="323">
  <si>
    <t>Otros gastos</t>
  </si>
  <si>
    <t>Solar de French</t>
  </si>
  <si>
    <t>El Lucero</t>
  </si>
  <si>
    <t>San Telmo 2</t>
  </si>
  <si>
    <t>San Telmo</t>
  </si>
  <si>
    <t>Recoleta</t>
  </si>
  <si>
    <t>Galería Güemes</t>
  </si>
  <si>
    <t>Florida</t>
  </si>
  <si>
    <t>AS</t>
  </si>
  <si>
    <t>Quilmes</t>
  </si>
  <si>
    <t>Personal</t>
  </si>
  <si>
    <t>Alquiler y expensas</t>
  </si>
  <si>
    <t>Venta</t>
  </si>
  <si>
    <t>-</t>
  </si>
  <si>
    <t>Gasto</t>
  </si>
  <si>
    <t>Ingreso</t>
  </si>
  <si>
    <t>Tipo</t>
  </si>
  <si>
    <t>Concepto</t>
  </si>
  <si>
    <t>Centro</t>
  </si>
  <si>
    <t>Zona</t>
  </si>
  <si>
    <t>Local</t>
  </si>
  <si>
    <t>Marca</t>
  </si>
  <si>
    <t>Importe</t>
  </si>
  <si>
    <t>Mes</t>
  </si>
  <si>
    <t>(Todas)</t>
  </si>
  <si>
    <t>Etiquetas de columna</t>
  </si>
  <si>
    <t>Total general</t>
  </si>
  <si>
    <t>Suma de Importe</t>
  </si>
  <si>
    <t>Etiquetas de fila</t>
  </si>
  <si>
    <t>Venta (M)</t>
  </si>
  <si>
    <t>EL LUCERO</t>
  </si>
  <si>
    <t>EL LUCERO - CENTRO</t>
  </si>
  <si>
    <t>EL LUCERO - SAN TELMO</t>
  </si>
  <si>
    <t>EL LUCERO - SAN TELMO 1</t>
  </si>
  <si>
    <t>EL LUCERO - SAN TELMO 2</t>
  </si>
  <si>
    <t>EL LUCERO - FRENCH</t>
  </si>
  <si>
    <t>EL LUCERO - FLORIDA</t>
  </si>
  <si>
    <t>EL LUCERO - RECOLETA</t>
  </si>
  <si>
    <t>EL LUCERO - GALERIA GÜEMES</t>
  </si>
  <si>
    <t>AS - SAN TELMO</t>
  </si>
  <si>
    <t>Legajo</t>
  </si>
  <si>
    <t>Apellido y Nombre</t>
  </si>
  <si>
    <t>Período</t>
  </si>
  <si>
    <t>Sueldo Neto</t>
  </si>
  <si>
    <t>Sueldo Bruto</t>
  </si>
  <si>
    <t>Tienda</t>
  </si>
  <si>
    <t>CARRIZO CAMILA AGOSTINA</t>
  </si>
  <si>
    <t>ALVAREZ AGUILERA LISMAR GABRIELA</t>
  </si>
  <si>
    <t>Esposito Candela</t>
  </si>
  <si>
    <t>Bertolo Milagros</t>
  </si>
  <si>
    <t>Barajas Barbara</t>
  </si>
  <si>
    <t>De Brito Rocio Nicole</t>
  </si>
  <si>
    <t>Robbio Lara</t>
  </si>
  <si>
    <t>Viña Sofia</t>
  </si>
  <si>
    <t>Molina Agustina</t>
  </si>
  <si>
    <t>Corbalan Kiara Alejandra</t>
  </si>
  <si>
    <t>MARTINEZ  BRISA NICOLE</t>
  </si>
  <si>
    <t>Coronel Mailen Alexia</t>
  </si>
  <si>
    <t>Ruiz de la Torre Maitena</t>
  </si>
  <si>
    <t>Gimenez Bidal Candela Luciana</t>
  </si>
  <si>
    <t>Imperiale Candela</t>
  </si>
  <si>
    <t>MACHUCA TORRES ARACELI DEL VALLE</t>
  </si>
  <si>
    <t>GIMENEZ  MANUELA SOLEDAD</t>
  </si>
  <si>
    <t>Acosta Fara Carolina</t>
  </si>
  <si>
    <t>Sotelo  Daiana Elizabeth</t>
  </si>
  <si>
    <t>Villarruel Candela Jazmin</t>
  </si>
  <si>
    <t>Balmaceda  Luciana Pilar</t>
  </si>
  <si>
    <t>Oliva Micaela Romina</t>
  </si>
  <si>
    <t>Mohamad Daila</t>
  </si>
  <si>
    <t>Sarapura Velazquez Rebecca</t>
  </si>
  <si>
    <t>Scholler Chavez Ruth Iriel</t>
  </si>
  <si>
    <t>Ramirez Lola</t>
  </si>
  <si>
    <t>Guerreño Naomi Geraldina</t>
  </si>
  <si>
    <t>Machta  Gina Mariela</t>
  </si>
  <si>
    <t>Dettoni Leguizamon Oriana</t>
  </si>
  <si>
    <t>Agüero Florencia</t>
  </si>
  <si>
    <t>Martinez Morena</t>
  </si>
  <si>
    <t>SAN TELMO 2</t>
  </si>
  <si>
    <t>SAN TELMO</t>
  </si>
  <si>
    <t>Cargas Sociales</t>
  </si>
  <si>
    <t>ART</t>
  </si>
  <si>
    <t>Hs trabajadas</t>
  </si>
  <si>
    <t>AS SAN TELMO</t>
  </si>
  <si>
    <t>NO</t>
  </si>
  <si>
    <t>FLORIDA</t>
  </si>
  <si>
    <t>AS QUILMES</t>
  </si>
  <si>
    <t>FRENCH</t>
  </si>
  <si>
    <t>GÜEMES</t>
  </si>
  <si>
    <t>RECOLETA</t>
  </si>
  <si>
    <t>French</t>
  </si>
  <si>
    <t>Estructura</t>
  </si>
  <si>
    <t>AS San Telmo</t>
  </si>
  <si>
    <t>Güemes</t>
  </si>
  <si>
    <t>2024</t>
  </si>
  <si>
    <t>2025</t>
  </si>
  <si>
    <t>ene</t>
  </si>
  <si>
    <t>feb</t>
  </si>
  <si>
    <t>mar</t>
  </si>
  <si>
    <t>abr</t>
  </si>
  <si>
    <t>San Telmo AS</t>
  </si>
  <si>
    <t>Periodo</t>
  </si>
  <si>
    <t>Tienda asignada este mes</t>
  </si>
  <si>
    <t>Horas Totales</t>
  </si>
  <si>
    <t>Hs Feriados</t>
  </si>
  <si>
    <t>Hs Normales (con vacaciones)</t>
  </si>
  <si>
    <t>Plus vacacional</t>
  </si>
  <si>
    <t>Contribuciones + ART</t>
  </si>
  <si>
    <t>Costo total</t>
  </si>
  <si>
    <t>SI</t>
  </si>
  <si>
    <t>Suma de Costo total</t>
  </si>
  <si>
    <t>Lucero San Telmo</t>
  </si>
  <si>
    <t>Lucero French</t>
  </si>
  <si>
    <t>Lucero Florida</t>
  </si>
  <si>
    <t>Lucero Recoleta</t>
  </si>
  <si>
    <t>Lucero Güemes</t>
  </si>
  <si>
    <t>Lucero San Telmo 2</t>
  </si>
  <si>
    <t>Recuento distinto de Legajo</t>
  </si>
  <si>
    <t xml:space="preserve">Horas Totales </t>
  </si>
  <si>
    <t>Carrizo Camila</t>
  </si>
  <si>
    <t>De Brito Rocio</t>
  </si>
  <si>
    <t>Lara Robbio</t>
  </si>
  <si>
    <t>Kiara Corbalan</t>
  </si>
  <si>
    <t>Martínez Brisa</t>
  </si>
  <si>
    <t>CORONEL Mailen</t>
  </si>
  <si>
    <t>Gimenez Candela</t>
  </si>
  <si>
    <t>Machuca Araceli</t>
  </si>
  <si>
    <t>Villarruel Candela</t>
  </si>
  <si>
    <t>Balmaceda Luciana</t>
  </si>
  <si>
    <t>Oliva Micaela</t>
  </si>
  <si>
    <t>Sarapura Rebecca</t>
  </si>
  <si>
    <t>Scholler Chavez Ruth</t>
  </si>
  <si>
    <t>Machta Gina</t>
  </si>
  <si>
    <t>Florencia Aguero</t>
  </si>
  <si>
    <t>Morena Martinez</t>
  </si>
  <si>
    <t xml:space="preserve">Machuca Araceli </t>
  </si>
  <si>
    <t xml:space="preserve">Morena Martinez </t>
  </si>
  <si>
    <t>Chiara Perazzo</t>
  </si>
  <si>
    <t>Hs Normales (con vacaciones y feriados NO trabajados)</t>
  </si>
  <si>
    <t>Hs Feriados (Horas)</t>
  </si>
  <si>
    <t>Feriados No trabajados (Hs)</t>
  </si>
  <si>
    <t>Licencias justificadas 
(en HORAS)</t>
  </si>
  <si>
    <t>Cant dias vacaciones</t>
  </si>
  <si>
    <t>Premios</t>
  </si>
  <si>
    <t>Observaciones</t>
  </si>
  <si>
    <t>Cabovianco Natalia</t>
  </si>
  <si>
    <t>Supervisora</t>
  </si>
  <si>
    <t>28 D</t>
  </si>
  <si>
    <t>1,00 D</t>
  </si>
  <si>
    <t>1 D</t>
  </si>
  <si>
    <t>Eredia Cintia</t>
  </si>
  <si>
    <t>Visual</t>
  </si>
  <si>
    <t>29 D</t>
  </si>
  <si>
    <t>4.00</t>
  </si>
  <si>
    <t>8.00</t>
  </si>
  <si>
    <t>Urbieta Barbara Giselle</t>
  </si>
  <si>
    <t>27 D</t>
  </si>
  <si>
    <t>12.00</t>
  </si>
  <si>
    <t>16.00</t>
  </si>
  <si>
    <t>BAJA</t>
  </si>
  <si>
    <t>Gonzalez Valentina</t>
  </si>
  <si>
    <t>ALTA</t>
  </si>
  <si>
    <t>VENDEDOR B - tarifa standard</t>
  </si>
  <si>
    <t>Vendedor B - S Neto</t>
  </si>
  <si>
    <t>Vendedor B - S Bruto</t>
  </si>
  <si>
    <t>COSTO TOTAL</t>
  </si>
  <si>
    <t>VENDEDORA B 88 HS</t>
  </si>
  <si>
    <t>456794.00</t>
  </si>
  <si>
    <t>576,075.29</t>
  </si>
  <si>
    <t>214,450.86</t>
  </si>
  <si>
    <t>790,526.14</t>
  </si>
  <si>
    <t>VENDEDORA B 132 HS</t>
  </si>
  <si>
    <t>683000.00</t>
  </si>
  <si>
    <t>861,921.93</t>
  </si>
  <si>
    <t>320,214.11</t>
  </si>
  <si>
    <t>1,182,136.05</t>
  </si>
  <si>
    <t>Dif plus vacacional 88hs</t>
  </si>
  <si>
    <t>42634.11</t>
  </si>
  <si>
    <t>Dif plus vacacional 132 Hs</t>
  </si>
  <si>
    <t>63746.67</t>
  </si>
  <si>
    <t>may</t>
  </si>
  <si>
    <t>jun</t>
  </si>
  <si>
    <t>SAC 1er semestre</t>
  </si>
  <si>
    <t>Ajuste SAC</t>
  </si>
  <si>
    <t>Cobra comisión *</t>
  </si>
  <si>
    <t xml:space="preserve">Contribuciones + ART </t>
  </si>
  <si>
    <t>* Cobra comisión</t>
  </si>
  <si>
    <t>Natalia Cavobianco</t>
  </si>
  <si>
    <t>Barbara Urbieta</t>
  </si>
  <si>
    <t>Total</t>
  </si>
  <si>
    <t>88</t>
  </si>
  <si>
    <t>Ajuste premio x gestion de marzo + premio abril</t>
  </si>
  <si>
    <t>#N/A</t>
  </si>
  <si>
    <t>licencia. Costo total: $753662,67</t>
  </si>
  <si>
    <t>Licencias justificadas (Hs)</t>
  </si>
  <si>
    <t>Cant días vacaciones</t>
  </si>
  <si>
    <t>Contribuciones
(con % abril)</t>
  </si>
  <si>
    <t>% 
(tomados del % de Abril)</t>
  </si>
  <si>
    <t>Total Contrib+ART+Aportes</t>
  </si>
  <si>
    <t>27,00 D</t>
  </si>
  <si>
    <t>3,00 D</t>
  </si>
  <si>
    <t xml:space="preserve">Urbieta Barbara Giselle </t>
  </si>
  <si>
    <t>3 D</t>
  </si>
  <si>
    <t>AS Quilmes</t>
  </si>
  <si>
    <t>Licencia reposo x embarazo</t>
  </si>
  <si>
    <t>VENDEDOR B - S Neto 88hs // 132hs</t>
  </si>
  <si>
    <t>VENDEDOR B - S Bruto- 88hs // 132hs</t>
  </si>
  <si>
    <t>COSTO TOTAL 88hs // 132hs</t>
  </si>
  <si>
    <t>Contribuciones + ART 88hs // 132hs</t>
  </si>
  <si>
    <t>Valor hora</t>
  </si>
  <si>
    <t>% contribuciones</t>
  </si>
  <si>
    <t>S.A.C. Junio 2025</t>
  </si>
  <si>
    <t>$ 581,549.00</t>
  </si>
  <si>
    <t>$ 32,167.00</t>
  </si>
  <si>
    <t>$ 481,833.00</t>
  </si>
  <si>
    <t>$ 19,917.00</t>
  </si>
  <si>
    <t>$ 373,823.00</t>
  </si>
  <si>
    <t>$ 4,072.00</t>
  </si>
  <si>
    <t>$ 373,465.00</t>
  </si>
  <si>
    <t>$ 14,124.00</t>
  </si>
  <si>
    <t>$ 360,943.00</t>
  </si>
  <si>
    <t>$ 353,489.00</t>
  </si>
  <si>
    <t>$ 346,069.00</t>
  </si>
  <si>
    <t>$ 359,548.00</t>
  </si>
  <si>
    <t>$ 355,802.00</t>
  </si>
  <si>
    <t>$ 350,900.00</t>
  </si>
  <si>
    <t>$ 345,266.00</t>
  </si>
  <si>
    <t>$ 344,247.00</t>
  </si>
  <si>
    <t>$ 341,877.00</t>
  </si>
  <si>
    <t>$ 511,258.00</t>
  </si>
  <si>
    <t>$ 13,695.00</t>
  </si>
  <si>
    <t>$ 355,797.00</t>
  </si>
  <si>
    <t>$ 357,121.00</t>
  </si>
  <si>
    <t>$ 374,635.00</t>
  </si>
  <si>
    <t>$ 6,857.00</t>
  </si>
  <si>
    <t>$ 334,169.00</t>
  </si>
  <si>
    <t>$ 6,375.00</t>
  </si>
  <si>
    <t>Licencia por maternidad desde 8/06/2025 - Fecha del nacimiento 14/06</t>
  </si>
  <si>
    <t>$ 251,057.00</t>
  </si>
  <si>
    <t>$ 348,882.00</t>
  </si>
  <si>
    <t>$ 344,366.00</t>
  </si>
  <si>
    <t>$ 357,942.00</t>
  </si>
  <si>
    <t>$ 9,722.00</t>
  </si>
  <si>
    <t>$ 342,088.00</t>
  </si>
  <si>
    <t>$ 348,101.00</t>
  </si>
  <si>
    <t>$ 235,676.00</t>
  </si>
  <si>
    <t>$ 433.00</t>
  </si>
  <si>
    <t>$ 148,501.00</t>
  </si>
  <si>
    <t>$ 67,563.00</t>
  </si>
  <si>
    <t>$ 29,873.00</t>
  </si>
  <si>
    <t>0.00</t>
  </si>
  <si>
    <t>461062.00</t>
  </si>
  <si>
    <t>585,092.06</t>
  </si>
  <si>
    <t>217,839.06</t>
  </si>
  <si>
    <t>802,931.12</t>
  </si>
  <si>
    <t>689403.00</t>
  </si>
  <si>
    <t>875,448.09</t>
  </si>
  <si>
    <t>325,270.79</t>
  </si>
  <si>
    <t>1,200,718.89</t>
  </si>
  <si>
    <t>43032.45</t>
  </si>
  <si>
    <t>64344.28</t>
  </si>
  <si>
    <t>345,100.00</t>
  </si>
  <si>
    <t>236,200.00</t>
  </si>
  <si>
    <t>85,200.00</t>
  </si>
  <si>
    <t>65,500.00</t>
  </si>
  <si>
    <t>58,100.00</t>
  </si>
  <si>
    <t>100,700.00</t>
  </si>
  <si>
    <t>57,200.00</t>
  </si>
  <si>
    <t>948,000.00</t>
  </si>
  <si>
    <t>$197,373.17</t>
  </si>
  <si>
    <t>$ 811,089.17</t>
  </si>
  <si>
    <t>$165,719.52</t>
  </si>
  <si>
    <t>$ 667,469.52</t>
  </si>
  <si>
    <t>$158,635.25</t>
  </si>
  <si>
    <t>$ 536,530.25</t>
  </si>
  <si>
    <t>$162,858.56</t>
  </si>
  <si>
    <t>$ 550,447.56</t>
  </si>
  <si>
    <t>$145,640.65</t>
  </si>
  <si>
    <t>$ 506,583.65</t>
  </si>
  <si>
    <t>$144,801.90</t>
  </si>
  <si>
    <t>$ 498,290.90</t>
  </si>
  <si>
    <t>$141,277.39</t>
  </si>
  <si>
    <t>$ 487,346.39</t>
  </si>
  <si>
    <t>$145,133.83</t>
  </si>
  <si>
    <t>$ 504,681.83</t>
  </si>
  <si>
    <t>$145,843.86</t>
  </si>
  <si>
    <t>$ 501,645.86</t>
  </si>
  <si>
    <t>$143,179.50</t>
  </si>
  <si>
    <t>$ 494,079.50</t>
  </si>
  <si>
    <t>$140,599.59</t>
  </si>
  <si>
    <t>$ 485,865.59</t>
  </si>
  <si>
    <t>$141,030.20</t>
  </si>
  <si>
    <t>$ 485,277.20</t>
  </si>
  <si>
    <t>$113,703.06</t>
  </si>
  <si>
    <t>$ 455,580.06</t>
  </si>
  <si>
    <t>$168,474.42</t>
  </si>
  <si>
    <t>$ 693,427.42</t>
  </si>
  <si>
    <t>$145,434.89</t>
  </si>
  <si>
    <t>$ 501,231.89</t>
  </si>
  <si>
    <t>$145,823.41</t>
  </si>
  <si>
    <t>$ 502,944.41</t>
  </si>
  <si>
    <t>$160,257.96</t>
  </si>
  <si>
    <t>$ 541,749.96</t>
  </si>
  <si>
    <t>$143,080.58</t>
  </si>
  <si>
    <t>$ 483,624.58</t>
  </si>
  <si>
    <t>$100,670.40</t>
  </si>
  <si>
    <t>$ 351,727.40</t>
  </si>
  <si>
    <t>$143,094.71</t>
  </si>
  <si>
    <t>$ 491,976.71</t>
  </si>
  <si>
    <t>$141,104.55</t>
  </si>
  <si>
    <t>$ 485,470.55</t>
  </si>
  <si>
    <t>$154,380.67</t>
  </si>
  <si>
    <t>$ 522,044.67</t>
  </si>
  <si>
    <t>$137,686.84</t>
  </si>
  <si>
    <t>$ 479,774.84</t>
  </si>
  <si>
    <t>$140,229.69</t>
  </si>
  <si>
    <t>$ 488,330.69</t>
  </si>
  <si>
    <t>$99,652.95</t>
  </si>
  <si>
    <t>$ 335,761.95</t>
  </si>
  <si>
    <t>$61,554.15</t>
  </si>
  <si>
    <t>$ 210,055.15</t>
  </si>
  <si>
    <t>no cobra premio porque aún no pasaron 3 meses desde su ingreso</t>
  </si>
  <si>
    <t>$41,844.01</t>
  </si>
  <si>
    <t>$ 139,280.01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</si>
</sst>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(&quot;$&quot;\ * #,##0_);_(&quot;$&quot;\ * \(#,##0\);_(&quot;$&quot;\ * &quot;-&quot;??_);_(@_)"/>
    <numFmt numFmtId="166" formatCode="dd/mm/yyyy"/>
    <numFmt numFmtId="169" formatCode="dd&quot;/&quot;mm&quot;/&quot;yyyy"/>
    <numFmt numFmtId="170" formatCode="_ * #,##0.00_ ;_ * \-#,##0.00_ ;_ * &quot;-&quot;??_ ;_ @_ "/>
    <numFmt numFmtId="176" formatCode="0.0%"/>
  </numFmts>
  <fonts count="1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17"/>
      <color theme="1"/>
      <name val="Abadi"/>
      <family val="2"/>
    </font>
    <font>
      <sz val="18"/>
      <color theme="1"/>
      <name val="Abadi"/>
      <family val="2"/>
    </font>
    <font>
      <sz val="10"/>
      <color rgb="FF000000"/>
      <name val="Aptos Narrow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7">
    <xf numFmtId="0" fontId="0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0" fillId="0" borderId="0"/>
    <xf numFmtId="0" fontId="16" fillId="0" borderId="0"/>
  </cellStyleXfs>
  <cellXfs count="108">
    <xf numFmtId="0" fontId="0" fillId="0" borderId="0" xfId="0"/>
    <xf numFmtId="0" fontId="6" fillId="0" borderId="0" xfId="0" applyFont="1"/>
    <xf numFmtId="0" fontId="7" fillId="0" borderId="0" xfId="0" applyFont="1"/>
    <xf numFmtId="164" fontId="7" fillId="0" borderId="0" xfId="1" applyNumberFormat="1" applyFont="1" applyAlignment="1"/>
    <xf numFmtId="1" fontId="7" fillId="2" borderId="0" xfId="0" applyNumberFormat="1" applyFont="1" applyFill="1"/>
    <xf numFmtId="1" fontId="7" fillId="2" borderId="1" xfId="0" applyNumberFormat="1" applyFont="1" applyFill="1" applyBorder="1"/>
    <xf numFmtId="164" fontId="7" fillId="2" borderId="1" xfId="1" applyNumberFormat="1" applyFont="1" applyFill="1" applyBorder="1" applyAlignment="1">
      <alignment horizontal="left"/>
    </xf>
    <xf numFmtId="17" fontId="7" fillId="2" borderId="1" xfId="0" applyNumberFormat="1" applyFont="1" applyFill="1" applyBorder="1" applyAlignment="1">
      <alignment horizontal="left"/>
    </xf>
    <xf numFmtId="165" fontId="7" fillId="2" borderId="1" xfId="0" applyNumberFormat="1" applyFont="1" applyFill="1" applyBorder="1"/>
    <xf numFmtId="164" fontId="7" fillId="2" borderId="1" xfId="1" applyNumberFormat="1" applyFont="1" applyFill="1" applyBorder="1" applyAlignment="1"/>
    <xf numFmtId="0" fontId="0" fillId="0" borderId="0" xfId="0" pivotButton="1"/>
    <xf numFmtId="17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9" fontId="7" fillId="2" borderId="1" xfId="2" applyFont="1" applyFill="1" applyBorder="1" applyAlignment="1">
      <alignment horizontal="center"/>
    </xf>
    <xf numFmtId="0" fontId="8" fillId="0" borderId="0" xfId="0" applyFont="1"/>
    <xf numFmtId="17" fontId="7" fillId="2" borderId="2" xfId="0" applyNumberFormat="1" applyFont="1" applyFill="1" applyBorder="1" applyAlignment="1">
      <alignment horizontal="left"/>
    </xf>
    <xf numFmtId="164" fontId="7" fillId="2" borderId="2" xfId="1" applyNumberFormat="1" applyFont="1" applyFill="1" applyBorder="1" applyAlignment="1">
      <alignment horizontal="left"/>
    </xf>
    <xf numFmtId="0" fontId="9" fillId="0" borderId="0" xfId="0" applyFont="1"/>
    <xf numFmtId="0" fontId="3" fillId="0" borderId="0" xfId="0" applyFont="1"/>
    <xf numFmtId="164" fontId="7" fillId="2" borderId="1" xfId="1" applyNumberFormat="1" applyFont="1" applyFill="1" applyBorder="1" applyAlignment="1">
      <alignment horizontal="right"/>
    </xf>
    <xf numFmtId="164" fontId="7" fillId="2" borderId="2" xfId="1" applyNumberFormat="1" applyFont="1" applyFill="1" applyBorder="1" applyAlignment="1">
      <alignment horizontal="right"/>
    </xf>
    <xf numFmtId="1" fontId="7" fillId="3" borderId="1" xfId="0" applyNumberFormat="1" applyFont="1" applyFill="1" applyBorder="1"/>
    <xf numFmtId="164" fontId="7" fillId="2" borderId="1" xfId="1" applyNumberFormat="1" applyFont="1" applyFill="1" applyBorder="1"/>
    <xf numFmtId="164" fontId="7" fillId="3" borderId="1" xfId="1" applyNumberFormat="1" applyFont="1" applyFill="1" applyBorder="1"/>
    <xf numFmtId="17" fontId="6" fillId="0" borderId="1" xfId="0" applyNumberFormat="1" applyFont="1" applyBorder="1"/>
    <xf numFmtId="14" fontId="6" fillId="0" borderId="1" xfId="0" applyNumberFormat="1" applyFont="1" applyBorder="1"/>
    <xf numFmtId="17" fontId="6" fillId="3" borderId="1" xfId="0" applyNumberFormat="1" applyFont="1" applyFill="1" applyBorder="1"/>
    <xf numFmtId="14" fontId="6" fillId="3" borderId="1" xfId="0" applyNumberFormat="1" applyFont="1" applyFill="1" applyBorder="1"/>
    <xf numFmtId="17" fontId="7" fillId="2" borderId="0" xfId="0" applyNumberFormat="1" applyFont="1" applyFill="1" applyAlignment="1">
      <alignment horizontal="left"/>
    </xf>
    <xf numFmtId="164" fontId="7" fillId="2" borderId="0" xfId="1" applyNumberFormat="1" applyFont="1" applyFill="1" applyBorder="1" applyAlignment="1">
      <alignment horizontal="right"/>
    </xf>
    <xf numFmtId="164" fontId="7" fillId="2" borderId="0" xfId="1" applyNumberFormat="1" applyFont="1" applyFill="1" applyBorder="1" applyAlignment="1">
      <alignment horizontal="left"/>
    </xf>
    <xf numFmtId="9" fontId="7" fillId="2" borderId="0" xfId="2" applyFont="1" applyFill="1" applyBorder="1" applyAlignment="1">
      <alignment horizontal="center"/>
    </xf>
    <xf numFmtId="1" fontId="7" fillId="4" borderId="1" xfId="0" applyNumberFormat="1" applyFont="1" applyFill="1" applyBorder="1"/>
    <xf numFmtId="0" fontId="2" fillId="0" borderId="0" xfId="0" applyFont="1"/>
    <xf numFmtId="17" fontId="7" fillId="2" borderId="3" xfId="0" applyNumberFormat="1" applyFont="1" applyFill="1" applyBorder="1" applyAlignment="1">
      <alignment horizontal="left"/>
    </xf>
    <xf numFmtId="164" fontId="7" fillId="2" borderId="3" xfId="1" applyNumberFormat="1" applyFont="1" applyFill="1" applyBorder="1" applyAlignment="1">
      <alignment horizontal="left"/>
    </xf>
    <xf numFmtId="0" fontId="1" fillId="0" borderId="0" xfId="0" applyFont="1"/>
    <xf numFmtId="1" fontId="7" fillId="2" borderId="1" xfId="0" applyNumberFormat="1" applyFont="1" applyFill="1" applyBorder="1" applyAlignment="1">
      <alignment horizontal="center"/>
    </xf>
    <xf numFmtId="0" fontId="0" fillId="0" borderId="0" xfId="0" applyNumberFormat="1"/>
    <xf numFmtId="44" fontId="0" fillId="0" borderId="0" xfId="0" applyNumberFormat="1"/>
    <xf numFmtId="9" fontId="7" fillId="2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7" fontId="7" fillId="2" borderId="0" xfId="0" applyNumberFormat="1" applyFont="1" applyFill="1" applyBorder="1" applyAlignment="1">
      <alignment horizontal="left"/>
    </xf>
    <xf numFmtId="0" fontId="12" fillId="5" borderId="4" xfId="0" applyFont="1" applyFill="1" applyBorder="1" applyAlignment="1">
      <alignment wrapText="1"/>
    </xf>
    <xf numFmtId="0" fontId="13" fillId="0" borderId="4" xfId="0" applyFont="1" applyBorder="1" applyAlignment="1">
      <alignment horizontal="right" wrapText="1"/>
    </xf>
    <xf numFmtId="0" fontId="13" fillId="0" borderId="4" xfId="0" applyFont="1" applyBorder="1" applyAlignment="1">
      <alignment wrapText="1"/>
    </xf>
    <xf numFmtId="14" fontId="13" fillId="0" borderId="4" xfId="0" applyNumberFormat="1" applyFont="1" applyBorder="1" applyAlignment="1">
      <alignment horizontal="right" wrapText="1"/>
    </xf>
    <xf numFmtId="0" fontId="12" fillId="6" borderId="5" xfId="0" applyFont="1" applyFill="1" applyBorder="1" applyAlignment="1">
      <alignment vertical="center"/>
    </xf>
    <xf numFmtId="0" fontId="13" fillId="6" borderId="5" xfId="0" applyFont="1" applyFill="1" applyBorder="1" applyAlignment="1">
      <alignment wrapText="1"/>
    </xf>
    <xf numFmtId="0" fontId="13" fillId="6" borderId="6" xfId="0" applyFont="1" applyFill="1" applyBorder="1" applyAlignment="1">
      <alignment wrapText="1"/>
    </xf>
    <xf numFmtId="0" fontId="13" fillId="6" borderId="7" xfId="0" applyFont="1" applyFill="1" applyBorder="1" applyAlignment="1">
      <alignment wrapText="1"/>
    </xf>
    <xf numFmtId="0" fontId="12" fillId="6" borderId="7" xfId="0" applyFont="1" applyFill="1" applyBorder="1" applyAlignment="1">
      <alignment wrapText="1"/>
    </xf>
    <xf numFmtId="0" fontId="13" fillId="6" borderId="6" xfId="0" applyFont="1" applyFill="1" applyBorder="1" applyAlignment="1">
      <alignment horizontal="right" wrapText="1"/>
    </xf>
    <xf numFmtId="0" fontId="13" fillId="6" borderId="7" xfId="0" applyFont="1" applyFill="1" applyBorder="1" applyAlignment="1">
      <alignment horizontal="right" wrapText="1"/>
    </xf>
    <xf numFmtId="4" fontId="13" fillId="0" borderId="4" xfId="0" applyNumberFormat="1" applyFont="1" applyBorder="1" applyAlignment="1">
      <alignment horizontal="right" wrapText="1"/>
    </xf>
    <xf numFmtId="4" fontId="13" fillId="0" borderId="4" xfId="0" applyNumberFormat="1" applyFont="1" applyBorder="1" applyAlignment="1">
      <alignment wrapText="1"/>
    </xf>
    <xf numFmtId="0" fontId="14" fillId="0" borderId="0" xfId="5" applyFont="1"/>
    <xf numFmtId="0" fontId="10" fillId="0" borderId="0" xfId="5" applyFont="1" applyAlignment="1"/>
    <xf numFmtId="0" fontId="15" fillId="0" borderId="0" xfId="5" applyFont="1"/>
    <xf numFmtId="166" fontId="15" fillId="0" borderId="0" xfId="5" applyNumberFormat="1" applyFont="1"/>
    <xf numFmtId="4" fontId="15" fillId="0" borderId="0" xfId="5" applyNumberFormat="1" applyFont="1"/>
    <xf numFmtId="3" fontId="15" fillId="0" borderId="0" xfId="5" applyNumberFormat="1" applyFont="1"/>
    <xf numFmtId="14" fontId="15" fillId="0" borderId="0" xfId="5" applyNumberFormat="1" applyFont="1"/>
    <xf numFmtId="0" fontId="14" fillId="8" borderId="0" xfId="5" applyFont="1" applyFill="1"/>
    <xf numFmtId="0" fontId="15" fillId="8" borderId="0" xfId="5" applyFont="1" applyFill="1"/>
    <xf numFmtId="2" fontId="14" fillId="8" borderId="0" xfId="5" applyNumberFormat="1" applyFont="1" applyFill="1" applyAlignment="1">
      <alignment wrapText="1"/>
    </xf>
    <xf numFmtId="4" fontId="14" fillId="8" borderId="0" xfId="5" applyNumberFormat="1" applyFont="1" applyFill="1" applyAlignment="1">
      <alignment wrapText="1"/>
    </xf>
    <xf numFmtId="4" fontId="14" fillId="8" borderId="0" xfId="5" applyNumberFormat="1" applyFont="1" applyFill="1" applyAlignment="1">
      <alignment vertical="center"/>
    </xf>
    <xf numFmtId="0" fontId="14" fillId="8" borderId="0" xfId="5" applyFont="1" applyFill="1" applyAlignment="1">
      <alignment wrapText="1"/>
    </xf>
    <xf numFmtId="2" fontId="15" fillId="8" borderId="0" xfId="5" applyNumberFormat="1" applyFont="1" applyFill="1"/>
    <xf numFmtId="4" fontId="15" fillId="8" borderId="0" xfId="5" applyNumberFormat="1" applyFont="1" applyFill="1"/>
    <xf numFmtId="164" fontId="10" fillId="0" borderId="0" xfId="5" applyNumberFormat="1" applyFont="1" applyAlignment="1"/>
    <xf numFmtId="0" fontId="14" fillId="0" borderId="0" xfId="5" applyFont="1" applyAlignment="1">
      <alignment wrapText="1"/>
    </xf>
    <xf numFmtId="4" fontId="14" fillId="0" borderId="0" xfId="5" applyNumberFormat="1" applyFont="1" applyAlignment="1">
      <alignment wrapText="1"/>
    </xf>
    <xf numFmtId="3" fontId="14" fillId="0" borderId="0" xfId="5" applyNumberFormat="1" applyFont="1" applyAlignment="1">
      <alignment wrapText="1"/>
    </xf>
    <xf numFmtId="2" fontId="14" fillId="0" borderId="0" xfId="5" applyNumberFormat="1" applyFont="1" applyAlignment="1">
      <alignment wrapText="1"/>
    </xf>
    <xf numFmtId="169" fontId="15" fillId="0" borderId="0" xfId="5" applyNumberFormat="1" applyFont="1"/>
    <xf numFmtId="2" fontId="15" fillId="0" borderId="0" xfId="5" applyNumberFormat="1" applyFont="1"/>
    <xf numFmtId="10" fontId="15" fillId="0" borderId="0" xfId="5" applyNumberFormat="1" applyFont="1"/>
    <xf numFmtId="17" fontId="15" fillId="0" borderId="0" xfId="5" applyNumberFormat="1" applyFont="1"/>
    <xf numFmtId="2" fontId="14" fillId="0" borderId="0" xfId="5" applyNumberFormat="1" applyFont="1"/>
    <xf numFmtId="0" fontId="15" fillId="7" borderId="0" xfId="5" applyFont="1" applyFill="1"/>
    <xf numFmtId="4" fontId="15" fillId="0" borderId="0" xfId="5" applyNumberFormat="1" applyFont="1" applyAlignment="1">
      <alignment wrapText="1"/>
    </xf>
    <xf numFmtId="170" fontId="15" fillId="8" borderId="0" xfId="5" applyNumberFormat="1" applyFont="1" applyFill="1"/>
    <xf numFmtId="3" fontId="15" fillId="8" borderId="0" xfId="5" applyNumberFormat="1" applyFont="1" applyFill="1" applyAlignment="1">
      <alignment wrapText="1"/>
    </xf>
    <xf numFmtId="4" fontId="15" fillId="8" borderId="0" xfId="5" applyNumberFormat="1" applyFont="1" applyFill="1" applyAlignment="1">
      <alignment wrapText="1"/>
    </xf>
    <xf numFmtId="0" fontId="15" fillId="8" borderId="0" xfId="5" applyFont="1" applyFill="1" applyAlignment="1">
      <alignment wrapText="1"/>
    </xf>
    <xf numFmtId="17" fontId="15" fillId="8" borderId="0" xfId="5" applyNumberFormat="1" applyFont="1" applyFill="1"/>
    <xf numFmtId="3" fontId="15" fillId="8" borderId="0" xfId="5" applyNumberFormat="1" applyFont="1" applyFill="1"/>
    <xf numFmtId="0" fontId="0" fillId="0" borderId="0" xfId="0" applyFont="1" applyAlignment="1"/>
    <xf numFmtId="0" fontId="9" fillId="0" borderId="0" xfId="0" applyFont="1" applyAlignment="1">
      <alignment horizontal="center"/>
    </xf>
    <xf numFmtId="0" fontId="12" fillId="5" borderId="8" xfId="0" applyFont="1" applyFill="1" applyBorder="1" applyAlignment="1">
      <alignment wrapText="1"/>
    </xf>
    <xf numFmtId="9" fontId="0" fillId="0" borderId="0" xfId="2" applyFont="1"/>
    <xf numFmtId="0" fontId="12" fillId="9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  <xf numFmtId="0" fontId="13" fillId="0" borderId="4" xfId="0" applyFont="1" applyBorder="1" applyAlignment="1">
      <alignment vertical="center"/>
    </xf>
    <xf numFmtId="0" fontId="13" fillId="10" borderId="4" xfId="0" applyFont="1" applyFill="1" applyBorder="1" applyAlignment="1">
      <alignment vertical="center"/>
    </xf>
    <xf numFmtId="0" fontId="13" fillId="10" borderId="4" xfId="0" applyFont="1" applyFill="1" applyBorder="1" applyAlignment="1">
      <alignment wrapText="1"/>
    </xf>
    <xf numFmtId="0" fontId="13" fillId="10" borderId="4" xfId="0" applyFont="1" applyFill="1" applyBorder="1" applyAlignment="1">
      <alignment horizontal="right" wrapText="1"/>
    </xf>
    <xf numFmtId="44" fontId="13" fillId="0" borderId="4" xfId="1" applyFont="1" applyBorder="1" applyAlignment="1">
      <alignment horizontal="right" wrapText="1"/>
    </xf>
    <xf numFmtId="164" fontId="12" fillId="5" borderId="4" xfId="1" applyNumberFormat="1" applyFont="1" applyFill="1" applyBorder="1" applyAlignment="1">
      <alignment wrapText="1"/>
    </xf>
    <xf numFmtId="164" fontId="13" fillId="0" borderId="4" xfId="1" applyNumberFormat="1" applyFont="1" applyBorder="1" applyAlignment="1">
      <alignment wrapText="1"/>
    </xf>
    <xf numFmtId="164" fontId="13" fillId="0" borderId="4" xfId="1" applyNumberFormat="1" applyFont="1" applyBorder="1" applyAlignment="1">
      <alignment horizontal="right" wrapText="1"/>
    </xf>
    <xf numFmtId="164" fontId="10" fillId="0" borderId="0" xfId="1" applyNumberFormat="1" applyFont="1" applyAlignment="1"/>
    <xf numFmtId="176" fontId="13" fillId="0" borderId="4" xfId="2" applyNumberFormat="1" applyFont="1" applyBorder="1" applyAlignment="1">
      <alignment horizontal="right" wrapText="1"/>
    </xf>
    <xf numFmtId="0" fontId="12" fillId="5" borderId="0" xfId="0" applyFont="1" applyFill="1" applyBorder="1" applyAlignment="1">
      <alignment wrapText="1"/>
    </xf>
    <xf numFmtId="44" fontId="15" fillId="0" borderId="0" xfId="1" applyFont="1"/>
  </cellXfs>
  <cellStyles count="7">
    <cellStyle name="Moneda" xfId="1" builtinId="4"/>
    <cellStyle name="Normal" xfId="0" builtinId="0"/>
    <cellStyle name="Normal 2" xfId="3"/>
    <cellStyle name="Normal 3" xfId="4"/>
    <cellStyle name="Normal 4" xfId="5"/>
    <cellStyle name="Normal 5" xfId="6"/>
    <cellStyle name="Porcentaje" xfId="2" builtinId="5"/>
  </cellStyles>
  <dxfs count="15">
    <dxf>
      <numFmt numFmtId="164" formatCode="_-&quot;$&quot;\ * #,##0_-;\-&quot;$&quot;\ * #,##0_-;_-&quot;$&quot;\ * &quot;-&quot;??_-;_-@_-"/>
    </dxf>
    <dxf>
      <numFmt numFmtId="171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1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1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71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colors>
    <mruColors>
      <color rgb="FFE4AFFF"/>
      <color rgb="FFCC66FF"/>
      <color rgb="FF666699"/>
      <color rgb="FF9900CC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CFC-4580-81C3-4E637425B66E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CFC-4580-81C3-4E637425B66E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CFC-4580-81C3-4E637425B66E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CFC-4580-81C3-4E637425B66E}"/>
                </c:ext>
              </c:extLst>
            </c:dLbl>
            <c:dLbl>
              <c:idx val="4"/>
              <c:layout>
                <c:manualLayout>
                  <c:x val="-8.0100820316096971E-2"/>
                  <c:y val="-0.100819469934679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44F-4548-8985-20BB8296E338}"/>
                </c:ext>
              </c:extLst>
            </c:dLbl>
            <c:dLbl>
              <c:idx val="5"/>
              <c:layout>
                <c:manualLayout>
                  <c:x val="-8.0689363319507934E-2"/>
                  <c:y val="-0.1216022339312849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B96-450D-B501-204A1E4F6282}"/>
                </c:ext>
              </c:extLst>
            </c:dLbl>
            <c:dLbl>
              <c:idx val="6"/>
              <c:layout>
                <c:manualLayout>
                  <c:x val="-6.7019061034887431E-2"/>
                  <c:y val="-0.1216022339312849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B96-450D-B501-204A1E4F6282}"/>
                </c:ext>
              </c:extLst>
            </c:dLbl>
            <c:dLbl>
              <c:idx val="7"/>
              <c:layout>
                <c:manualLayout>
                  <c:x val="-7.9450954423182882E-2"/>
                  <c:y val="8.771929824561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42C-4252-8CBB-B196D8F38AC9}"/>
                </c:ext>
              </c:extLst>
            </c:dLbl>
            <c:dLbl>
              <c:idx val="8"/>
              <c:layout>
                <c:manualLayout>
                  <c:x val="-1.3170315019405854E-2"/>
                  <c:y val="-9.39849624060151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42C-4252-8CBB-B196D8F38A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LUCERO!$O$4:$W$4</c:f>
              <c:numCache>
                <c:formatCode>_-"$"\ * #,##0_-;\-"$"\ * #,##0_-;_-"$"\ * "-"??_-;_-@_-</c:formatCode>
                <c:ptCount val="9"/>
                <c:pt idx="0">
                  <c:v>112911.37043478261</c:v>
                </c:pt>
                <c:pt idx="1">
                  <c:v>154160.45800000001</c:v>
                </c:pt>
                <c:pt idx="2">
                  <c:v>144976.42300000001</c:v>
                </c:pt>
                <c:pt idx="3">
                  <c:v>121223.20699999999</c:v>
                </c:pt>
                <c:pt idx="4">
                  <c:v>90410.479000000007</c:v>
                </c:pt>
                <c:pt idx="5">
                  <c:v>139108.894</c:v>
                </c:pt>
                <c:pt idx="6">
                  <c:v>98895.34</c:v>
                </c:pt>
                <c:pt idx="7">
                  <c:v>102125.012</c:v>
                </c:pt>
                <c:pt idx="8">
                  <c:v>103323.118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FC-4580-81C3-4E637425B6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LUCERO!$N$5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127992280447983E-2"/>
                  <c:y val="2.3968078821429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4D0-4D86-89D7-10D0A58B30FE}"/>
                </c:ext>
              </c:extLst>
            </c:dLbl>
            <c:dLbl>
              <c:idx val="1"/>
              <c:layout>
                <c:manualLayout>
                  <c:x val="-4.3866972201980409E-2"/>
                  <c:y val="2.793790811876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4D0-4D86-89D7-10D0A58B30FE}"/>
                </c:ext>
              </c:extLst>
            </c:dLbl>
            <c:dLbl>
              <c:idx val="2"/>
              <c:layout>
                <c:manualLayout>
                  <c:x val="-3.9435862116589268E-2"/>
                  <c:y val="2.3968078821429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4D0-4D86-89D7-10D0A58B30FE}"/>
                </c:ext>
              </c:extLst>
            </c:dLbl>
            <c:dLbl>
              <c:idx val="5"/>
              <c:layout>
                <c:manualLayout>
                  <c:x val="-4.0309581657704742E-2"/>
                  <c:y val="-3.505921922522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016-4257-8803-FE5FA64C46A6}"/>
                </c:ext>
              </c:extLst>
            </c:dLbl>
            <c:dLbl>
              <c:idx val="7"/>
              <c:layout>
                <c:manualLayout>
                  <c:x val="-4.3866972201980575E-2"/>
                  <c:y val="3.190773741610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4D0-4D86-89D7-10D0A58B30FE}"/>
                </c:ext>
              </c:extLst>
            </c:dLbl>
            <c:dLbl>
              <c:idx val="8"/>
              <c:layout>
                <c:manualLayout>
                  <c:x val="-4.3866972201980409E-2"/>
                  <c:y val="2.7937908118769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4D0-4D86-89D7-10D0A58B30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LUCERO!$O$5:$W$5</c:f>
              <c:numCache>
                <c:formatCode>0%</c:formatCode>
                <c:ptCount val="9"/>
                <c:pt idx="0">
                  <c:v>8.3374292453898199E-2</c:v>
                </c:pt>
                <c:pt idx="1">
                  <c:v>9.5021066945714439E-2</c:v>
                </c:pt>
                <c:pt idx="2">
                  <c:v>8.1861965928073696E-2</c:v>
                </c:pt>
                <c:pt idx="3">
                  <c:v>0.11961406036717045</c:v>
                </c:pt>
                <c:pt idx="4">
                  <c:v>0.13885558553450425</c:v>
                </c:pt>
                <c:pt idx="5">
                  <c:v>8.8283355915402498E-2</c:v>
                </c:pt>
                <c:pt idx="6">
                  <c:v>0.12721529649425342</c:v>
                </c:pt>
                <c:pt idx="7">
                  <c:v>0.10843572777254606</c:v>
                </c:pt>
                <c:pt idx="8">
                  <c:v>0.1087655910654961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5-49B4-8DB5-253378BD9E70}"/>
            </c:ext>
          </c:extLst>
        </c:ser>
        <c:ser>
          <c:idx val="1"/>
          <c:order val="1"/>
          <c:tx>
            <c:strRef>
              <c:f>LUCERO!$N$6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LUCERO!$O$6:$W$6</c:f>
              <c:numCache>
                <c:formatCode>0%</c:formatCode>
                <c:ptCount val="9"/>
                <c:pt idx="0">
                  <c:v>0.11945001159870094</c:v>
                </c:pt>
                <c:pt idx="1">
                  <c:v>9.6397386157220669E-2</c:v>
                </c:pt>
                <c:pt idx="2">
                  <c:v>8.0042413617488692E-2</c:v>
                </c:pt>
                <c:pt idx="3">
                  <c:v>0.13090727751493986</c:v>
                </c:pt>
                <c:pt idx="4">
                  <c:v>0.17723609228970016</c:v>
                </c:pt>
                <c:pt idx="5">
                  <c:v>0.14760379016455985</c:v>
                </c:pt>
                <c:pt idx="6">
                  <c:v>0.23009173131919058</c:v>
                </c:pt>
                <c:pt idx="7">
                  <c:v>0.2219926299739382</c:v>
                </c:pt>
                <c:pt idx="8">
                  <c:v>0.21910875744187278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9-4501-A242-8E5E2EE09A6F}"/>
            </c:ext>
          </c:extLst>
        </c:ser>
        <c:ser>
          <c:idx val="2"/>
          <c:order val="2"/>
          <c:tx>
            <c:strRef>
              <c:f>LUCERO!$N$7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4D0-4D86-89D7-10D0A58B30FE}"/>
                </c:ext>
              </c:extLst>
            </c:dLbl>
            <c:dLbl>
              <c:idx val="1"/>
              <c:layout>
                <c:manualLayout>
                  <c:x val="-3.7127992280447983E-2"/>
                  <c:y val="-2.7937595533785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4D0-4D86-89D7-10D0A58B30FE}"/>
                </c:ext>
              </c:extLst>
            </c:dLbl>
            <c:dLbl>
              <c:idx val="2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4D0-4D86-89D7-10D0A58B30FE}"/>
                </c:ext>
              </c:extLst>
            </c:dLbl>
            <c:dLbl>
              <c:idx val="3"/>
              <c:layout>
                <c:manualLayout>
                  <c:x val="-3.9435862116589268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4D0-4D86-89D7-10D0A58B30FE}"/>
                </c:ext>
              </c:extLst>
            </c:dLbl>
            <c:dLbl>
              <c:idx val="4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4D0-4D86-89D7-10D0A58B30FE}"/>
                </c:ext>
              </c:extLst>
            </c:dLbl>
            <c:dLbl>
              <c:idx val="5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74D0-4D86-89D7-10D0A58B30FE}"/>
                </c:ext>
              </c:extLst>
            </c:dLbl>
            <c:dLbl>
              <c:idx val="6"/>
              <c:layout>
                <c:manualLayout>
                  <c:x val="-3.7127992280447983E-2"/>
                  <c:y val="-1.99979369391053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4D0-4D86-89D7-10D0A58B30FE}"/>
                </c:ext>
              </c:extLst>
            </c:dLbl>
            <c:dLbl>
              <c:idx val="7"/>
              <c:layout>
                <c:manualLayout>
                  <c:x val="-3.7127992280447983E-2"/>
                  <c:y val="-3.5877254128466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4D0-4D86-89D7-10D0A58B30FE}"/>
                </c:ext>
              </c:extLst>
            </c:dLbl>
            <c:dLbl>
              <c:idx val="8"/>
              <c:layout>
                <c:manualLayout>
                  <c:x val="-3.7127992280447983E-2"/>
                  <c:y val="-3.19074248311259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4D0-4D86-89D7-10D0A58B30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LUCERO!$O$3:$W$3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LUCERO!$O$7:$W$7</c:f>
              <c:numCache>
                <c:formatCode>0%</c:formatCode>
                <c:ptCount val="9"/>
                <c:pt idx="0">
                  <c:v>8.2984988901595846E-3</c:v>
                </c:pt>
                <c:pt idx="1">
                  <c:v>1.4250608349905134E-2</c:v>
                </c:pt>
                <c:pt idx="2">
                  <c:v>1.6835864752988147E-2</c:v>
                </c:pt>
                <c:pt idx="3">
                  <c:v>2.1035576133536873E-2</c:v>
                </c:pt>
                <c:pt idx="4">
                  <c:v>2.5406346978871772E-2</c:v>
                </c:pt>
                <c:pt idx="5">
                  <c:v>3.2334381150352615E-2</c:v>
                </c:pt>
                <c:pt idx="6">
                  <c:v>2.5350031659732399E-2</c:v>
                </c:pt>
                <c:pt idx="7">
                  <c:v>2.8484696775359985E-2</c:v>
                </c:pt>
                <c:pt idx="8">
                  <c:v>1.9908419720744391E-2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9-4501-A242-8E5E2EE0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7916405274359321E-2"/>
                  <c:y val="-7.5568167687188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608-4194-9B8A-69D142C43B6E}"/>
                </c:ext>
              </c:extLst>
            </c:dLbl>
            <c:dLbl>
              <c:idx val="3"/>
              <c:layout>
                <c:manualLayout>
                  <c:x val="-7.7916405274359321E-2"/>
                  <c:y val="-7.5568167687188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608-4194-9B8A-69D142C43B6E}"/>
                </c:ext>
              </c:extLst>
            </c:dLbl>
            <c:dLbl>
              <c:idx val="5"/>
              <c:layout>
                <c:manualLayout>
                  <c:x val="-7.7916405274359404E-2"/>
                  <c:y val="-8.18852870807446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0A1-4ED9-8E62-42D909D99C09}"/>
                </c:ext>
              </c:extLst>
            </c:dLbl>
            <c:dLbl>
              <c:idx val="7"/>
              <c:layout>
                <c:manualLayout>
                  <c:x val="-7.7916405274359224E-2"/>
                  <c:y val="-8.1885287080744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D29-40B3-BFFF-A21E702D4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TELMO'!$O$4:$W$4</c:f>
              <c:numCache>
                <c:formatCode>_-"$"\ * #,##0_-;\-"$"\ * #,##0_-;_-"$"\ * "-"??_-;_-@_-</c:formatCode>
                <c:ptCount val="9"/>
                <c:pt idx="0">
                  <c:v>57598.330434782612</c:v>
                </c:pt>
                <c:pt idx="1">
                  <c:v>76280.38</c:v>
                </c:pt>
                <c:pt idx="2">
                  <c:v>70223.12</c:v>
                </c:pt>
                <c:pt idx="3">
                  <c:v>58020.599000000002</c:v>
                </c:pt>
                <c:pt idx="4">
                  <c:v>47945.03</c:v>
                </c:pt>
                <c:pt idx="5">
                  <c:v>65394</c:v>
                </c:pt>
                <c:pt idx="6">
                  <c:v>45932</c:v>
                </c:pt>
                <c:pt idx="7">
                  <c:v>46831.859999999993</c:v>
                </c:pt>
                <c:pt idx="8">
                  <c:v>52055.22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08-4194-9B8A-69D142C43B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TELMO'!$N$5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4572158365261821E-2"/>
                  <c:y val="3.2355380373411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5C9-40E8-AD1E-B1B8BE79DF52}"/>
                </c:ext>
              </c:extLst>
            </c:dLbl>
            <c:dLbl>
              <c:idx val="2"/>
              <c:layout>
                <c:manualLayout>
                  <c:x val="-4.2017879948914476E-2"/>
                  <c:y val="3.2355380373411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5C9-40E8-AD1E-B1B8BE79DF52}"/>
                </c:ext>
              </c:extLst>
            </c:dLbl>
            <c:dLbl>
              <c:idx val="5"/>
              <c:layout>
                <c:manualLayout>
                  <c:x val="-4.4572158365261905E-2"/>
                  <c:y val="2.06958389820394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5C9-40E8-AD1E-B1B8BE79DF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TELMO'!$O$5:$W$5</c:f>
              <c:numCache>
                <c:formatCode>0%</c:formatCode>
                <c:ptCount val="9"/>
                <c:pt idx="0">
                  <c:v>5.383243536044522E-2</c:v>
                </c:pt>
                <c:pt idx="1">
                  <c:v>7.8893157060832678E-2</c:v>
                </c:pt>
                <c:pt idx="2">
                  <c:v>7.0162077674703158E-2</c:v>
                </c:pt>
                <c:pt idx="3">
                  <c:v>9.8913146346524275E-2</c:v>
                </c:pt>
                <c:pt idx="4">
                  <c:v>0.11219098204756572</c:v>
                </c:pt>
                <c:pt idx="5">
                  <c:v>7.330947793375539E-2</c:v>
                </c:pt>
                <c:pt idx="6">
                  <c:v>0.10443699381694679</c:v>
                </c:pt>
                <c:pt idx="7">
                  <c:v>9.4081251524069306E-2</c:v>
                </c:pt>
                <c:pt idx="8">
                  <c:v>8.4333521210745055E-2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DA-4125-920E-603E62F4EA8C}"/>
            </c:ext>
          </c:extLst>
        </c:ser>
        <c:ser>
          <c:idx val="1"/>
          <c:order val="1"/>
          <c:tx>
            <c:strRef>
              <c:f>'LUCERO-SAN TELMO'!$N$6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TELMO'!$O$6:$W$6</c:f>
              <c:numCache>
                <c:formatCode>0%</c:formatCode>
                <c:ptCount val="9"/>
                <c:pt idx="0">
                  <c:v>0.1101812922418947</c:v>
                </c:pt>
                <c:pt idx="1">
                  <c:v>0.103657060963776</c:v>
                </c:pt>
                <c:pt idx="2">
                  <c:v>8.4943534266207488E-2</c:v>
                </c:pt>
                <c:pt idx="3">
                  <c:v>0.12402491742630922</c:v>
                </c:pt>
                <c:pt idx="4">
                  <c:v>0.17090405408026652</c:v>
                </c:pt>
                <c:pt idx="5">
                  <c:v>0.15018197388139584</c:v>
                </c:pt>
                <c:pt idx="6">
                  <c:v>0.2178002264216668</c:v>
                </c:pt>
                <c:pt idx="7">
                  <c:v>0.23475471612701271</c:v>
                </c:pt>
                <c:pt idx="8">
                  <c:v>0.20507069223797345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0-420B-AAAE-A4A56AC6BE6A}"/>
            </c:ext>
          </c:extLst>
        </c:ser>
        <c:ser>
          <c:idx val="2"/>
          <c:order val="2"/>
          <c:tx>
            <c:strRef>
              <c:f>'LUCERO-SAN TELMO'!$N$7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TELMO'!$O$7:$W$7</c:f>
              <c:numCache>
                <c:formatCode>0%</c:formatCode>
                <c:ptCount val="9"/>
                <c:pt idx="0">
                  <c:v>6.2472271132235956E-3</c:v>
                </c:pt>
                <c:pt idx="1">
                  <c:v>1.698995206893306E-2</c:v>
                </c:pt>
                <c:pt idx="2">
                  <c:v>8.8290010469486407E-3</c:v>
                </c:pt>
                <c:pt idx="3">
                  <c:v>9.2208630938125959E-3</c:v>
                </c:pt>
                <c:pt idx="4">
                  <c:v>1.4433195682639056E-2</c:v>
                </c:pt>
                <c:pt idx="5">
                  <c:v>8.1811787014099153E-3</c:v>
                </c:pt>
                <c:pt idx="6">
                  <c:v>1.3280501611077244E-2</c:v>
                </c:pt>
                <c:pt idx="7">
                  <c:v>1.3537792434466624E-2</c:v>
                </c:pt>
                <c:pt idx="8">
                  <c:v>9.7012364946301253E-3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0-420B-AAAE-A4A56AC6B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0845004668534078E-2"/>
                  <c:y val="-9.6084118926758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61D-4ADB-9DB0-485FA331A456}"/>
                </c:ext>
              </c:extLst>
            </c:dLbl>
            <c:dLbl>
              <c:idx val="3"/>
              <c:layout>
                <c:manualLayout>
                  <c:x val="-7.0845004668534078E-2"/>
                  <c:y val="-7.4329224075416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61D-4ADB-9DB0-485FA331A456}"/>
                </c:ext>
              </c:extLst>
            </c:dLbl>
            <c:dLbl>
              <c:idx val="5"/>
              <c:layout>
                <c:manualLayout>
                  <c:x val="-7.5513538748832945E-2"/>
                  <c:y val="-8.88324873096446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66E-425E-9D83-959AB53DCD6E}"/>
                </c:ext>
              </c:extLst>
            </c:dLbl>
            <c:dLbl>
              <c:idx val="7"/>
              <c:layout>
                <c:manualLayout>
                  <c:x val="-7.5513538748832945E-2"/>
                  <c:y val="-8.15808556925308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0D7-4DA7-A478-50176B4542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(A)'!$C$40:$K$40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 (A)'!$C$41:$K$41</c:f>
              <c:numCache>
                <c:formatCode>_-"$"\ * #,##0_-;\-"$"\ * #,##0_-;_-"$"\ * "-"??_-;_-@_-</c:formatCode>
                <c:ptCount val="9"/>
                <c:pt idx="0">
                  <c:v>37017.71043478261</c:v>
                </c:pt>
                <c:pt idx="1">
                  <c:v>43480.13</c:v>
                </c:pt>
                <c:pt idx="2">
                  <c:v>41362.06</c:v>
                </c:pt>
                <c:pt idx="3">
                  <c:v>40058.419000000002</c:v>
                </c:pt>
                <c:pt idx="4">
                  <c:v>32509.360000000001</c:v>
                </c:pt>
                <c:pt idx="5">
                  <c:v>35443</c:v>
                </c:pt>
                <c:pt idx="6">
                  <c:v>24391</c:v>
                </c:pt>
                <c:pt idx="7">
                  <c:v>23316.11</c:v>
                </c:pt>
                <c:pt idx="8">
                  <c:v>24499.27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1D-4ADB-9DB0-485FA331A4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(A)'!$B$42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0567243984656512E-2"/>
                  <c:y val="-6.1549578302231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C09-4D92-BC7D-694546027198}"/>
                </c:ext>
              </c:extLst>
            </c:dLbl>
            <c:dLbl>
              <c:idx val="2"/>
              <c:layout>
                <c:manualLayout>
                  <c:x val="-4.0567243984656561E-2"/>
                  <c:y val="-4.8967007243730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C09-4D92-BC7D-694546027198}"/>
                </c:ext>
              </c:extLst>
            </c:dLbl>
            <c:dLbl>
              <c:idx val="3"/>
              <c:layout>
                <c:manualLayout>
                  <c:x val="-4.2892014413576658E-2"/>
                  <c:y val="-1.9607674773893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FED-4467-ACEC-F261F0E429DE}"/>
                </c:ext>
              </c:extLst>
            </c:dLbl>
            <c:dLbl>
              <c:idx val="4"/>
              <c:layout>
                <c:manualLayout>
                  <c:x val="-3.8242473555736373E-2"/>
                  <c:y val="-4.05786265380624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9BA-4283-981A-5E2B7EE362E9}"/>
                </c:ext>
              </c:extLst>
            </c:dLbl>
            <c:dLbl>
              <c:idx val="5"/>
              <c:layout>
                <c:manualLayout>
                  <c:x val="-3.5917703126816226E-2"/>
                  <c:y val="4.74993708714470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400-4BD1-A176-A5ECB86E1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(A)'!$C$40:$K$40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 (A)'!$C$42:$K$42</c:f>
              <c:numCache>
                <c:formatCode>0%</c:formatCode>
                <c:ptCount val="9"/>
                <c:pt idx="0">
                  <c:v>6.6751832325053717E-2</c:v>
                </c:pt>
                <c:pt idx="1">
                  <c:v>8.7396242835520513E-2</c:v>
                </c:pt>
                <c:pt idx="2">
                  <c:v>7.3183008776642175E-2</c:v>
                </c:pt>
                <c:pt idx="3">
                  <c:v>8.8196191666975177E-2</c:v>
                </c:pt>
                <c:pt idx="4">
                  <c:v>9.2588719064294098E-2</c:v>
                </c:pt>
                <c:pt idx="5">
                  <c:v>7.5416866518071266E-2</c:v>
                </c:pt>
                <c:pt idx="6">
                  <c:v>0.10971259890943381</c:v>
                </c:pt>
                <c:pt idx="7">
                  <c:v>9.0109370731224034E-2</c:v>
                </c:pt>
                <c:pt idx="8">
                  <c:v>8.42474081880807E-2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9-4D92-BC7D-694546027198}"/>
            </c:ext>
          </c:extLst>
        </c:ser>
        <c:ser>
          <c:idx val="1"/>
          <c:order val="1"/>
          <c:tx>
            <c:strRef>
              <c:f>'LUCERO-SAN TELMO (A)'!$B$43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5216784842496825E-2"/>
                  <c:y val="2.38021953779361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945-48BC-AF01-DE6942A16649}"/>
                </c:ext>
              </c:extLst>
            </c:dLbl>
            <c:dLbl>
              <c:idx val="2"/>
              <c:layout>
                <c:manualLayout>
                  <c:x val="-4.0567243984656561E-2"/>
                  <c:y val="1.9608005025102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945-48BC-AF01-DE6942A16649}"/>
                </c:ext>
              </c:extLst>
            </c:dLbl>
            <c:dLbl>
              <c:idx val="3"/>
              <c:layout>
                <c:manualLayout>
                  <c:x val="-3.8242473555736373E-2"/>
                  <c:y val="2.79963857307698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FED-4467-ACEC-F261F0E429DE}"/>
                </c:ext>
              </c:extLst>
            </c:dLbl>
            <c:dLbl>
              <c:idx val="4"/>
              <c:layout>
                <c:manualLayout>
                  <c:x val="-3.8242473555736373E-2"/>
                  <c:y val="3.2190576083603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400-4BD1-A176-A5ECB86E1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'LUCERO-SAN TELMO (A)'!$C$40:$K$40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 (A)'!$C$43:$K$43</c:f>
              <c:numCache>
                <c:formatCode>0%</c:formatCode>
                <c:ptCount val="9"/>
                <c:pt idx="0">
                  <c:v>0.10235641144460887</c:v>
                </c:pt>
                <c:pt idx="1">
                  <c:v>7.2837868700024594E-2</c:v>
                </c:pt>
                <c:pt idx="2">
                  <c:v>5.3019602988825992E-2</c:v>
                </c:pt>
                <c:pt idx="3">
                  <c:v>6.0736296157868831E-2</c:v>
                </c:pt>
                <c:pt idx="4">
                  <c:v>7.7669938749947709E-2</c:v>
                </c:pt>
                <c:pt idx="5">
                  <c:v>0.12995513923764918</c:v>
                </c:pt>
                <c:pt idx="6">
                  <c:v>0.17354762002377927</c:v>
                </c:pt>
                <c:pt idx="7">
                  <c:v>0.19999047868619593</c:v>
                </c:pt>
                <c:pt idx="8">
                  <c:v>0.19327106481131887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D-4467-ACEC-F261F0E429DE}"/>
            </c:ext>
          </c:extLst>
        </c:ser>
        <c:ser>
          <c:idx val="2"/>
          <c:order val="2"/>
          <c:tx>
            <c:strRef>
              <c:f>'LUCERO-SAN TELMO (A)'!$B$44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945-48BC-AF01-DE6942A16649}"/>
                </c:ext>
              </c:extLst>
            </c:dLbl>
            <c:dLbl>
              <c:idx val="1"/>
              <c:layout>
                <c:manualLayout>
                  <c:x val="-3.8242473555736373E-2"/>
                  <c:y val="2.3802195377936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945-48BC-AF01-DE6942A16649}"/>
                </c:ext>
              </c:extLst>
            </c:dLbl>
            <c:dLbl>
              <c:idx val="2"/>
              <c:layout>
                <c:manualLayout>
                  <c:x val="-4.0567243984656561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945-48BC-AF01-DE6942A16649}"/>
                </c:ext>
              </c:extLst>
            </c:dLbl>
            <c:dLbl>
              <c:idx val="3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945-48BC-AF01-DE6942A16649}"/>
                </c:ext>
              </c:extLst>
            </c:dLbl>
            <c:dLbl>
              <c:idx val="4"/>
              <c:layout>
                <c:manualLayout>
                  <c:x val="-3.8242473555736373E-2"/>
                  <c:y val="-3.07222792089030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9BA-4283-981A-5E2B7EE362E9}"/>
                </c:ext>
              </c:extLst>
            </c:dLbl>
            <c:dLbl>
              <c:idx val="5"/>
              <c:layout>
                <c:manualLayout>
                  <c:x val="-3.8242473555736373E-2"/>
                  <c:y val="-3.91106599145707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9BA-4283-981A-5E2B7EE362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(A)'!$C$40:$K$40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 (A)'!$C$44:$K$44</c:f>
              <c:numCache>
                <c:formatCode>0%</c:formatCode>
                <c:ptCount val="9"/>
                <c:pt idx="0">
                  <c:v>5.6999743507026848E-3</c:v>
                </c:pt>
                <c:pt idx="1">
                  <c:v>2.4263956892493194E-2</c:v>
                </c:pt>
                <c:pt idx="2">
                  <c:v>3.9166327789283226E-3</c:v>
                </c:pt>
                <c:pt idx="3">
                  <c:v>4.1689114091097799E-3</c:v>
                </c:pt>
                <c:pt idx="4">
                  <c:v>7.320968484153487E-3</c:v>
                </c:pt>
                <c:pt idx="5">
                  <c:v>3.6114324408204725E-3</c:v>
                </c:pt>
                <c:pt idx="6">
                  <c:v>6.0268131687917677E-3</c:v>
                </c:pt>
                <c:pt idx="7">
                  <c:v>4.6748793001920134E-3</c:v>
                </c:pt>
                <c:pt idx="8">
                  <c:v>4.8981051272139944E-3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D-4467-ACEC-F261F0E4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668042698032189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8.1253376372313973E-2"/>
                  <c:y val="-7.9611045351357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47C-45C5-A67B-9D3688066B35}"/>
                </c:ext>
              </c:extLst>
            </c:dLbl>
            <c:dLbl>
              <c:idx val="5"/>
              <c:layout>
                <c:manualLayout>
                  <c:x val="-7.889084588264883E-2"/>
                  <c:y val="-7.9611045351357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5C2-43BC-BE74-9D5DEB201442}"/>
                </c:ext>
              </c:extLst>
            </c:dLbl>
            <c:dLbl>
              <c:idx val="7"/>
              <c:layout>
                <c:manualLayout>
                  <c:x val="-7.889084588264883E-2"/>
                  <c:y val="-7.9611045351357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EBF-48D7-989E-8A33DA08D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(A)'!$N$40:$V$40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 (A)'!$N$41:$V$41</c:f>
              <c:numCache>
                <c:formatCode>_-"$"\ * #,##0_-;\-"$"\ * #,##0_-;_-"$"\ * "-"??_-;_-@_-</c:formatCode>
                <c:ptCount val="9"/>
                <c:pt idx="0">
                  <c:v>15939.080000000002</c:v>
                </c:pt>
                <c:pt idx="1">
                  <c:v>20913.61</c:v>
                </c:pt>
                <c:pt idx="2">
                  <c:v>21646.78</c:v>
                </c:pt>
                <c:pt idx="3">
                  <c:v>15489.47</c:v>
                </c:pt>
                <c:pt idx="4">
                  <c:v>10874.15</c:v>
                </c:pt>
                <c:pt idx="5">
                  <c:v>20184</c:v>
                </c:pt>
                <c:pt idx="6">
                  <c:v>13943.86</c:v>
                </c:pt>
                <c:pt idx="7">
                  <c:v>16508.62</c:v>
                </c:pt>
                <c:pt idx="8">
                  <c:v>16960.28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7C-45C5-A67B-9D3688066B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(A)'!$M$42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(A)'!$N$40:$V$40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 (A)'!$N$42:$V$42</c:f>
              <c:numCache>
                <c:formatCode>0%</c:formatCode>
                <c:ptCount val="9"/>
                <c:pt idx="0">
                  <c:v>1.8194274700923767E-2</c:v>
                </c:pt>
                <c:pt idx="1">
                  <c:v>3.2992869236827115E-2</c:v>
                </c:pt>
                <c:pt idx="2">
                  <c:v>3.5617306592481655E-2</c:v>
                </c:pt>
                <c:pt idx="3">
                  <c:v>5.6038069733825628E-2</c:v>
                </c:pt>
                <c:pt idx="4">
                  <c:v>8.7639033855519743E-2</c:v>
                </c:pt>
                <c:pt idx="5">
                  <c:v>4.7364248910027745E-2</c:v>
                </c:pt>
                <c:pt idx="6">
                  <c:v>6.8345494002378104E-2</c:v>
                </c:pt>
                <c:pt idx="7">
                  <c:v>6.0695563893287272E-2</c:v>
                </c:pt>
                <c:pt idx="8">
                  <c:v>5.3536851985934199E-2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7-4DE5-BDCD-933B482B7989}"/>
            </c:ext>
          </c:extLst>
        </c:ser>
        <c:ser>
          <c:idx val="1"/>
          <c:order val="1"/>
          <c:tx>
            <c:strRef>
              <c:f>'LUCERO-SAN TELMO (A)'!$M$43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19C5-4098-8A7E-9B5858F33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(A)'!$N$40:$V$40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 (A)'!$N$43:$V$43</c:f>
              <c:numCache>
                <c:formatCode>0%</c:formatCode>
                <c:ptCount val="9"/>
                <c:pt idx="0">
                  <c:v>0.16042331175952437</c:v>
                </c:pt>
                <c:pt idx="1">
                  <c:v>0.12962850507396859</c:v>
                </c:pt>
                <c:pt idx="2">
                  <c:v>0.10297143501250533</c:v>
                </c:pt>
                <c:pt idx="3">
                  <c:v>0.19071020506189043</c:v>
                </c:pt>
                <c:pt idx="4">
                  <c:v>0.34430277309031054</c:v>
                </c:pt>
                <c:pt idx="5">
                  <c:v>0.15755053507728894</c:v>
                </c:pt>
                <c:pt idx="6">
                  <c:v>0.24591468933279592</c:v>
                </c:pt>
                <c:pt idx="7">
                  <c:v>0.20655875536537882</c:v>
                </c:pt>
                <c:pt idx="8">
                  <c:v>0.20565698207812608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5-4098-8A7E-9B5858F339FD}"/>
            </c:ext>
          </c:extLst>
        </c:ser>
        <c:ser>
          <c:idx val="2"/>
          <c:order val="2"/>
          <c:tx>
            <c:strRef>
              <c:f>'LUCERO-SAN TELMO (A)'!$M$44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(A)'!$N$40:$V$40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'LUCERO-SAN TELMO (A)'!$N$44:$V$44</c:f>
              <c:numCache>
                <c:formatCode>0%</c:formatCode>
                <c:ptCount val="9"/>
                <c:pt idx="0">
                  <c:v>9.3480928635780725E-3</c:v>
                </c:pt>
                <c:pt idx="1">
                  <c:v>1.1188886089010936E-2</c:v>
                </c:pt>
                <c:pt idx="2">
                  <c:v>1.5937705284573504E-2</c:v>
                </c:pt>
                <c:pt idx="3">
                  <c:v>1.8399596629193899E-2</c:v>
                </c:pt>
                <c:pt idx="4">
                  <c:v>3.0898966815797096E-2</c:v>
                </c:pt>
                <c:pt idx="5">
                  <c:v>1.4268727705112961E-2</c:v>
                </c:pt>
                <c:pt idx="6">
                  <c:v>2.3307749790947411E-2</c:v>
                </c:pt>
                <c:pt idx="7">
                  <c:v>2.1019322026916847E-2</c:v>
                </c:pt>
                <c:pt idx="8">
                  <c:v>1.6037471079486897E-2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5-4098-8A7E-9B5858F3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597767713905506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7.3840934511596207E-2"/>
                  <c:y val="-0.12812012086221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E80-46F8-9664-A2C4B3EA34A5}"/>
                </c:ext>
              </c:extLst>
            </c:dLbl>
            <c:dLbl>
              <c:idx val="4"/>
              <c:layout>
                <c:manualLayout>
                  <c:x val="-7.6528745289717426E-2"/>
                  <c:y val="-9.95894503914543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786-427C-AEA2-6C866D13D9D7}"/>
                </c:ext>
              </c:extLst>
            </c:dLbl>
            <c:dLbl>
              <c:idx val="6"/>
              <c:layout>
                <c:manualLayout>
                  <c:x val="-8.7279988402202316E-2"/>
                  <c:y val="-0.106722118009143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626-4E86-A86D-913F3B95B0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(A)'!$AA$40:$AH$40</c:f>
              <c:numCache>
                <c:formatCode>mmm\-yy</c:formatCode>
                <c:ptCount val="8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</c:numCache>
            </c:numRef>
          </c:cat>
          <c:val>
            <c:numRef>
              <c:f>'LUCERO-SAN TELMO (A)'!$AA$41:$AH$41</c:f>
              <c:numCache>
                <c:formatCode>_-"$"\ * #,##0_-;\-"$"\ * #,##0_-;_-"$"\ * "-"??_-;_-@_-</c:formatCode>
                <c:ptCount val="8"/>
                <c:pt idx="0">
                  <c:v>11886.64</c:v>
                </c:pt>
                <c:pt idx="1">
                  <c:v>7214.28</c:v>
                </c:pt>
                <c:pt idx="2">
                  <c:v>2472.71</c:v>
                </c:pt>
                <c:pt idx="3">
                  <c:v>4561.5200000000004</c:v>
                </c:pt>
                <c:pt idx="4">
                  <c:v>9767.1489999999994</c:v>
                </c:pt>
                <c:pt idx="5">
                  <c:v>7597.05</c:v>
                </c:pt>
                <c:pt idx="6">
                  <c:v>7007.13</c:v>
                </c:pt>
                <c:pt idx="7">
                  <c:v>10595.67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80-46F8-9664-A2C4B3EA34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'LUCERO-SAN TELMO (A)'!$Y$42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140262438210682E-2"/>
                  <c:y val="3.84086657676076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DE4-42D8-B850-9AEEDAA0B4DF}"/>
                </c:ext>
              </c:extLst>
            </c:dLbl>
            <c:dLbl>
              <c:idx val="1"/>
              <c:layout>
                <c:manualLayout>
                  <c:x val="-5.1140262438210696E-2"/>
                  <c:y val="2.565898450963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DE4-42D8-B850-9AEEDAA0B4DF}"/>
                </c:ext>
              </c:extLst>
            </c:dLbl>
            <c:dLbl>
              <c:idx val="2"/>
              <c:layout>
                <c:manualLayout>
                  <c:x val="-4.8449740089185518E-2"/>
                  <c:y val="0.102157072057450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916-4C18-8F22-90C802D0D736}"/>
                </c:ext>
              </c:extLst>
            </c:dLbl>
            <c:dLbl>
              <c:idx val="4"/>
              <c:layout>
                <c:manualLayout>
                  <c:x val="-5.1140262438210668E-2"/>
                  <c:y val="2.565898450963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916-4C18-8F22-90C802D0D736}"/>
                </c:ext>
              </c:extLst>
            </c:dLbl>
            <c:dLbl>
              <c:idx val="5"/>
              <c:layout>
                <c:manualLayout>
                  <c:x val="-5.3830784787235922E-2"/>
                  <c:y val="2.9908878262295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916-4C18-8F22-90C802D0D736}"/>
                </c:ext>
              </c:extLst>
            </c:dLbl>
            <c:dLbl>
              <c:idx val="6"/>
              <c:layout>
                <c:manualLayout>
                  <c:x val="-5.1140262438210772E-2"/>
                  <c:y val="3.415877201495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916-4C18-8F22-90C802D0D736}"/>
                </c:ext>
              </c:extLst>
            </c:dLbl>
            <c:dLbl>
              <c:idx val="7"/>
              <c:layout>
                <c:manualLayout>
                  <c:x val="-5.1319762496537344E-2"/>
                  <c:y val="1.690062392263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8B2-433B-9AD3-63A38C6B69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(A)'!$AA$40:$AH$40</c:f>
              <c:numCache>
                <c:formatCode>mmm\-yy</c:formatCode>
                <c:ptCount val="8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</c:numCache>
            </c:numRef>
          </c:cat>
          <c:val>
            <c:numRef>
              <c:f>'LUCERO-SAN TELMO (A)'!$AA$42:$AH$42</c:f>
              <c:numCache>
                <c:formatCode>0%</c:formatCode>
                <c:ptCount val="8"/>
                <c:pt idx="0">
                  <c:v>0.12854768042104414</c:v>
                </c:pt>
                <c:pt idx="1">
                  <c:v>0.15649517346152353</c:v>
                </c:pt>
                <c:pt idx="2">
                  <c:v>0.5411067209660656</c:v>
                </c:pt>
                <c:pt idx="3">
                  <c:v>0.31042284150897065</c:v>
                </c:pt>
                <c:pt idx="4">
                  <c:v>0.11927738585742882</c:v>
                </c:pt>
                <c:pt idx="5">
                  <c:v>0.15374388742998926</c:v>
                </c:pt>
                <c:pt idx="6">
                  <c:v>0.18595345027136645</c:v>
                </c:pt>
                <c:pt idx="7">
                  <c:v>0.13382825248426952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4-42D8-B850-9AEEDAA0B4DF}"/>
            </c:ext>
          </c:extLst>
        </c:ser>
        <c:ser>
          <c:idx val="1"/>
          <c:order val="1"/>
          <c:tx>
            <c:strRef>
              <c:f>'LUCERO-SAN TELMO (A)'!$Y$43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0378173042110166E-2"/>
                  <c:y val="-8.0907268656866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916-4C18-8F22-90C802D0D7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(A)'!$AA$40:$AH$40</c:f>
              <c:numCache>
                <c:formatCode>mmm\-yy</c:formatCode>
                <c:ptCount val="8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</c:numCache>
            </c:numRef>
          </c:cat>
          <c:val>
            <c:numRef>
              <c:f>'LUCERO-SAN TELMO (A)'!$AA$43:$AH$43</c:f>
              <c:numCache>
                <c:formatCode>0%</c:formatCode>
                <c:ptCount val="8"/>
                <c:pt idx="0">
                  <c:v>0.1706958400355357</c:v>
                </c:pt>
                <c:pt idx="1">
                  <c:v>0.21388135752978815</c:v>
                </c:pt>
                <c:pt idx="2">
                  <c:v>0.73158599269627245</c:v>
                </c:pt>
                <c:pt idx="3">
                  <c:v>0.42200845332257664</c:v>
                </c:pt>
                <c:pt idx="4">
                  <c:v>0.20835148516726837</c:v>
                </c:pt>
                <c:pt idx="5">
                  <c:v>0.30827755510362576</c:v>
                </c:pt>
                <c:pt idx="6">
                  <c:v>0.41686111146789057</c:v>
                </c:pt>
                <c:pt idx="7">
                  <c:v>0.23141528567801753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10-4870-9711-F699D1C23E62}"/>
            </c:ext>
          </c:extLst>
        </c:ser>
        <c:ser>
          <c:idx val="2"/>
          <c:order val="2"/>
          <c:tx>
            <c:strRef>
              <c:f>'LUCERO-SAN TELMO (A)'!$Y$44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'LUCERO-SAN TELMO (A)'!$AA$40:$AH$40</c:f>
              <c:numCache>
                <c:formatCode>mmm\-yy</c:formatCode>
                <c:ptCount val="8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</c:numCache>
            </c:numRef>
          </c:cat>
          <c:val>
            <c:numRef>
              <c:f>'LUCERO-SAN TELMO (A)'!$AA$44:$AH$44</c:f>
              <c:numCache>
                <c:formatCode>0%</c:formatCode>
                <c:ptCount val="8"/>
                <c:pt idx="0">
                  <c:v>5.8889644171944303E-4</c:v>
                </c:pt>
                <c:pt idx="1">
                  <c:v>1.5663378743270291E-2</c:v>
                </c:pt>
                <c:pt idx="2">
                  <c:v>3.3566410941841138E-2</c:v>
                </c:pt>
                <c:pt idx="3">
                  <c:v>2.5868570125747555E-2</c:v>
                </c:pt>
                <c:pt idx="4">
                  <c:v>1.2183698641230927E-2</c:v>
                </c:pt>
                <c:pt idx="5">
                  <c:v>1.8164945603885718E-2</c:v>
                </c:pt>
                <c:pt idx="6">
                  <c:v>2.5402696967231946E-2</c:v>
                </c:pt>
                <c:pt idx="7">
                  <c:v>1.0664733801637839E-2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10-4870-9711-F699D1C2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7668042698032189"/>
          <c:h val="7.588558009196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8032611695350168E-2"/>
                  <c:y val="-7.7200288344238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9E1-4257-A73D-39CB50FFF9F4}"/>
                </c:ext>
              </c:extLst>
            </c:dLbl>
            <c:dLbl>
              <c:idx val="3"/>
              <c:layout>
                <c:manualLayout>
                  <c:x val="-7.8032611695350168E-2"/>
                  <c:y val="-6.311578130198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9E1-4257-A73D-39CB50FFF9F4}"/>
                </c:ext>
              </c:extLst>
            </c:dLbl>
            <c:dLbl>
              <c:idx val="5"/>
              <c:layout>
                <c:manualLayout>
                  <c:x val="-7.8032611695350168E-2"/>
                  <c:y val="-7.7200288344238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FB-4A8A-B3AC-784BC9EA11CD}"/>
                </c:ext>
              </c:extLst>
            </c:dLbl>
            <c:dLbl>
              <c:idx val="7"/>
              <c:layout>
                <c:manualLayout>
                  <c:x val="-8.3004026062737685E-2"/>
                  <c:y val="-9.8327048907619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379-458C-905D-1479CE73AC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'LUCERO-CENTRO'!$O$4:$W$4</c:f>
              <c:numCache>
                <c:formatCode>_-"$"\ * #,##0_-;\-"$"\ * #,##0_-;_-"$"\ * "-"??_-;_-@_-</c:formatCode>
                <c:ptCount val="9"/>
                <c:pt idx="0">
                  <c:v>55313.04</c:v>
                </c:pt>
                <c:pt idx="1">
                  <c:v>77880.077999999994</c:v>
                </c:pt>
                <c:pt idx="2">
                  <c:v>74753.303</c:v>
                </c:pt>
                <c:pt idx="3">
                  <c:v>63202.608</c:v>
                </c:pt>
                <c:pt idx="4">
                  <c:v>42465.449000000001</c:v>
                </c:pt>
                <c:pt idx="5">
                  <c:v>73714.535000000003</c:v>
                </c:pt>
                <c:pt idx="6">
                  <c:v>52963.37</c:v>
                </c:pt>
                <c:pt idx="7">
                  <c:v>55293.151999999995</c:v>
                </c:pt>
                <c:pt idx="8">
                  <c:v>51267.897999999994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E1-4257-A73D-39CB50FFF9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'LUCERO-CENTRO'!$N$5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075225677031104E-2"/>
                  <c:y val="5.09258756448546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237-4E22-A116-7FED5D2D0DDD}"/>
                </c:ext>
              </c:extLst>
            </c:dLbl>
            <c:dLbl>
              <c:idx val="1"/>
              <c:layout>
                <c:manualLayout>
                  <c:x val="-3.0090270812437311E-2"/>
                  <c:y val="-4.1666779799076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237-4E22-A116-7FED5D2D0DDD}"/>
                </c:ext>
              </c:extLst>
            </c:dLbl>
            <c:dLbl>
              <c:idx val="2"/>
              <c:layout>
                <c:manualLayout>
                  <c:x val="-4.5277564978399763E-2"/>
                  <c:y val="-6.51340619060549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237-4E22-A116-7FED5D2D0DDD}"/>
                </c:ext>
              </c:extLst>
            </c:dLbl>
            <c:dLbl>
              <c:idx val="3"/>
              <c:layout>
                <c:manualLayout>
                  <c:x val="-6.4982743506108928E-2"/>
                  <c:y val="-4.7880803692641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237-4E22-A116-7FED5D2D0DDD}"/>
                </c:ext>
              </c:extLst>
            </c:dLbl>
            <c:dLbl>
              <c:idx val="4"/>
              <c:layout>
                <c:manualLayout>
                  <c:x val="-1.2864493996569389E-2"/>
                  <c:y val="8.0713678844519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E30-443E-9F9E-C4D59328D019}"/>
                </c:ext>
              </c:extLst>
            </c:dLbl>
            <c:dLbl>
              <c:idx val="7"/>
              <c:layout>
                <c:manualLayout>
                  <c:x val="-3.7745344740815208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DC7-4C76-ADBE-089BC9F7F0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'LUCERO-CENTRO'!$O$5:$W$5</c:f>
              <c:numCache>
                <c:formatCode>0%</c:formatCode>
                <c:ptCount val="9"/>
                <c:pt idx="0">
                  <c:v>0.11413668856385401</c:v>
                </c:pt>
                <c:pt idx="1">
                  <c:v>0.11083066018500909</c:v>
                </c:pt>
                <c:pt idx="2">
                  <c:v>9.2852231559587411E-2</c:v>
                </c:pt>
                <c:pt idx="3">
                  <c:v>0.13861769754817713</c:v>
                </c:pt>
                <c:pt idx="4">
                  <c:v>0.16896088865091241</c:v>
                </c:pt>
                <c:pt idx="5">
                  <c:v>0.10156748597817242</c:v>
                </c:pt>
                <c:pt idx="6">
                  <c:v>0.14696949986377378</c:v>
                </c:pt>
                <c:pt idx="7">
                  <c:v>0.12059359538772542</c:v>
                </c:pt>
                <c:pt idx="8">
                  <c:v>0.13357286464133952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37-4E22-A116-7FED5D2D0DDD}"/>
            </c:ext>
          </c:extLst>
        </c:ser>
        <c:ser>
          <c:idx val="1"/>
          <c:order val="1"/>
          <c:tx>
            <c:strRef>
              <c:f>'LUCERO-CENTRO'!$N$6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4.1248746238716126E-2"/>
                  <c:y val="3.30820662503393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2A4-4BF2-B7F9-B714C6C5000E}"/>
                </c:ext>
              </c:extLst>
            </c:dLbl>
            <c:dLbl>
              <c:idx val="2"/>
              <c:layout>
                <c:manualLayout>
                  <c:x val="-4.1248746238716147E-2"/>
                  <c:y val="4.17027559055118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2A4-4BF2-B7F9-B714C6C5000E}"/>
                </c:ext>
              </c:extLst>
            </c:dLbl>
            <c:dLbl>
              <c:idx val="3"/>
              <c:layout>
                <c:manualLayout>
                  <c:x val="-4.3906720160481444E-2"/>
                  <c:y val="5.03234455606842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2A4-4BF2-B7F9-B714C6C500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'LUCERO-CENTRO'!$O$6:$W$6</c:f>
              <c:numCache>
                <c:formatCode>0%</c:formatCode>
                <c:ptCount val="9"/>
                <c:pt idx="0">
                  <c:v>0.12910167348928933</c:v>
                </c:pt>
                <c:pt idx="1">
                  <c:v>8.9292022537522373E-2</c:v>
                </c:pt>
                <c:pt idx="2">
                  <c:v>7.5432778208475951E-2</c:v>
                </c:pt>
                <c:pt idx="3">
                  <c:v>0.1372253499412556</c:v>
                </c:pt>
                <c:pt idx="4">
                  <c:v>0.18438519277165774</c:v>
                </c:pt>
                <c:pt idx="5">
                  <c:v>0.14531733802566887</c:v>
                </c:pt>
                <c:pt idx="6">
                  <c:v>0.24075129660367153</c:v>
                </c:pt>
                <c:pt idx="7">
                  <c:v>0.21118347530630921</c:v>
                </c:pt>
                <c:pt idx="8">
                  <c:v>0.23336240545691969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4B-4812-8442-D13958F9A58E}"/>
            </c:ext>
          </c:extLst>
        </c:ser>
        <c:ser>
          <c:idx val="2"/>
          <c:order val="2"/>
          <c:tx>
            <c:strRef>
              <c:f>'LUCERO-CENTRO'!$N$7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41511147616078E-2"/>
                  <c:y val="-3.86335867499321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2A4-4BF2-B7F9-B714C6C5000E}"/>
                </c:ext>
              </c:extLst>
            </c:dLbl>
            <c:dLbl>
              <c:idx val="1"/>
              <c:layout>
                <c:manualLayout>
                  <c:x val="-2.5217384436774893E-2"/>
                  <c:y val="-3.0651303285365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2A4-4BF2-B7F9-B714C6C5000E}"/>
                </c:ext>
              </c:extLst>
            </c:dLbl>
            <c:dLbl>
              <c:idx val="2"/>
              <c:layout>
                <c:manualLayout>
                  <c:x val="-1.0688328345446772E-2"/>
                  <c:y val="3.12900488732011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2A4-4BF2-B7F9-B714C6C5000E}"/>
                </c:ext>
              </c:extLst>
            </c:dLbl>
            <c:dLbl>
              <c:idx val="3"/>
              <c:layout>
                <c:manualLayout>
                  <c:x val="-9.2738846460641775E-3"/>
                  <c:y val="3.5600393700787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2A4-4BF2-B7F9-B714C6C5000E}"/>
                </c:ext>
              </c:extLst>
            </c:dLbl>
            <c:dLbl>
              <c:idx val="4"/>
              <c:layout>
                <c:manualLayout>
                  <c:x val="-2.5163563160543627E-2"/>
                  <c:y val="3.3984706881902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E30-443E-9F9E-C4D59328D019}"/>
                </c:ext>
              </c:extLst>
            </c:dLbl>
            <c:dLbl>
              <c:idx val="5"/>
              <c:layout>
                <c:manualLayout>
                  <c:x val="-4.0261701056869742E-2"/>
                  <c:y val="4.248088360237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E30-443E-9F9E-C4D59328D019}"/>
                </c:ext>
              </c:extLst>
            </c:dLbl>
            <c:dLbl>
              <c:idx val="6"/>
              <c:layout>
                <c:manualLayout>
                  <c:x val="-3.5228988424761042E-2"/>
                  <c:y val="2.5488530161427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DC7-4C76-ADBE-089BC9F7F02E}"/>
                </c:ext>
              </c:extLst>
            </c:dLbl>
            <c:dLbl>
              <c:idx val="7"/>
              <c:layout>
                <c:manualLayout>
                  <c:x val="-3.7745344740815208E-2"/>
                  <c:y val="4.672897196261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DC7-4C76-ADBE-089BC9F7F0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'LUCERO-CENTRO'!$O$7:$W$7</c:f>
              <c:numCache>
                <c:formatCode>0%</c:formatCode>
                <c:ptCount val="9"/>
                <c:pt idx="0">
                  <c:v>1.0434520154214186E-2</c:v>
                </c:pt>
                <c:pt idx="1">
                  <c:v>1.1550423973638035E-2</c:v>
                </c:pt>
                <c:pt idx="2">
                  <c:v>2.4360981881964471E-2</c:v>
                </c:pt>
                <c:pt idx="3">
                  <c:v>3.1881595772123836E-2</c:v>
                </c:pt>
                <c:pt idx="4">
                  <c:v>3.7795432234803403E-2</c:v>
                </c:pt>
                <c:pt idx="5">
                  <c:v>5.3761446097435189E-2</c:v>
                </c:pt>
                <c:pt idx="6">
                  <c:v>3.5817207250973641E-2</c:v>
                </c:pt>
                <c:pt idx="7">
                  <c:v>4.1144335558949509E-2</c:v>
                </c:pt>
                <c:pt idx="8">
                  <c:v>3.0272354836939096E-2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B-4812-8442-D13958F9A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425708038541019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6418532789784305E-2"/>
                  <c:y val="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84C-4EF8-A96D-CD172649CB54}"/>
                </c:ext>
              </c:extLst>
            </c:dLbl>
            <c:dLbl>
              <c:idx val="1"/>
              <c:layout>
                <c:manualLayout>
                  <c:x val="-8.3510731371344543E-2"/>
                  <c:y val="-0.110192837465564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84C-4EF8-A96D-CD172649CB54}"/>
                </c:ext>
              </c:extLst>
            </c:dLbl>
            <c:dLbl>
              <c:idx val="2"/>
              <c:layout>
                <c:manualLayout>
                  <c:x val="-8.3510731371344626E-2"/>
                  <c:y val="-6.42791551882461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84C-4EF8-A96D-CD172649CB54}"/>
                </c:ext>
              </c:extLst>
            </c:dLbl>
            <c:dLbl>
              <c:idx val="3"/>
              <c:layout>
                <c:manualLayout>
                  <c:x val="-8.1146665177491195E-2"/>
                  <c:y val="9.18273645546371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84C-4EF8-A96D-CD172649CB54}"/>
                </c:ext>
              </c:extLst>
            </c:dLbl>
            <c:dLbl>
              <c:idx val="4"/>
              <c:layout>
                <c:manualLayout>
                  <c:x val="-7.0253758798788729E-2"/>
                  <c:y val="6.75636924591156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2B1-4E84-8D18-AD2EB52CD41C}"/>
                </c:ext>
              </c:extLst>
            </c:dLbl>
            <c:dLbl>
              <c:idx val="5"/>
              <c:layout>
                <c:manualLayout>
                  <c:x val="-6.578467464294252E-2"/>
                  <c:y val="-5.3254437869822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1BF-420A-ADC8-752256C62BC3}"/>
                </c:ext>
              </c:extLst>
            </c:dLbl>
            <c:dLbl>
              <c:idx val="6"/>
              <c:layout>
                <c:manualLayout>
                  <c:x val="-3.5792514572042133E-2"/>
                  <c:y val="4.7337278106508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1BF-420A-ADC8-752256C62BC3}"/>
                </c:ext>
              </c:extLst>
            </c:dLbl>
            <c:dLbl>
              <c:idx val="7"/>
              <c:layout>
                <c:manualLayout>
                  <c:x val="-6.5738642475201226E-2"/>
                  <c:y val="-7.8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58D-4A3C-A290-3043E620FFD4}"/>
                </c:ext>
              </c:extLst>
            </c:dLbl>
            <c:dLbl>
              <c:idx val="8"/>
              <c:layout>
                <c:manualLayout>
                  <c:x val="-1.824441717880889E-2"/>
                  <c:y val="7.8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58D-4A3C-A290-3043E620FF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(A)'!$C$40:$K$40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 (A)'!$C$41:$K$41</c:f>
              <c:numCache>
                <c:formatCode>_-"$"\ * #,##0_-;\-"$"\ * #,##0_-;_-"$"\ * "-"??_-;_-@_-</c:formatCode>
                <c:ptCount val="9"/>
                <c:pt idx="0">
                  <c:v>35956.36</c:v>
                </c:pt>
                <c:pt idx="1">
                  <c:v>53095.66</c:v>
                </c:pt>
                <c:pt idx="2">
                  <c:v>45648.692999999999</c:v>
                </c:pt>
                <c:pt idx="3">
                  <c:v>40118.678</c:v>
                </c:pt>
                <c:pt idx="4">
                  <c:v>23978.278999999999</c:v>
                </c:pt>
                <c:pt idx="5">
                  <c:v>44687.118999999999</c:v>
                </c:pt>
                <c:pt idx="6">
                  <c:v>33033.18</c:v>
                </c:pt>
                <c:pt idx="7">
                  <c:v>35772.421999999999</c:v>
                </c:pt>
                <c:pt idx="8">
                  <c:v>29767.638999999999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4C-4EF8-A96D-CD172649CB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(A)'!$B$42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9185326345878992E-2"/>
                  <c:y val="3.15734455606842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C6B-4201-8D56-EA7C10B50F30}"/>
                </c:ext>
              </c:extLst>
            </c:dLbl>
            <c:dLbl>
              <c:idx val="5"/>
              <c:layout>
                <c:manualLayout>
                  <c:x val="-4.1567413053835246E-2"/>
                  <c:y val="3.15734455606841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3AD-47D1-9439-D8B909D2DDE7}"/>
                </c:ext>
              </c:extLst>
            </c:dLbl>
            <c:dLbl>
              <c:idx val="7"/>
              <c:layout>
                <c:manualLayout>
                  <c:x val="-3.9185326345878992E-2"/>
                  <c:y val="1.86424110779255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D7E-4A1F-A342-EB59FE223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(A)'!$C$40:$K$40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 (A)'!$C$42:$K$42</c:f>
              <c:numCache>
                <c:formatCode>0%</c:formatCode>
                <c:ptCount val="9"/>
                <c:pt idx="0">
                  <c:v>7.8395477184008605E-2</c:v>
                </c:pt>
                <c:pt idx="1">
                  <c:v>8.5732599990281683E-2</c:v>
                </c:pt>
                <c:pt idx="2">
                  <c:v>7.0603664380927619E-2</c:v>
                </c:pt>
                <c:pt idx="3">
                  <c:v>9.4031315787623915E-2</c:v>
                </c:pt>
                <c:pt idx="4">
                  <c:v>0.10017771500615205</c:v>
                </c:pt>
                <c:pt idx="5">
                  <c:v>7.4085241431652821E-2</c:v>
                </c:pt>
                <c:pt idx="6">
                  <c:v>0.10087179012132649</c:v>
                </c:pt>
                <c:pt idx="7">
                  <c:v>7.4203481665289533E-2</c:v>
                </c:pt>
                <c:pt idx="8">
                  <c:v>9.5842334019167599E-2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6B-4201-8D56-EA7C10B50F30}"/>
            </c:ext>
          </c:extLst>
        </c:ser>
        <c:ser>
          <c:idx val="1"/>
          <c:order val="1"/>
          <c:tx>
            <c:strRef>
              <c:f>'LUCERO-CENTRO (A)'!$B$43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(A)'!$C$40:$K$40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 (A)'!$C$43:$K$43</c:f>
              <c:numCache>
                <c:formatCode>0%</c:formatCode>
                <c:ptCount val="9"/>
                <c:pt idx="0">
                  <c:v>0.12940686988338085</c:v>
                </c:pt>
                <c:pt idx="1">
                  <c:v>9.6900575301258132E-2</c:v>
                </c:pt>
                <c:pt idx="2">
                  <c:v>9.2510863344981209E-2</c:v>
                </c:pt>
                <c:pt idx="3">
                  <c:v>0.11146927623088677</c:v>
                </c:pt>
                <c:pt idx="4">
                  <c:v>0.1902972269194132</c:v>
                </c:pt>
                <c:pt idx="5">
                  <c:v>0.14046553325579123</c:v>
                </c:pt>
                <c:pt idx="6">
                  <c:v>0.2125135999622198</c:v>
                </c:pt>
                <c:pt idx="7">
                  <c:v>0.16537879375346742</c:v>
                </c:pt>
                <c:pt idx="8">
                  <c:v>0.21694700073458967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9-43FE-B440-E6EFEE58B22A}"/>
            </c:ext>
          </c:extLst>
        </c:ser>
        <c:ser>
          <c:idx val="2"/>
          <c:order val="2"/>
          <c:tx>
            <c:strRef>
              <c:f>'LUCERO-CENTRO (A)'!$B$44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567413053835163E-2"/>
                  <c:y val="-1.1530002715177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3D1-4BB1-9C4F-737397A37103}"/>
                </c:ext>
              </c:extLst>
            </c:dLbl>
            <c:dLbl>
              <c:idx val="1"/>
              <c:layout>
                <c:manualLayout>
                  <c:x val="-4.1567413053835163E-2"/>
                  <c:y val="1.43320662503393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3D1-4BB1-9C4F-737397A371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(A)'!$C$40:$K$40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 (A)'!$C$44:$K$44</c:f>
              <c:numCache>
                <c:formatCode>0%</c:formatCode>
                <c:ptCount val="9"/>
                <c:pt idx="0">
                  <c:v>1.29493898711656E-2</c:v>
                </c:pt>
                <c:pt idx="1">
                  <c:v>1.4242267258755237E-2</c:v>
                </c:pt>
                <c:pt idx="2">
                  <c:v>3.5116034757008266E-2</c:v>
                </c:pt>
                <c:pt idx="3">
                  <c:v>4.3066833608026669E-2</c:v>
                </c:pt>
                <c:pt idx="4">
                  <c:v>5.6454028247815445E-2</c:v>
                </c:pt>
                <c:pt idx="5">
                  <c:v>3.8728945582730448E-2</c:v>
                </c:pt>
                <c:pt idx="6">
                  <c:v>4.9517878690456076E-2</c:v>
                </c:pt>
                <c:pt idx="7">
                  <c:v>5.1197715938831309E-2</c:v>
                </c:pt>
                <c:pt idx="8">
                  <c:v>4.0580981246110918E-2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9-43FE-B440-E6EFEE58B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579287681123734"/>
          <c:h val="7.0659499070668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132868996382406E-2"/>
                  <c:y val="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224-40C8-8A3C-BA3CC0F47DFC}"/>
                </c:ext>
              </c:extLst>
            </c:dLbl>
            <c:dLbl>
              <c:idx val="1"/>
              <c:layout>
                <c:manualLayout>
                  <c:x val="-0.13251049224411598"/>
                  <c:y val="-0.118549511854951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224-40C8-8A3C-BA3CC0F47DFC}"/>
                </c:ext>
              </c:extLst>
            </c:dLbl>
            <c:dLbl>
              <c:idx val="2"/>
              <c:layout>
                <c:manualLayout>
                  <c:x val="-7.0450962451297519E-2"/>
                  <c:y val="-0.111576011157601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224-40C8-8A3C-BA3CC0F47DFC}"/>
                </c:ext>
              </c:extLst>
            </c:dLbl>
            <c:dLbl>
              <c:idx val="3"/>
              <c:layout>
                <c:manualLayout>
                  <c:x val="-3.3362354392766275E-2"/>
                  <c:y val="-9.76290097629009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224-40C8-8A3C-BA3CC0F47DFC}"/>
                </c:ext>
              </c:extLst>
            </c:dLbl>
            <c:dLbl>
              <c:idx val="4"/>
              <c:layout>
                <c:manualLayout>
                  <c:x val="-7.1651622389516681E-2"/>
                  <c:y val="6.829380370006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BE5-4CE0-AD80-D8C721B7C001}"/>
                </c:ext>
              </c:extLst>
            </c:dLbl>
            <c:dLbl>
              <c:idx val="5"/>
              <c:layout>
                <c:manualLayout>
                  <c:x val="-7.8493057629273472E-2"/>
                  <c:y val="-4.863221884498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959-4060-8B24-EB0E924CC6F6}"/>
                </c:ext>
              </c:extLst>
            </c:dLbl>
            <c:dLbl>
              <c:idx val="6"/>
              <c:layout>
                <c:manualLayout>
                  <c:x val="-3.7133104273319152E-2"/>
                  <c:y val="-6.68693009118541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959-4060-8B24-EB0E924CC6F6}"/>
                </c:ext>
              </c:extLst>
            </c:dLbl>
            <c:dLbl>
              <c:idx val="7"/>
              <c:layout>
                <c:manualLayout>
                  <c:x val="-6.2556339618486209E-2"/>
                  <c:y val="4.25531914893617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D5C-4434-8C0B-599BD4926390}"/>
                </c:ext>
              </c:extLst>
            </c:dLbl>
            <c:dLbl>
              <c:idx val="8"/>
              <c:layout>
                <c:manualLayout>
                  <c:x val="-1.9730391013282618E-2"/>
                  <c:y val="-4.8632218844984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D5C-4434-8C0B-599BD49263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(A)'!$N$40:$V$40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 (A)'!$N$41:$V$41</c:f>
              <c:numCache>
                <c:formatCode>_-"$"\ * #,##0_-;\-"$"\ * #,##0_-;_-"$"\ * "-"??_-;_-@_-</c:formatCode>
                <c:ptCount val="9"/>
                <c:pt idx="0">
                  <c:v>19356.68</c:v>
                </c:pt>
                <c:pt idx="1">
                  <c:v>24784.418000000001</c:v>
                </c:pt>
                <c:pt idx="2">
                  <c:v>29104.61</c:v>
                </c:pt>
                <c:pt idx="3">
                  <c:v>20476.37</c:v>
                </c:pt>
                <c:pt idx="4">
                  <c:v>15336.68</c:v>
                </c:pt>
                <c:pt idx="5">
                  <c:v>25739.876</c:v>
                </c:pt>
                <c:pt idx="6">
                  <c:v>17076.57</c:v>
                </c:pt>
                <c:pt idx="7">
                  <c:v>15486.3</c:v>
                </c:pt>
                <c:pt idx="8">
                  <c:v>17483.909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24-40C8-8A3C-BA3CC0F47D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(A)'!$M$42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4.5488458848216451E-2"/>
                  <c:y val="-3.1545911412236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19D-4C94-89A0-65F92AD94BA9}"/>
                </c:ext>
              </c:extLst>
            </c:dLbl>
            <c:dLbl>
              <c:idx val="6"/>
              <c:layout>
                <c:manualLayout>
                  <c:x val="-5.0151550477966975E-2"/>
                  <c:y val="-3.5852543625845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58B-43B8-AACD-6AA6065796CF}"/>
                </c:ext>
              </c:extLst>
            </c:dLbl>
            <c:dLbl>
              <c:idx val="7"/>
              <c:layout>
                <c:manualLayout>
                  <c:x val="-4.3156913033341106E-2"/>
                  <c:y val="4.59734684327249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19D-4C94-89A0-65F92AD94BA9}"/>
                </c:ext>
              </c:extLst>
            </c:dLbl>
            <c:dLbl>
              <c:idx val="8"/>
              <c:layout>
                <c:manualLayout>
                  <c:x val="-4.5584112149532709E-2"/>
                  <c:y val="5.80927755738263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A30-45C8-BB19-71F6112AAB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(A)'!$N$40:$V$40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 (A)'!$N$42:$V$42</c:f>
              <c:numCache>
                <c:formatCode>0%</c:formatCode>
                <c:ptCount val="9"/>
                <c:pt idx="0">
                  <c:v>0.18050616118053303</c:v>
                </c:pt>
                <c:pt idx="1">
                  <c:v>0.16457921263271139</c:v>
                </c:pt>
                <c:pt idx="2">
                  <c:v>0.12774608558575429</c:v>
                </c:pt>
                <c:pt idx="3">
                  <c:v>0.18880299584350158</c:v>
                </c:pt>
                <c:pt idx="4">
                  <c:v>0.23518779814144913</c:v>
                </c:pt>
                <c:pt idx="5">
                  <c:v>0.14122057153655285</c:v>
                </c:pt>
                <c:pt idx="6">
                  <c:v>0.21263052240584615</c:v>
                </c:pt>
                <c:pt idx="7">
                  <c:v>0.20656967771514179</c:v>
                </c:pt>
                <c:pt idx="8">
                  <c:v>0.17810662363891278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6C-4595-BD0B-5DB272FD0298}"/>
            </c:ext>
          </c:extLst>
        </c:ser>
        <c:ser>
          <c:idx val="1"/>
          <c:order val="1"/>
          <c:tx>
            <c:strRef>
              <c:f>'LUCERO-CENTRO (A)'!$M$43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0685474469573372E-2"/>
                  <c:y val="2.2932986089917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AAB-419E-B81A-E43C1FE6E77A}"/>
                </c:ext>
              </c:extLst>
            </c:dLbl>
            <c:dLbl>
              <c:idx val="6"/>
              <c:layout>
                <c:manualLayout>
                  <c:x val="-3.8493821403590582E-2"/>
                  <c:y val="5.30794115851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19D-4C94-89A0-65F92AD94BA9}"/>
                </c:ext>
              </c:extLst>
            </c:dLbl>
            <c:dLbl>
              <c:idx val="7"/>
              <c:layout>
                <c:manualLayout>
                  <c:x val="-5.7146187922592677E-2"/>
                  <c:y val="-4.16664971142173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19D-4C94-89A0-65F92AD94BA9}"/>
                </c:ext>
              </c:extLst>
            </c:dLbl>
            <c:dLbl>
              <c:idx val="8"/>
              <c:layout>
                <c:manualLayout>
                  <c:x val="-4.0911214953271026E-2"/>
                  <c:y val="-2.8355822557014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E8B-4F04-AF00-42059245C2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(A)'!$N$40:$V$40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 (A)'!$N$43:$V$43</c:f>
              <c:numCache>
                <c:formatCode>0%</c:formatCode>
                <c:ptCount val="9"/>
                <c:pt idx="0">
                  <c:v>0.12853443875705958</c:v>
                </c:pt>
                <c:pt idx="1">
                  <c:v>7.2989408103107362E-2</c:v>
                </c:pt>
                <c:pt idx="2">
                  <c:v>4.86520863876891E-2</c:v>
                </c:pt>
                <c:pt idx="3">
                  <c:v>0.11740362183336207</c:v>
                </c:pt>
                <c:pt idx="4">
                  <c:v>0.16098660205468199</c:v>
                </c:pt>
                <c:pt idx="5">
                  <c:v>0.11608447530982667</c:v>
                </c:pt>
                <c:pt idx="6">
                  <c:v>0.20115280761886023</c:v>
                </c:pt>
                <c:pt idx="7">
                  <c:v>0.22329413739886222</c:v>
                </c:pt>
                <c:pt idx="8">
                  <c:v>0.19715270766966358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8-4CD6-A7A6-A79AA033F9FC}"/>
            </c:ext>
          </c:extLst>
        </c:ser>
        <c:ser>
          <c:idx val="2"/>
          <c:order val="2"/>
          <c:tx>
            <c:strRef>
              <c:f>'LUCERO-CENTRO (A)'!$M$44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(A)'!$N$40:$V$40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'LUCERO-CENTRO (A)'!$N$44:$V$44</c:f>
              <c:numCache>
                <c:formatCode>0%</c:formatCode>
                <c:ptCount val="9"/>
                <c:pt idx="0">
                  <c:v>5.7861162141441607E-3</c:v>
                </c:pt>
                <c:pt idx="1">
                  <c:v>5.7697542060499464E-3</c:v>
                </c:pt>
                <c:pt idx="2">
                  <c:v>7.4902223393476155E-3</c:v>
                </c:pt>
                <c:pt idx="3">
                  <c:v>9.0836412899356674E-3</c:v>
                </c:pt>
                <c:pt idx="4">
                  <c:v>1.3757866761254718E-2</c:v>
                </c:pt>
                <c:pt idx="5">
                  <c:v>9.013252433694708E-3</c:v>
                </c:pt>
                <c:pt idx="6">
                  <c:v>1.1829073402914052E-2</c:v>
                </c:pt>
                <c:pt idx="7">
                  <c:v>2.2213181973744535E-2</c:v>
                </c:pt>
                <c:pt idx="8">
                  <c:v>1.1725066745657393E-2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8-4CD6-A7A6-A79AA033F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9279587600569543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6646295438560377E-2"/>
                  <c:y val="9.7629009762901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03-4BCC-8321-A1BECEE8CBA8}"/>
                </c:ext>
              </c:extLst>
            </c:dLbl>
            <c:dLbl>
              <c:idx val="1"/>
              <c:layout>
                <c:manualLayout>
                  <c:x val="-6.9297181634281432E-2"/>
                  <c:y val="7.67084851333881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03-4BCC-8321-A1BECEE8CBA8}"/>
                </c:ext>
              </c:extLst>
            </c:dLbl>
            <c:dLbl>
              <c:idx val="2"/>
              <c:layout>
                <c:manualLayout>
                  <c:x val="-6.7334607071174932E-2"/>
                  <c:y val="7.9754601226993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C4D-40AD-B0F1-CDE8CBA966FF}"/>
                </c:ext>
              </c:extLst>
            </c:dLbl>
            <c:dLbl>
              <c:idx val="3"/>
              <c:layout>
                <c:manualLayout>
                  <c:x val="-6.9785587463331883E-2"/>
                  <c:y val="6.74846625766871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4D-40AD-B0F1-CDE8CBA966FF}"/>
                </c:ext>
              </c:extLst>
            </c:dLbl>
            <c:dLbl>
              <c:idx val="4"/>
              <c:layout>
                <c:manualLayout>
                  <c:x val="-8.821013225445079E-2"/>
                  <c:y val="-8.08457711442786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579-4AC5-B931-37BCC7426B4E}"/>
                </c:ext>
              </c:extLst>
            </c:dLbl>
            <c:dLbl>
              <c:idx val="5"/>
              <c:layout>
                <c:manualLayout>
                  <c:x val="-5.0565164129304715E-2"/>
                  <c:y val="7.4626865671641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579-4AC5-B931-37BCC7426B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(A)'!$AB$40:$AG$40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'LUCERO-CENTRO (A)'!$AB$41:$AG$41</c:f>
              <c:numCache>
                <c:formatCode>_-"$"\ * #,##0_-;\-"$"\ * #,##0_-;_-"$"\ * "-"??_-;_-@_-</c:formatCode>
                <c:ptCount val="6"/>
                <c:pt idx="0">
                  <c:v>2607.56</c:v>
                </c:pt>
                <c:pt idx="1">
                  <c:v>3150.49</c:v>
                </c:pt>
                <c:pt idx="2">
                  <c:v>3287.54</c:v>
                </c:pt>
                <c:pt idx="3">
                  <c:v>2853.62</c:v>
                </c:pt>
                <c:pt idx="4">
                  <c:v>4034.43</c:v>
                </c:pt>
                <c:pt idx="5">
                  <c:v>4016.35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2-4A5B-A480-6BEC46B6CF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'LUCERO-CENTRO (A)'!$X$42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85792349726776E-2"/>
                  <c:y val="6.2034739454094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968-4793-AEAD-67B140EF660D}"/>
                </c:ext>
              </c:extLst>
            </c:dLbl>
            <c:dLbl>
              <c:idx val="1"/>
              <c:layout>
                <c:manualLayout>
                  <c:x val="-2.7472527472527427E-2"/>
                  <c:y val="-5.9473237043330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1D8-437F-819F-A81CED18D773}"/>
                </c:ext>
              </c:extLst>
            </c:dLbl>
            <c:dLbl>
              <c:idx val="2"/>
              <c:layout>
                <c:manualLayout>
                  <c:x val="-1.2487512487512488E-2"/>
                  <c:y val="4.24808836023790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1D8-437F-819F-A81CED18D773}"/>
                </c:ext>
              </c:extLst>
            </c:dLbl>
            <c:dLbl>
              <c:idx val="3"/>
              <c:layout>
                <c:manualLayout>
                  <c:x val="-2.2658610271903416E-2"/>
                  <c:y val="-4.6728971962616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07F-49D8-9810-DE0D48F3421D}"/>
                </c:ext>
              </c:extLst>
            </c:dLbl>
            <c:dLbl>
              <c:idx val="4"/>
              <c:layout>
                <c:manualLayout>
                  <c:x val="-2.5176233635448138E-2"/>
                  <c:y val="-6.37213254035684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07F-49D8-9810-DE0D48F34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(A)'!$AB$40:$AG$40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'LUCERO-CENTRO (A)'!$AB$42:$AG$42</c:f>
              <c:numCache>
                <c:formatCode>0%</c:formatCode>
                <c:ptCount val="6"/>
                <c:pt idx="0">
                  <c:v>0.43067081869640583</c:v>
                </c:pt>
                <c:pt idx="1">
                  <c:v>0.37010115886735084</c:v>
                </c:pt>
                <c:pt idx="2">
                  <c:v>0.16456073538268737</c:v>
                </c:pt>
                <c:pt idx="3">
                  <c:v>0.28770473994435142</c:v>
                </c:pt>
                <c:pt idx="4">
                  <c:v>0.20201118869332224</c:v>
                </c:pt>
                <c:pt idx="5">
                  <c:v>0.21935339300608761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0B-4D8F-AEB0-B299E1916E5C}"/>
            </c:ext>
          </c:extLst>
        </c:ser>
        <c:ser>
          <c:idx val="1"/>
          <c:order val="1"/>
          <c:tx>
            <c:strRef>
              <c:f>'LUCERO-CENTRO (A)'!$X$43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092896174863388E-2"/>
                  <c:y val="-3.72208436724565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968-4793-AEAD-67B140EF660D}"/>
                </c:ext>
              </c:extLst>
            </c:dLbl>
            <c:dLbl>
              <c:idx val="1"/>
              <c:layout>
                <c:manualLayout>
                  <c:x val="-3.7462537462537464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1D8-437F-819F-A81CED18D773}"/>
                </c:ext>
              </c:extLst>
            </c:dLbl>
            <c:dLbl>
              <c:idx val="2"/>
              <c:layout>
                <c:manualLayout>
                  <c:x val="-2.9970029970029972E-2"/>
                  <c:y val="5.0977060322854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1D8-437F-819F-A81CED18D773}"/>
                </c:ext>
              </c:extLst>
            </c:dLbl>
            <c:dLbl>
              <c:idx val="4"/>
              <c:layout>
                <c:manualLayout>
                  <c:x val="-4.2799597180261925E-2"/>
                  <c:y val="3.82327952421410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07F-49D8-9810-DE0D48F342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(A)'!$AB$40:$AG$40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'LUCERO-CENTRO (A)'!$AB$43:$AG$43</c:f>
              <c:numCache>
                <c:formatCode>0%</c:formatCode>
                <c:ptCount val="6"/>
                <c:pt idx="0">
                  <c:v>0.68915000997100739</c:v>
                </c:pt>
                <c:pt idx="1">
                  <c:v>0.25329393205501366</c:v>
                </c:pt>
                <c:pt idx="2">
                  <c:v>0.44014673585720632</c:v>
                </c:pt>
                <c:pt idx="3">
                  <c:v>0.80459206201246136</c:v>
                </c:pt>
                <c:pt idx="4">
                  <c:v>0.57083652461438172</c:v>
                </c:pt>
                <c:pt idx="5">
                  <c:v>0.51265452463057259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8-4793-AEAD-67B140EF660D}"/>
            </c:ext>
          </c:extLst>
        </c:ser>
        <c:ser>
          <c:idx val="2"/>
          <c:order val="2"/>
          <c:tx>
            <c:strRef>
              <c:f>'LUCERO-CENTRO (A)'!$X$44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6393442622950821E-2"/>
                  <c:y val="-7.444168734491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968-4793-AEAD-67B140EF660D}"/>
                </c:ext>
              </c:extLst>
            </c:dLbl>
            <c:dLbl>
              <c:idx val="1"/>
              <c:layout>
                <c:manualLayout>
                  <c:x val="-4.9950049950049952E-2"/>
                  <c:y val="-3.398470688190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1D8-437F-819F-A81CED18D773}"/>
                </c:ext>
              </c:extLst>
            </c:dLbl>
            <c:dLbl>
              <c:idx val="2"/>
              <c:layout>
                <c:manualLayout>
                  <c:x val="-4.5035524260373751E-2"/>
                  <c:y val="-3.39847068819031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1D8-437F-819F-A81CED18D7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'LUCERO-CENTRO (A)'!$AB$40:$AG$40</c:f>
              <c:numCache>
                <c:formatCode>mmm\-yy</c:formatCode>
                <c:ptCount val="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</c:numCache>
            </c:numRef>
          </c:cat>
          <c:val>
            <c:numRef>
              <c:f>'LUCERO-CENTRO (A)'!$AB$44:$AG$44</c:f>
              <c:numCache>
                <c:formatCode>0%</c:formatCode>
                <c:ptCount val="6"/>
                <c:pt idx="0">
                  <c:v>3.8733528662811212E-2</c:v>
                </c:pt>
                <c:pt idx="1">
                  <c:v>1.2696437696993168E-2</c:v>
                </c:pt>
                <c:pt idx="2">
                  <c:v>0.60835761694154289</c:v>
                </c:pt>
                <c:pt idx="3">
                  <c:v>2.0675492882724401E-2</c:v>
                </c:pt>
                <c:pt idx="4">
                  <c:v>2.478664891942604E-2</c:v>
                </c:pt>
                <c:pt idx="5">
                  <c:v>3.4608537602549581E-2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8-4793-AEAD-67B140EF6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8771641744082685"/>
          <c:h val="7.513237334166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F0502020204030204" pitchFamily="34" charset="0"/>
                <a:ea typeface="+mn-ea"/>
                <a:cs typeface="+mn-cs"/>
              </a:defRPr>
            </a:pPr>
            <a:r>
              <a:rPr lang="en-US" sz="1400">
                <a:latin typeface="Abadi Extra Light" panose="020F0502020204030204" pitchFamily="34" charset="0"/>
              </a:rPr>
              <a:t>VENTA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2048331646412056E-2"/>
                  <c:y val="-0.101815699836972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EDB-4BDC-BD7C-D872D17AEBE0}"/>
                </c:ext>
              </c:extLst>
            </c:dLbl>
            <c:dLbl>
              <c:idx val="2"/>
              <c:layout>
                <c:manualLayout>
                  <c:x val="-8.9207062062490974E-2"/>
                  <c:y val="8.9537928699930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EDB-4BDC-BD7C-D872D17AEBE0}"/>
                </c:ext>
              </c:extLst>
            </c:dLbl>
            <c:dLbl>
              <c:idx val="3"/>
              <c:layout>
                <c:manualLayout>
                  <c:x val="-7.4499578848709072E-2"/>
                  <c:y val="-8.2680336983282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EDB-4BDC-BD7C-D872D17AEBE0}"/>
                </c:ext>
              </c:extLst>
            </c:dLbl>
            <c:dLbl>
              <c:idx val="5"/>
              <c:layout>
                <c:manualLayout>
                  <c:x val="-7.4499578848709017E-2"/>
                  <c:y val="-6.99234284141555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AB7-4366-AC16-818836212EDD}"/>
                </c:ext>
              </c:extLst>
            </c:dLbl>
            <c:dLbl>
              <c:idx val="7"/>
              <c:layout>
                <c:manualLayout>
                  <c:x val="-8.6755814860194166E-2"/>
                  <c:y val="-9.5437245552409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827-4145-8727-F442ADFD15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'AS-SAN TELMO'!$O$4:$W$4</c:f>
              <c:numCache>
                <c:formatCode>_-"$"\ * #,##0_-;\-"$"\ * #,##0_-;_-"$"\ * "-"??_-;_-@_-</c:formatCode>
                <c:ptCount val="9"/>
                <c:pt idx="0">
                  <c:v>21228.068695652175</c:v>
                </c:pt>
                <c:pt idx="1">
                  <c:v>17536.740000000002</c:v>
                </c:pt>
                <c:pt idx="2">
                  <c:v>19509.198</c:v>
                </c:pt>
                <c:pt idx="3">
                  <c:v>14424.775</c:v>
                </c:pt>
                <c:pt idx="4">
                  <c:v>14999.9</c:v>
                </c:pt>
                <c:pt idx="5">
                  <c:v>21852</c:v>
                </c:pt>
                <c:pt idx="6">
                  <c:v>16091</c:v>
                </c:pt>
                <c:pt idx="7">
                  <c:v>14015.923000000001</c:v>
                </c:pt>
                <c:pt idx="8">
                  <c:v>17355.5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DB-4BDC-BD7C-D872D17AEB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7485792"/>
        <c:axId val="1577472352"/>
      </c:lineChart>
      <c:dateAx>
        <c:axId val="157748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472352"/>
        <c:crosses val="autoZero"/>
        <c:auto val="1"/>
        <c:lblOffset val="100"/>
        <c:baseTimeUnit val="months"/>
      </c:dateAx>
      <c:valAx>
        <c:axId val="1577472352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15774857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Abadi Extra Light" panose="020B0204020104020204" pitchFamily="34" charset="0"/>
                <a:ea typeface="+mn-ea"/>
                <a:cs typeface="+mn-cs"/>
              </a:defRPr>
            </a:pPr>
            <a:r>
              <a:rPr lang="es-AR" sz="1400">
                <a:latin typeface="Abadi Extra Light" panose="020B0204020104020204" pitchFamily="34" charset="0"/>
              </a:rPr>
              <a:t>GASTOS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Abadi Extra Light" panose="020B0204020104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'AS-SAN TELMO'!$N$5</c:f>
              <c:strCache>
                <c:ptCount val="1"/>
                <c:pt idx="0">
                  <c:v>Alquiler y expensas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9642803943502149E-2"/>
                  <c:y val="2.6869326126077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9EB-43DA-B8C2-F6C40B1E5B61}"/>
                </c:ext>
              </c:extLst>
            </c:dLbl>
            <c:dLbl>
              <c:idx val="2"/>
              <c:layout>
                <c:manualLayout>
                  <c:x val="-4.7017088446062429E-2"/>
                  <c:y val="3.1117414486315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9EB-43DA-B8C2-F6C40B1E5B61}"/>
                </c:ext>
              </c:extLst>
            </c:dLbl>
            <c:dLbl>
              <c:idx val="5"/>
              <c:layout>
                <c:manualLayout>
                  <c:x val="-4.7017088446062519E-2"/>
                  <c:y val="2.68693261260779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E8F-4554-B413-62C8389AF2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'AS-SAN TELMO'!$O$5:$W$5</c:f>
              <c:numCache>
                <c:formatCode>0%</c:formatCode>
                <c:ptCount val="9"/>
                <c:pt idx="0">
                  <c:v>7.6832236760853004E-2</c:v>
                </c:pt>
                <c:pt idx="1">
                  <c:v>0.13155238658952575</c:v>
                </c:pt>
                <c:pt idx="2">
                  <c:v>0.10738524464204013</c:v>
                </c:pt>
                <c:pt idx="3">
                  <c:v>0.19556630865992711</c:v>
                </c:pt>
                <c:pt idx="4">
                  <c:v>0.14306762045080301</c:v>
                </c:pt>
                <c:pt idx="5">
                  <c:v>0.10873146622734761</c:v>
                </c:pt>
                <c:pt idx="6">
                  <c:v>0.1480952085016469</c:v>
                </c:pt>
                <c:pt idx="7">
                  <c:v>0.15382504598519839</c:v>
                </c:pt>
                <c:pt idx="8">
                  <c:v>0.12128720002304745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EB-43DA-B8C2-F6C40B1E5B61}"/>
            </c:ext>
          </c:extLst>
        </c:ser>
        <c:ser>
          <c:idx val="1"/>
          <c:order val="1"/>
          <c:tx>
            <c:strRef>
              <c:f>'AS-SAN TELMO'!$N$6</c:f>
              <c:strCache>
                <c:ptCount val="1"/>
                <c:pt idx="0">
                  <c:v>Personal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'AS-SAN TELMO'!$O$6:$W$6</c:f>
              <c:numCache>
                <c:formatCode>0%</c:formatCode>
                <c:ptCount val="9"/>
                <c:pt idx="0">
                  <c:v>0.16963389612252094</c:v>
                </c:pt>
                <c:pt idx="1">
                  <c:v>0.20813446512863848</c:v>
                </c:pt>
                <c:pt idx="2">
                  <c:v>0.1588481494728794</c:v>
                </c:pt>
                <c:pt idx="3">
                  <c:v>0.24263810007435124</c:v>
                </c:pt>
                <c:pt idx="4">
                  <c:v>0.21426809512063413</c:v>
                </c:pt>
                <c:pt idx="5">
                  <c:v>0.22524254072853744</c:v>
                </c:pt>
                <c:pt idx="6">
                  <c:v>0.28096451432477781</c:v>
                </c:pt>
                <c:pt idx="7">
                  <c:v>0.33618906154093453</c:v>
                </c:pt>
                <c:pt idx="8">
                  <c:v>0.26706231454005935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EB-43DA-B8C2-F6C40B1E5B61}"/>
            </c:ext>
          </c:extLst>
        </c:ser>
        <c:ser>
          <c:idx val="2"/>
          <c:order val="2"/>
          <c:tx>
            <c:strRef>
              <c:f>'AS-SAN TELMO'!$N$7</c:f>
              <c:strCache>
                <c:ptCount val="1"/>
                <c:pt idx="0">
                  <c:v>Otros gastos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964280394350217E-2"/>
                  <c:y val="-1.6992353440951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9EB-43DA-B8C2-F6C40B1E5B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'AS-SAN TELMO'!$O$3:$W$3</c:f>
              <c:numCache>
                <c:formatCode>mmm\-yy</c:formatCode>
                <c:ptCount val="9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</c:numCache>
            </c:numRef>
          </c:cat>
          <c:val>
            <c:numRef>
              <c:f>'AS-SAN TELMO'!$O$7:$W$7</c:f>
              <c:numCache>
                <c:formatCode>0%</c:formatCode>
                <c:ptCount val="9"/>
                <c:pt idx="0">
                  <c:v>7.7727278145559454E-3</c:v>
                </c:pt>
                <c:pt idx="1">
                  <c:v>0</c:v>
                </c:pt>
                <c:pt idx="2">
                  <c:v>1.1174216387572673E-2</c:v>
                </c:pt>
                <c:pt idx="3">
                  <c:v>1.344908326126404E-2</c:v>
                </c:pt>
                <c:pt idx="4">
                  <c:v>1.806678711191408E-2</c:v>
                </c:pt>
                <c:pt idx="5">
                  <c:v>9.8846787479406912E-3</c:v>
                </c:pt>
                <c:pt idx="6">
                  <c:v>2.0197626002112983E-2</c:v>
                </c:pt>
                <c:pt idx="7">
                  <c:v>2.069075293863986E-2</c:v>
                </c:pt>
                <c:pt idx="8">
                  <c:v>1.1005156866699317E-2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EB-43DA-B8C2-F6C40B1E5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037665392"/>
        <c:axId val="2037666352"/>
      </c:lineChart>
      <c:dateAx>
        <c:axId val="2037665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7666352"/>
        <c:crosses val="autoZero"/>
        <c:auto val="1"/>
        <c:lblOffset val="100"/>
        <c:baseTimeUnit val="months"/>
      </c:dateAx>
      <c:valAx>
        <c:axId val="20376663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3766539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734024357260129E-2"/>
          <c:y val="0.89409667541557303"/>
          <c:w val="0.86330659139305699"/>
          <c:h val="7.3840405365995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166370</xdr:colOff>
      <xdr:row>2</xdr:row>
      <xdr:rowOff>107950</xdr:rowOff>
    </xdr:from>
    <xdr:to>
      <xdr:col>9</xdr:col>
      <xdr:colOff>190500</xdr:colOff>
      <xdr:row>14</xdr:row>
      <xdr:rowOff>1270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827A4A-574D-49B6-921D-93AC71676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180340</xdr:colOff>
      <xdr:row>21</xdr:row>
      <xdr:rowOff>53340</xdr:rowOff>
    </xdr:from>
    <xdr:to>
      <xdr:col>9</xdr:col>
      <xdr:colOff>158750</xdr:colOff>
      <xdr:row>39</xdr:row>
      <xdr:rowOff>52070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D4AA41-8605-7F77-7017-FAD6EFF7F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3</xdr:row>
      <xdr:rowOff>15240</xdr:rowOff>
    </xdr:from>
    <xdr:to>
      <xdr:col>10</xdr:col>
      <xdr:colOff>171450</xdr:colOff>
      <xdr:row>14</xdr:row>
      <xdr:rowOff>97790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218156-4002-42C3-B514-126A99A34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21</xdr:row>
      <xdr:rowOff>53340</xdr:rowOff>
    </xdr:from>
    <xdr:to>
      <xdr:col>10</xdr:col>
      <xdr:colOff>146050</xdr:colOff>
      <xdr:row>39</xdr:row>
      <xdr:rowOff>120650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6FAD40-B161-407E-A234-B3DBB9BD8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3</xdr:row>
      <xdr:rowOff>75247</xdr:rowOff>
    </xdr:from>
    <xdr:to>
      <xdr:col>10</xdr:col>
      <xdr:colOff>152400</xdr:colOff>
      <xdr:row>13</xdr:row>
      <xdr:rowOff>73977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BB0BF7-99B7-4C35-81F8-DBB0A5251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365125</xdr:colOff>
      <xdr:row>20</xdr:row>
      <xdr:rowOff>158432</xdr:rowOff>
    </xdr:from>
    <xdr:to>
      <xdr:col>10</xdr:col>
      <xdr:colOff>158750</xdr:colOff>
      <xdr:row>38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631AA5-5C57-44F0-AF29-0E11DFDBF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452438</xdr:colOff>
      <xdr:row>3</xdr:row>
      <xdr:rowOff>83185</xdr:rowOff>
    </xdr:from>
    <xdr:to>
      <xdr:col>21</xdr:col>
      <xdr:colOff>158750</xdr:colOff>
      <xdr:row>13</xdr:row>
      <xdr:rowOff>79375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498D26-6B4C-4CEA-8230-11E27B4FA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412748</xdr:colOff>
      <xdr:row>21</xdr:row>
      <xdr:rowOff>15556</xdr:rowOff>
    </xdr:from>
    <xdr:to>
      <xdr:col>21</xdr:col>
      <xdr:colOff>126999</xdr:colOff>
      <xdr:row>38</xdr:row>
      <xdr:rowOff>39686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E29717-DE14-4BDB-B191-32085D962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454024</xdr:colOff>
      <xdr:row>3</xdr:row>
      <xdr:rowOff>83184</xdr:rowOff>
    </xdr:from>
    <xdr:to>
      <xdr:col>33</xdr:col>
      <xdr:colOff>126999</xdr:colOff>
      <xdr:row>13</xdr:row>
      <xdr:rowOff>111124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F5E982D-FAE6-48CD-A67F-7B268732D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484187</xdr:colOff>
      <xdr:row>20</xdr:row>
      <xdr:rowOff>174308</xdr:rowOff>
    </xdr:from>
    <xdr:to>
      <xdr:col>33</xdr:col>
      <xdr:colOff>152400</xdr:colOff>
      <xdr:row>38</xdr:row>
      <xdr:rowOff>7938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5DD53BB-46D4-4235-BEF3-A958D9EF4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420370</xdr:colOff>
      <xdr:row>3</xdr:row>
      <xdr:rowOff>19050</xdr:rowOff>
    </xdr:from>
    <xdr:to>
      <xdr:col>10</xdr:col>
      <xdr:colOff>203200</xdr:colOff>
      <xdr:row>13</xdr:row>
      <xdr:rowOff>69850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68192C-6A88-4975-91D9-36EE58AEC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394970</xdr:colOff>
      <xdr:row>21</xdr:row>
      <xdr:rowOff>34290</xdr:rowOff>
    </xdr:from>
    <xdr:to>
      <xdr:col>10</xdr:col>
      <xdr:colOff>133350</xdr:colOff>
      <xdr:row>38</xdr:row>
      <xdr:rowOff>1270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E77535-8A9F-436E-816A-64BA6249C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368300</xdr:colOff>
      <xdr:row>2</xdr:row>
      <xdr:rowOff>171450</xdr:rowOff>
    </xdr:from>
    <xdr:to>
      <xdr:col>10</xdr:col>
      <xdr:colOff>184150</xdr:colOff>
      <xdr:row>15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4C6F4D-C5DD-473C-BDD8-E84B3AB99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521970</xdr:colOff>
      <xdr:row>20</xdr:row>
      <xdr:rowOff>175260</xdr:rowOff>
    </xdr:from>
    <xdr:to>
      <xdr:col>10</xdr:col>
      <xdr:colOff>184150</xdr:colOff>
      <xdr:row>37</xdr:row>
      <xdr:rowOff>142240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2C1A21-5EBE-4A7D-8F1B-A2C9419F8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452120</xdr:colOff>
      <xdr:row>3</xdr:row>
      <xdr:rowOff>38100</xdr:rowOff>
    </xdr:from>
    <xdr:to>
      <xdr:col>21</xdr:col>
      <xdr:colOff>152400</xdr:colOff>
      <xdr:row>14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A5F0C8-439E-4BD4-9AB6-9B2B5D773C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361950</xdr:colOff>
      <xdr:row>21</xdr:row>
      <xdr:rowOff>10160</xdr:rowOff>
    </xdr:from>
    <xdr:to>
      <xdr:col>21</xdr:col>
      <xdr:colOff>139700</xdr:colOff>
      <xdr:row>37</xdr:row>
      <xdr:rowOff>154940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B0B21B9-1964-49D1-A86D-59AFEA0D3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403860</xdr:colOff>
      <xdr:row>3</xdr:row>
      <xdr:rowOff>38100</xdr:rowOff>
    </xdr:from>
    <xdr:to>
      <xdr:col>32</xdr:col>
      <xdr:colOff>266700</xdr:colOff>
      <xdr:row>14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A930E7-2B5C-44E6-AF21-1C00973AD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365760</xdr:colOff>
      <xdr:row>21</xdr:row>
      <xdr:rowOff>22860</xdr:rowOff>
    </xdr:from>
    <xdr:to>
      <xdr:col>32</xdr:col>
      <xdr:colOff>215900</xdr:colOff>
      <xdr:row>37</xdr:row>
      <xdr:rowOff>167640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6B7656-3970-4EFA-80B5-4F978248F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430953</xdr:colOff>
      <xdr:row>3</xdr:row>
      <xdr:rowOff>33866</xdr:rowOff>
    </xdr:from>
    <xdr:to>
      <xdr:col>10</xdr:col>
      <xdr:colOff>176389</xdr:colOff>
      <xdr:row>14</xdr:row>
      <xdr:rowOff>69144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A5A72C-75E8-454D-B402-02C16485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320887</xdr:colOff>
      <xdr:row>21</xdr:row>
      <xdr:rowOff>40640</xdr:rowOff>
    </xdr:from>
    <xdr:to>
      <xdr:col>10</xdr:col>
      <xdr:colOff>155222</xdr:colOff>
      <xdr:row>38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9E58F14-B6E5-4542-94B0-ECFD82465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59.495828587962" createdVersion="6" refreshedVersion="6" minRefreshableVersion="3" recordCount="24">
  <cacheSource type="worksheet">
    <worksheetSource ref="A1:P25" sheet="Sueldos 05-2025"/>
  </cacheSource>
  <cacheFields count="16">
    <cacheField name="Legajo" numFmtId="0">
      <sharedItems containsSemiMixedTypes="0" containsString="0" containsNumber="1" containsInteger="1" minValue="55" maxValue="213"/>
    </cacheField>
    <cacheField name="Apellido y Nombre" numFmtId="0">
      <sharedItems/>
    </cacheField>
    <cacheField name="Periodo" numFmtId="14">
      <sharedItems containsSemiMixedTypes="0" containsNonDate="0" containsDate="1" containsString="0" minDate="2021-08-06T00:00:00" maxDate="2025-05-13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" numFmtId="0">
      <sharedItems containsSemiMixedTypes="0" containsString="0" containsNumber="1" containsInteger="1" minValue="58" maxValue="132"/>
    </cacheField>
    <cacheField name="Hs Normales (con vacaciones y feriados NO trabajados)" numFmtId="0">
      <sharedItems containsSemiMixedTypes="0" containsString="0" containsNumber="1" containsInteger="1" minValue="58" maxValue="130"/>
    </cacheField>
    <cacheField name="Hs Feriados (Horas)" numFmtId="0">
      <sharedItems containsString="0" containsBlank="1" containsNumber="1" containsInteger="1" minValue="4" maxValue="6"/>
    </cacheField>
    <cacheField name="Feriados No trabajados (Hs)" numFmtId="0">
      <sharedItems containsSemiMixedTypes="0" containsString="0" containsNumber="1" containsInteger="1" minValue="4" maxValue="8"/>
    </cacheField>
    <cacheField name="Licencias justificadas _x000a_(en HORAS)" numFmtId="0">
      <sharedItems containsBlank="1"/>
    </cacheField>
    <cacheField name="Plus vacacional" numFmtId="0">
      <sharedItems/>
    </cacheField>
    <cacheField name="Cant dias vacaciones" numFmtId="0">
      <sharedItems containsNonDate="0" containsString="0" containsBlank="1"/>
    </cacheField>
    <cacheField name="Premios" numFmtId="4">
      <sharedItems containsSemiMixedTypes="0" containsString="0" containsNumber="1" containsInteger="1" minValue="0" maxValue="36413"/>
    </cacheField>
    <cacheField name="Sueldo Neto" numFmtId="4">
      <sharedItems containsSemiMixedTypes="0" containsString="0" containsNumber="1" containsInteger="1" minValue="498151" maxValue="747302"/>
    </cacheField>
    <cacheField name="Sueldo Bruto" numFmtId="4">
      <sharedItems containsSemiMixedTypes="0" containsString="0" containsNumber="1" minValue="628753.80000000005" maxValue="944530.32"/>
    </cacheField>
    <cacheField name="Contribuciones + ART" numFmtId="4">
      <sharedItems containsSemiMixedTypes="0" containsString="0" containsNumber="1" minValue="204730.14" maxValue="307984.75"/>
    </cacheField>
    <cacheField name="Costo total" numFmtId="4">
      <sharedItems containsSemiMixedTypes="0" containsString="0" containsNumber="1" minValue="833483.94" maxValue="1252515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5859.508323726855" createdVersion="6" refreshedVersion="6" minRefreshableVersion="3" recordCount="26">
  <cacheSource type="worksheet">
    <worksheetSource ref="A1:S27" sheet="Sueldos 03-2025"/>
  </cacheSource>
  <cacheFields count="19">
    <cacheField name="Legajo" numFmtId="0">
      <sharedItems containsSemiMixedTypes="0" containsString="0" containsNumber="1" containsInteger="1" minValue="55" maxValue="207"/>
    </cacheField>
    <cacheField name="Apellido y Nombre" numFmtId="0">
      <sharedItems/>
    </cacheField>
    <cacheField name="Periodo" numFmtId="169">
      <sharedItems containsSemiMixedTypes="0" containsNonDate="0" containsDate="1" containsString="0" minDate="2021-08-06T00:00:00" maxDate="2025-03-06T00:00:00"/>
    </cacheField>
    <cacheField name="Tienda asignada este mes" numFmtId="0">
      <sharedItems count="8">
        <s v="AS San Telmo"/>
        <s v="Lucero San Telmo"/>
        <s v="Lucero French"/>
        <s v="Lucero Recoleta"/>
        <s v="Lucero Güemes"/>
        <s v="Lucero Florida"/>
        <s v="Lucero San Telmo 2"/>
        <s v="Lucero San Telmo " u="1"/>
      </sharedItems>
    </cacheField>
    <cacheField name="Horas Totales" numFmtId="4">
      <sharedItems containsSemiMixedTypes="0" containsString="0" containsNumber="1" containsInteger="1" minValue="38" maxValue="132"/>
    </cacheField>
    <cacheField name="Hs Normales (con vacaciones)" numFmtId="4">
      <sharedItems containsSemiMixedTypes="0" containsString="0" containsNumber="1" containsInteger="1" minValue="29" maxValue="124"/>
    </cacheField>
    <cacheField name="Hs Feriados" numFmtId="4">
      <sharedItems containsSemiMixedTypes="0" containsString="0" containsNumber="1" containsInteger="1" minValue="0" maxValue="16"/>
    </cacheField>
    <cacheField name="Feriados No trabajados (Hs)" numFmtId="0">
      <sharedItems containsString="0" containsBlank="1" containsNumber="1" containsInteger="1" minValue="4" maxValue="12"/>
    </cacheField>
    <cacheField name="Licencias justificadas (Hs)" numFmtId="3">
      <sharedItems containsString="0" containsBlank="1" containsNumber="1" containsInteger="1" minValue="4" maxValue="4"/>
    </cacheField>
    <cacheField name="Plus vacacional" numFmtId="4">
      <sharedItems/>
    </cacheField>
    <cacheField name="Cant días vacaciones" numFmtId="0">
      <sharedItems containsNonDate="0" containsString="0" containsBlank="1"/>
    </cacheField>
    <cacheField name="Premios" numFmtId="0">
      <sharedItems containsString="0" containsBlank="1" containsNumber="1" containsInteger="1" minValue="0" maxValue="40826"/>
    </cacheField>
    <cacheField name="Sueldo Neto" numFmtId="4">
      <sharedItems containsSemiMixedTypes="0" containsString="0" containsNumber="1" containsInteger="1" minValue="332906" maxValue="965285"/>
    </cacheField>
    <cacheField name="Sueldo Bruto" numFmtId="4">
      <sharedItems containsSemiMixedTypes="0" containsString="0" containsNumber="1" minValue="297652.69" maxValue="1101576.31"/>
    </cacheField>
    <cacheField name="Contribuciones_x000a_(con % abril)" numFmtId="2">
      <sharedItems containsSemiMixedTypes="0" containsString="0" containsNumber="1" minValue="110875.62702499999" maxValue="417277.10622800002"/>
    </cacheField>
    <cacheField name="% _x000a_(tomados del % de Abril)" numFmtId="10">
      <sharedItems containsSemiMixedTypes="0" containsString="0" containsNumber="1" minValue="0.29899999999999999" maxValue="0.42230000000000001"/>
    </cacheField>
    <cacheField name="ART" numFmtId="0">
      <sharedItems containsSemiMixedTypes="0" containsString="0" containsNumber="1" containsInteger="1" minValue="1227" maxValue="1227"/>
    </cacheField>
    <cacheField name="Total Contrib+ART+Aportes" numFmtId="4">
      <sharedItems containsSemiMixedTypes="0" containsString="0" containsNumber="1" minValue="182641.41702499901" maxValue="676315.64622800006"/>
    </cacheField>
    <cacheField name="Costo total" numFmtId="4">
      <sharedItems containsSemiMixedTypes="0" containsString="0" containsNumber="1" minValue="408528.317025" maxValue="1518853.416228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PC" refreshedDate="45859.494206481482" backgroundQuery="1" createdVersion="6" refreshedVersion="6" minRefreshableVersion="3" recordCount="0" supportSubquery="1" supportAdvancedDrill="1">
  <cacheSource type="external" connectionId="1"/>
  <cacheFields count="2">
    <cacheField name="[Measures].[Recuento distinto de Legajo 3]" caption="Recuento distinto de Legajo 3" numFmtId="0" hierarchy="25" level="32767"/>
    <cacheField name="[Rango4].[Tienda asignada este mes].[Tienda asignada este mes]" caption="Tienda asignada este mes" numFmtId="0" hierarchy="19" level="1">
      <sharedItems count="7">
        <s v="AS San Telmo"/>
        <s v="Lucero Florida"/>
        <s v="Lucero French"/>
        <s v="Lucero Güemes"/>
        <s v="Lucero Recoleta"/>
        <s v="Lucero San Telmo"/>
        <s v="Lucero San Telmo 2"/>
      </sharedItems>
    </cacheField>
  </cacheFields>
  <cacheHierarchies count="26">
    <cacheHierarchy uniqueName="[Rango3].[Legajo]" caption="Legajo" attribute="1" defaultMemberUniqueName="[Rango3].[Legajo].[All]" allUniqueName="[Rango3].[Legajo].[All]" dimensionUniqueName="[Rango3]" displayFolder="" count="0" memberValueDatatype="20" unbalanced="0"/>
    <cacheHierarchy uniqueName="[Rango3].[Apellido y Nombre]" caption="Apellido y Nombre" attribute="1" defaultMemberUniqueName="[Rango3].[Apellido y Nombre].[All]" allUniqueName="[Rango3].[Apellido y Nombre].[All]" dimensionUniqueName="[Rango3]" displayFolder="" count="0" memberValueDatatype="130" unbalanced="0"/>
    <cacheHierarchy uniqueName="[Rango3].[Periodo]" caption="Periodo" attribute="1" time="1" defaultMemberUniqueName="[Rango3].[Periodo].[All]" allUniqueName="[Rango3].[Periodo].[All]" dimensionUniqueName="[Rango3]" displayFolder="" count="0" memberValueDatatype="7" unbalanced="0"/>
    <cacheHierarchy uniqueName="[Rango3].[Tienda asignada este mes]" caption="Tienda asignada este mes" attribute="1" defaultMemberUniqueName="[Rango3].[Tienda asignada este mes].[All]" allUniqueName="[Rango3].[Tienda asignada este mes].[All]" dimensionUniqueName="[Rango3]" displayFolder="" count="0" memberValueDatatype="130" unbalanced="0"/>
    <cacheHierarchy uniqueName="[Rango3].[Horas Totales]" caption="Horas Totales" attribute="1" defaultMemberUniqueName="[Rango3].[Horas Totales].[All]" allUniqueName="[Rango3].[Horas Totales].[All]" dimensionUniqueName="[Rango3]" displayFolder="" count="0" memberValueDatatype="130" unbalanced="0"/>
    <cacheHierarchy uniqueName="[Rango3].[Hs Normales (con vacaciones)]" caption="Hs Normales (con vacaciones)" attribute="1" defaultMemberUniqueName="[Rango3].[Hs Normales (con vacaciones)].[All]" allUniqueName="[Rango3].[Hs Normales (con vacaciones)].[All]" dimensionUniqueName="[Rango3]" displayFolder="" count="0" memberValueDatatype="20" unbalanced="0"/>
    <cacheHierarchy uniqueName="[Rango3].[Hs Feriados]" caption="Hs Feriados" attribute="1" defaultMemberUniqueName="[Rango3].[Hs Feriados].[All]" allUniqueName="[Rango3].[Hs Feriados].[All]" dimensionUniqueName="[Rango3]" displayFolder="" count="0" memberValueDatatype="20" unbalanced="0"/>
    <cacheHierarchy uniqueName="[Rango3].[Feriados No trabajados (Hs)]" caption="Feriados No trabajados (Hs)" attribute="1" defaultMemberUniqueName="[Rango3].[Feriados No trabajados (Hs)].[All]" allUniqueName="[Rango3].[Feriados No trabajados (Hs)].[All]" dimensionUniqueName="[Rango3]" displayFolder="" count="0" memberValueDatatype="20" unbalanced="0"/>
    <cacheHierarchy uniqueName="[Rango3].[Licencias justificadas  (en HORAS)]" caption="Licencias justificadas  (en HORAS)" attribute="1" defaultMemberUniqueName="[Rango3].[Licencias justificadas  (en HORAS)].[All]" allUniqueName="[Rango3].[Licencias justificadas  (en HORAS)].[All]" dimensionUniqueName="[Rango3]" displayFolder="" count="0" memberValueDatatype="20" unbalanced="0"/>
    <cacheHierarchy uniqueName="[Rango3].[Plus vacacional]" caption="Plus vacacional" attribute="1" defaultMemberUniqueName="[Rango3].[Plus vacacional].[All]" allUniqueName="[Rango3].[Plus vacacional].[All]" dimensionUniqueName="[Rango3]" displayFolder="" count="0" memberValueDatatype="130" unbalanced="0"/>
    <cacheHierarchy uniqueName="[Rango3].[Cant dias vacaciones]" caption="Cant dias vacaciones" attribute="1" defaultMemberUniqueName="[Rango3].[Cant dias vacaciones].[All]" allUniqueName="[Rango3].[Cant dias vacaciones].[All]" dimensionUniqueName="[Rango3]" displayFolder="" count="0" memberValueDatatype="130" unbalanced="0"/>
    <cacheHierarchy uniqueName="[Rango3].[Premios]" caption="Premios" attribute="1" defaultMemberUniqueName="[Rango3].[Premios].[All]" allUniqueName="[Rango3].[Premios].[All]" dimensionUniqueName="[Rango3]" displayFolder="" count="0" memberValueDatatype="130" unbalanced="0"/>
    <cacheHierarchy uniqueName="[Rango3].[Sueldo Neto]" caption="Sueldo Neto" attribute="1" defaultMemberUniqueName="[Rango3].[Sueldo Neto].[All]" allUniqueName="[Rango3].[Sueldo Neto].[All]" dimensionUniqueName="[Rango3]" displayFolder="" count="0" memberValueDatatype="20" unbalanced="0"/>
    <cacheHierarchy uniqueName="[Rango3].[Sueldo Bruto]" caption="Sueldo Bruto" attribute="1" defaultMemberUniqueName="[Rango3].[Sueldo Bruto].[All]" allUniqueName="[Rango3].[Sueldo Bruto].[All]" dimensionUniqueName="[Rango3]" displayFolder="" count="0" memberValueDatatype="5" unbalanced="0"/>
    <cacheHierarchy uniqueName="[Rango3].[Contribuciones + ART]" caption="Contribuciones + ART" attribute="1" defaultMemberUniqueName="[Rango3].[Contribuciones + ART].[All]" allUniqueName="[Rango3].[Contribuciones + ART].[All]" dimensionUniqueName="[Rango3]" displayFolder="" count="0" memberValueDatatype="5" unbalanced="0"/>
    <cacheHierarchy uniqueName="[Rango3].[Costo total]" caption="Costo total" attribute="1" defaultMemberUniqueName="[Rango3].[Costo total].[All]" allUniqueName="[Rango3].[Costo total].[All]" dimensionUniqueName="[Rango3]" displayFolder="" count="0" memberValueDatatype="5" unbalanced="0"/>
    <cacheHierarchy uniqueName="[Rango4].[Legajo]" caption="Legajo" attribute="1" defaultMemberUniqueName="[Rango4].[Legajo].[All]" allUniqueName="[Rango4].[Legajo].[All]" dimensionUniqueName="[Rango4]" displayFolder="" count="0" memberValueDatatype="20" unbalanced="0"/>
    <cacheHierarchy uniqueName="[Rango4].[Apellido y Nombre]" caption="Apellido y Nombre" attribute="1" defaultMemberUniqueName="[Rango4].[Apellido y Nombre].[All]" allUniqueName="[Rango4].[Apellido y Nombre].[All]" dimensionUniqueName="[Rango4]" displayFolder="" count="0" memberValueDatatype="130" unbalanced="0"/>
    <cacheHierarchy uniqueName="[Rango4].[Periodo]" caption="Periodo" attribute="1" time="1" defaultMemberUniqueName="[Rango4].[Periodo].[All]" allUniqueName="[Rango4].[Periodo].[All]" dimensionUniqueName="[Rango4]" displayFolder="" count="0" memberValueDatatype="7" unbalanced="0"/>
    <cacheHierarchy uniqueName="[Rango4].[Tienda asignada este mes]" caption="Tienda asignada este mes" attribute="1" defaultMemberUniqueName="[Rango4].[Tienda asignada este mes].[All]" allUniqueName="[Rango4].[Tienda asignada este mes].[All]" dimensionUniqueName="[Rango4]" displayFolder="" count="2" memberValueDatatype="130" unbalanced="0">
      <fieldsUsage count="2">
        <fieldUsage x="-1"/>
        <fieldUsage x="1"/>
      </fieldsUsage>
    </cacheHierarchy>
    <cacheHierarchy uniqueName="[Measures].[__XL_Count Rango3]" caption="__XL_Count Rango3" measure="1" displayFolder="" measureGroup="Rango3" count="0" hidden="1"/>
    <cacheHierarchy uniqueName="[Measures].[__XL_Count Rango4]" caption="__XL_Count Rango4" measure="1" displayFolder="" measureGroup="Rango4" count="0" hidden="1"/>
    <cacheHierarchy uniqueName="[Measures].[__No measures defined]" caption="__No measures defined" measure="1" displayFolder="" count="0" hidden="1"/>
    <cacheHierarchy uniqueName="[Measures].[Suma de Costo total 2]" caption="Suma de Costo total 2" measure="1" displayFolder="" measureGroup="Rango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Legajo 3]" caption="Suma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Legajo 3]" caption="Recuento distinto de Legajo 3" measure="1" displayFolder="" measureGroup="Rango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Rango3" uniqueName="[Rango3]" caption="Rango3"/>
    <dimension name="Rango4" uniqueName="[Rango4]" caption="Rango4"/>
  </dimensions>
  <measureGroups count="2">
    <measureGroup name="Rango3" caption="Rango3"/>
    <measureGroup name="Rango4" caption="Rango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PC" refreshedDate="45859.492101851851" backgroundQuery="1" createdVersion="6" refreshedVersion="6" minRefreshableVersion="3" recordCount="0" supportSubquery="1" supportAdvancedDrill="1">
  <cacheSource type="external" connectionId="1"/>
  <cacheFields count="2">
    <cacheField name="[Rango3].[Tienda asignada este mes].[Tienda asignada este mes]" caption="Tienda asignada este mes" numFmtId="0" hierarchy="3" level="1">
      <sharedItems count="7">
        <s v="AS San Telmo"/>
        <s v="Lucero Florida"/>
        <s v="Lucero French"/>
        <s v="Lucero Güemes"/>
        <s v="Lucero Recoleta"/>
        <s v="Lucero San Telmo"/>
        <s v="Lucero San Telmo 2"/>
      </sharedItems>
    </cacheField>
    <cacheField name="[Measures].[Suma de Costo total 2]" caption="Suma de Costo total 2" numFmtId="0" hierarchy="23" level="32767"/>
  </cacheFields>
  <cacheHierarchies count="26">
    <cacheHierarchy uniqueName="[Rango3].[Legajo]" caption="Legajo" attribute="1" defaultMemberUniqueName="[Rango3].[Legajo].[All]" allUniqueName="[Rango3].[Legajo].[All]" dimensionUniqueName="[Rango3]" displayFolder="" count="0" memberValueDatatype="20" unbalanced="0"/>
    <cacheHierarchy uniqueName="[Rango3].[Apellido y Nombre]" caption="Apellido y Nombre" attribute="1" defaultMemberUniqueName="[Rango3].[Apellido y Nombre].[All]" allUniqueName="[Rango3].[Apellido y Nombre].[All]" dimensionUniqueName="[Rango3]" displayFolder="" count="0" memberValueDatatype="130" unbalanced="0"/>
    <cacheHierarchy uniqueName="[Rango3].[Periodo]" caption="Periodo" attribute="1" time="1" defaultMemberUniqueName="[Rango3].[Periodo].[All]" allUniqueName="[Rango3].[Periodo].[All]" dimensionUniqueName="[Rango3]" displayFolder="" count="0" memberValueDatatype="7" unbalanced="0"/>
    <cacheHierarchy uniqueName="[Rango3].[Tienda asignada este mes]" caption="Tienda asignada este mes" attribute="1" defaultMemberUniqueName="[Rango3].[Tienda asignada este mes].[All]" allUniqueName="[Rango3].[Tienda asignada este mes].[All]" dimensionUniqueName="[Rango3]" displayFolder="" count="2" memberValueDatatype="130" unbalanced="0">
      <fieldsUsage count="2">
        <fieldUsage x="-1"/>
        <fieldUsage x="0"/>
      </fieldsUsage>
    </cacheHierarchy>
    <cacheHierarchy uniqueName="[Rango3].[Horas Totales]" caption="Horas Totales" attribute="1" defaultMemberUniqueName="[Rango3].[Horas Totales].[All]" allUniqueName="[Rango3].[Horas Totales].[All]" dimensionUniqueName="[Rango3]" displayFolder="" count="0" memberValueDatatype="130" unbalanced="0"/>
    <cacheHierarchy uniqueName="[Rango3].[Hs Normales (con vacaciones)]" caption="Hs Normales (con vacaciones)" attribute="1" defaultMemberUniqueName="[Rango3].[Hs Normales (con vacaciones)].[All]" allUniqueName="[Rango3].[Hs Normales (con vacaciones)].[All]" dimensionUniqueName="[Rango3]" displayFolder="" count="0" memberValueDatatype="20" unbalanced="0"/>
    <cacheHierarchy uniqueName="[Rango3].[Hs Feriados]" caption="Hs Feriados" attribute="1" defaultMemberUniqueName="[Rango3].[Hs Feriados].[All]" allUniqueName="[Rango3].[Hs Feriados].[All]" dimensionUniqueName="[Rango3]" displayFolder="" count="0" memberValueDatatype="20" unbalanced="0"/>
    <cacheHierarchy uniqueName="[Rango3].[Feriados No trabajados (Hs)]" caption="Feriados No trabajados (Hs)" attribute="1" defaultMemberUniqueName="[Rango3].[Feriados No trabajados (Hs)].[All]" allUniqueName="[Rango3].[Feriados No trabajados (Hs)].[All]" dimensionUniqueName="[Rango3]" displayFolder="" count="0" memberValueDatatype="20" unbalanced="0"/>
    <cacheHierarchy uniqueName="[Rango3].[Licencias justificadas  (en HORAS)]" caption="Licencias justificadas  (en HORAS)" attribute="1" defaultMemberUniqueName="[Rango3].[Licencias justificadas  (en HORAS)].[All]" allUniqueName="[Rango3].[Licencias justificadas  (en HORAS)].[All]" dimensionUniqueName="[Rango3]" displayFolder="" count="0" memberValueDatatype="20" unbalanced="0"/>
    <cacheHierarchy uniqueName="[Rango3].[Plus vacacional]" caption="Plus vacacional" attribute="1" defaultMemberUniqueName="[Rango3].[Plus vacacional].[All]" allUniqueName="[Rango3].[Plus vacacional].[All]" dimensionUniqueName="[Rango3]" displayFolder="" count="0" memberValueDatatype="130" unbalanced="0"/>
    <cacheHierarchy uniqueName="[Rango3].[Cant dias vacaciones]" caption="Cant dias vacaciones" attribute="1" defaultMemberUniqueName="[Rango3].[Cant dias vacaciones].[All]" allUniqueName="[Rango3].[Cant dias vacaciones].[All]" dimensionUniqueName="[Rango3]" displayFolder="" count="0" memberValueDatatype="130" unbalanced="0"/>
    <cacheHierarchy uniqueName="[Rango3].[Premios]" caption="Premios" attribute="1" defaultMemberUniqueName="[Rango3].[Premios].[All]" allUniqueName="[Rango3].[Premios].[All]" dimensionUniqueName="[Rango3]" displayFolder="" count="0" memberValueDatatype="130" unbalanced="0"/>
    <cacheHierarchy uniqueName="[Rango3].[Sueldo Neto]" caption="Sueldo Neto" attribute="1" defaultMemberUniqueName="[Rango3].[Sueldo Neto].[All]" allUniqueName="[Rango3].[Sueldo Neto].[All]" dimensionUniqueName="[Rango3]" displayFolder="" count="0" memberValueDatatype="20" unbalanced="0"/>
    <cacheHierarchy uniqueName="[Rango3].[Sueldo Bruto]" caption="Sueldo Bruto" attribute="1" defaultMemberUniqueName="[Rango3].[Sueldo Bruto].[All]" allUniqueName="[Rango3].[Sueldo Bruto].[All]" dimensionUniqueName="[Rango3]" displayFolder="" count="0" memberValueDatatype="5" unbalanced="0"/>
    <cacheHierarchy uniqueName="[Rango3].[Contribuciones + ART]" caption="Contribuciones + ART" attribute="1" defaultMemberUniqueName="[Rango3].[Contribuciones + ART].[All]" allUniqueName="[Rango3].[Contribuciones + ART].[All]" dimensionUniqueName="[Rango3]" displayFolder="" count="0" memberValueDatatype="5" unbalanced="0"/>
    <cacheHierarchy uniqueName="[Rango3].[Costo total]" caption="Costo total" attribute="1" defaultMemberUniqueName="[Rango3].[Costo total].[All]" allUniqueName="[Rango3].[Costo total].[All]" dimensionUniqueName="[Rango3]" displayFolder="" count="0" memberValueDatatype="5" unbalanced="0"/>
    <cacheHierarchy uniqueName="[Rango4].[Legajo]" caption="Legajo" attribute="1" defaultMemberUniqueName="[Rango4].[Legajo].[All]" allUniqueName="[Rango4].[Legajo].[All]" dimensionUniqueName="[Rango4]" displayFolder="" count="0" memberValueDatatype="20" unbalanced="0"/>
    <cacheHierarchy uniqueName="[Rango4].[Apellido y Nombre]" caption="Apellido y Nombre" attribute="1" defaultMemberUniqueName="[Rango4].[Apellido y Nombre].[All]" allUniqueName="[Rango4].[Apellido y Nombre].[All]" dimensionUniqueName="[Rango4]" displayFolder="" count="0" memberValueDatatype="130" unbalanced="0"/>
    <cacheHierarchy uniqueName="[Rango4].[Periodo]" caption="Periodo" attribute="1" time="1" defaultMemberUniqueName="[Rango4].[Periodo].[All]" allUniqueName="[Rango4].[Periodo].[All]" dimensionUniqueName="[Rango4]" displayFolder="" count="0" memberValueDatatype="7" unbalanced="0"/>
    <cacheHierarchy uniqueName="[Rango4].[Tienda asignada este mes]" caption="Tienda asignada este mes" attribute="1" defaultMemberUniqueName="[Rango4].[Tienda asignada este mes].[All]" allUniqueName="[Rango4].[Tienda asignada este mes].[All]" dimensionUniqueName="[Rango4]" displayFolder="" count="0" memberValueDatatype="130" unbalanced="0"/>
    <cacheHierarchy uniqueName="[Measures].[__XL_Count Rango3]" caption="__XL_Count Rango3" measure="1" displayFolder="" measureGroup="Rango3" count="0" hidden="1"/>
    <cacheHierarchy uniqueName="[Measures].[__XL_Count Rango4]" caption="__XL_Count Rango4" measure="1" displayFolder="" measureGroup="Rango4" count="0" hidden="1"/>
    <cacheHierarchy uniqueName="[Measures].[__No measures defined]" caption="__No measures defined" measure="1" displayFolder="" count="0" hidden="1"/>
    <cacheHierarchy uniqueName="[Measures].[Suma de Costo total 2]" caption="Suma de Costo total 2" measure="1" displayFolder="" measureGroup="Rango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de Legajo 3]" caption="Suma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istinto de Legajo 3]" caption="Recuento distinto de Legajo 3" measure="1" displayFolder="" measureGroup="Rango4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Rango3" uniqueName="[Rango3]" caption="Rango3"/>
    <dimension name="Rango4" uniqueName="[Rango4]" caption="Rango4"/>
  </dimensions>
  <measureGroups count="2">
    <measureGroup name="Rango3" caption="Rango3"/>
    <measureGroup name="Rango4" caption="Rango4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PC" refreshedDate="45859.576935069446" createdVersion="6" refreshedVersion="6" minRefreshableVersion="3" recordCount="288">
  <cacheSource type="worksheet">
    <worksheetSource ref="A1:G289" sheet="Base"/>
  </cacheSource>
  <cacheFields count="9">
    <cacheField name="Zona" numFmtId="1">
      <sharedItems count="3">
        <s v="Quilmes"/>
        <s v="San Telmo"/>
        <s v="Centro"/>
      </sharedItems>
    </cacheField>
    <cacheField name="Marca" numFmtId="1">
      <sharedItems count="2">
        <s v="AS"/>
        <s v="El Lucero"/>
      </sharedItems>
    </cacheField>
    <cacheField name="Local" numFmtId="1">
      <sharedItems count="8">
        <s v="Quilmes"/>
        <s v="San Telmo AS"/>
        <s v="Florida"/>
        <s v="Galería Güemes"/>
        <s v="Recoleta"/>
        <s v="San Telmo"/>
        <s v="San Telmo 2"/>
        <s v="Solar de French"/>
      </sharedItems>
    </cacheField>
    <cacheField name="Concepto" numFmtId="1">
      <sharedItems count="4">
        <s v="Venta"/>
        <s v="Alquiler y expensas"/>
        <s v="Personal"/>
        <s v="Otros gastos"/>
      </sharedItems>
    </cacheField>
    <cacheField name="Mes" numFmtId="17">
      <sharedItems containsSemiMixedTypes="0" containsNonDate="0" containsDate="1" containsString="0" minDate="2024-10-01T00:00:00" maxDate="2025-06-02T00:00:00" count="9"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</sharedItems>
      <fieldGroup par="8" base="4">
        <rangePr groupBy="months" startDate="2024-10-01T00:00:00" endDate="2025-06-02T00:00:00"/>
        <groupItems count="14">
          <s v="&lt;1/10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/6/2025"/>
        </groupItems>
      </fieldGroup>
    </cacheField>
    <cacheField name="Importe" numFmtId="0">
      <sharedItems containsBlank="1" containsMixedTypes="1" containsNumber="1" minValue="0" maxValue="53095660"/>
    </cacheField>
    <cacheField name="Tipo" numFmtId="1">
      <sharedItems count="2">
        <s v="Ingreso"/>
        <s v="Gasto"/>
      </sharedItems>
    </cacheField>
    <cacheField name="Trimestres" numFmtId="0" databaseField="0">
      <fieldGroup base="4">
        <rangePr groupBy="quarters" startDate="2024-10-01T00:00:00" endDate="2025-06-02T00:00:00"/>
        <groupItems count="6">
          <s v="&lt;1/10/2024"/>
          <s v="Trim.1"/>
          <s v="Trim.2"/>
          <s v="Trim.3"/>
          <s v="Trim.4"/>
          <s v="&gt;2/6/2025"/>
        </groupItems>
      </fieldGroup>
    </cacheField>
    <cacheField name="Años" numFmtId="0" databaseField="0">
      <fieldGroup base="4">
        <rangePr groupBy="years" startDate="2024-10-01T00:00:00" endDate="2025-06-02T00:00:00"/>
        <groupItems count="4">
          <s v="&lt;1/10/2024"/>
          <s v="2024"/>
          <s v="2025"/>
          <s v="&gt;2/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PC" refreshedDate="45862.606840509259" createdVersion="6" refreshedVersion="6" minRefreshableVersion="3" recordCount="23">
  <cacheSource type="worksheet">
    <worksheetSource ref="A1:P24" sheet="Sueldos 06-2025"/>
  </cacheSource>
  <cacheFields count="16">
    <cacheField name="Legajo" numFmtId="0">
      <sharedItems containsSemiMixedTypes="0" containsString="0" containsNumber="1" containsInteger="1" minValue="55" maxValue="213"/>
    </cacheField>
    <cacheField name="Apellido y Nombre" numFmtId="0">
      <sharedItems/>
    </cacheField>
    <cacheField name="Periodo" numFmtId="14">
      <sharedItems containsSemiMixedTypes="0" containsNonDate="0" containsDate="1" containsString="0" minDate="2021-08-06T00:00:00" maxDate="2025-05-13T00:00:00"/>
    </cacheField>
    <cacheField name="Tienda asignada este mes" numFmtId="0">
      <sharedItems count="7">
        <s v="AS San Telmo"/>
        <s v="Lucero San Telmo"/>
        <s v="Lucero French"/>
        <s v="Lucero Recoleta"/>
        <s v="Lucero Güemes"/>
        <s v="Lucero Florida"/>
        <s v="Lucero San Telmo 2"/>
      </sharedItems>
    </cacheField>
    <cacheField name="Horas Totales" numFmtId="0">
      <sharedItems containsSemiMixedTypes="0" containsString="0" containsNumber="1" containsInteger="1" minValue="113" maxValue="132"/>
    </cacheField>
    <cacheField name="Hs Normales (con vacaciones y feriados NO trabajados)" numFmtId="0">
      <sharedItems containsSemiMixedTypes="0" containsString="0" containsNumber="1" containsInteger="1" minValue="100" maxValue="122"/>
    </cacheField>
    <cacheField name="Hs Feriados (Horas)" numFmtId="0">
      <sharedItems containsString="0" containsBlank="1" containsNumber="1" containsInteger="1" minValue="5" maxValue="10"/>
    </cacheField>
    <cacheField name="Feriados No trabajados (Hs)" numFmtId="0">
      <sharedItems containsBlank="1"/>
    </cacheField>
    <cacheField name="Licencias justificadas _x000a_(en HORAS)" numFmtId="0">
      <sharedItems containsBlank="1"/>
    </cacheField>
    <cacheField name="Plus vacacional" numFmtId="0">
      <sharedItems/>
    </cacheField>
    <cacheField name="Cant dias vacaciones" numFmtId="0">
      <sharedItems containsNonDate="0" containsString="0" containsBlank="1"/>
    </cacheField>
    <cacheField name="Premios" numFmtId="164">
      <sharedItems containsString="0" containsBlank="1" containsNumber="1" containsInteger="1" minValue="9971" maxValue="35364"/>
    </cacheField>
    <cacheField name="Sueldo Neto" numFmtId="164">
      <sharedItems containsSemiMixedTypes="0" containsString="0" containsNumber="1" containsInteger="1" minValue="615928" maxValue="1159845"/>
    </cacheField>
    <cacheField name="Sueldo Bruto" numFmtId="164">
      <sharedItems containsSemiMixedTypes="0" containsString="0" containsNumber="1" minValue="782280.78" maxValue="1333000"/>
    </cacheField>
    <cacheField name="Contribuciones + ART" numFmtId="164">
      <sharedItems containsSemiMixedTypes="0" containsString="0" containsNumber="1" minValue="209625.24" maxValue="429142.65"/>
    </cacheField>
    <cacheField name="Costo total" numFmtId="164">
      <sharedItems containsSemiMixedTypes="0" containsString="0" containsNumber="1" minValue="991906.02" maxValue="1762142.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n v="55"/>
    <s v="Carrizo Camila"/>
    <d v="2021-08-06T00:00:00"/>
    <x v="0"/>
    <n v="132"/>
    <n v="126"/>
    <n v="6"/>
    <n v="4"/>
    <m/>
    <s v="NO"/>
    <m/>
    <n v="17916"/>
    <n v="745721"/>
    <n v="942309.32"/>
    <n v="307038.17"/>
    <n v="1249347.49"/>
  </r>
  <r>
    <n v="103"/>
    <s v="Esposito Candela"/>
    <d v="2022-10-20T00:00:00"/>
    <x v="1"/>
    <n v="132"/>
    <n v="123"/>
    <n v="5"/>
    <n v="4"/>
    <s v="4.00"/>
    <s v="NO"/>
    <m/>
    <n v="32828"/>
    <n v="747302"/>
    <n v="944530.32"/>
    <n v="307984.75"/>
    <n v="1252515.07"/>
  </r>
  <r>
    <n v="120"/>
    <s v="Bertolo Milagros"/>
    <d v="2023-04-04T00:00:00"/>
    <x v="2"/>
    <n v="124"/>
    <n v="120"/>
    <n v="4"/>
    <n v="4"/>
    <m/>
    <s v="NO"/>
    <m/>
    <n v="27138"/>
    <n v="696487"/>
    <n v="880081.31"/>
    <n v="286864.55"/>
    <n v="1166945.8600000001"/>
  </r>
  <r>
    <n v="126"/>
    <s v="Barajas Barbara"/>
    <d v="2023-05-11T00:00:00"/>
    <x v="3"/>
    <n v="126"/>
    <n v="122"/>
    <n v="4"/>
    <n v="4"/>
    <m/>
    <s v="NO"/>
    <m/>
    <n v="27576"/>
    <n v="707350"/>
    <n v="893818.36"/>
    <n v="291325.13"/>
    <n v="1185143.49"/>
  </r>
  <r>
    <n v="131"/>
    <s v="De Brito Rocio"/>
    <d v="2023-06-08T00:00:00"/>
    <x v="4"/>
    <n v="130"/>
    <n v="130"/>
    <m/>
    <n v="8"/>
    <m/>
    <s v="NO"/>
    <m/>
    <n v="9245"/>
    <n v="692511"/>
    <n v="874289.91"/>
    <n v="284207.92"/>
    <n v="1158497.83"/>
  </r>
  <r>
    <n v="138"/>
    <s v="Lara Robbio"/>
    <d v="2023-08-01T00:00:00"/>
    <x v="1"/>
    <n v="123"/>
    <n v="114"/>
    <n v="5"/>
    <n v="4"/>
    <s v="4.00"/>
    <s v="NO"/>
    <m/>
    <n v="30520"/>
    <n v="691330"/>
    <n v="873735.31"/>
    <n v="284982.40000000002"/>
    <n v="1158717.71"/>
  </r>
  <r>
    <n v="139"/>
    <s v="Viña Sofia"/>
    <d v="2023-08-01T00:00:00"/>
    <x v="5"/>
    <n v="127"/>
    <n v="123"/>
    <n v="4"/>
    <n v="4"/>
    <m/>
    <s v="NO"/>
    <m/>
    <n v="35034"/>
    <n v="711975"/>
    <n v="899820.28"/>
    <n v="293429.88"/>
    <n v="1193250.1599999999"/>
  </r>
  <r>
    <n v="143"/>
    <s v="Molina Agustina"/>
    <d v="2023-09-15T00:00:00"/>
    <x v="0"/>
    <n v="124"/>
    <n v="118"/>
    <n v="6"/>
    <n v="4"/>
    <m/>
    <s v="NO"/>
    <m/>
    <n v="16830"/>
    <n v="688866"/>
    <n v="870417.52"/>
    <n v="283699.82"/>
    <n v="1154117.3400000001"/>
  </r>
  <r>
    <n v="151"/>
    <s v="Kiara Corbalan"/>
    <d v="2023-10-02T00:00:00"/>
    <x v="0"/>
    <n v="124"/>
    <n v="118"/>
    <n v="6"/>
    <n v="4"/>
    <m/>
    <s v="NO"/>
    <m/>
    <n v="16830"/>
    <n v="688866"/>
    <n v="870417.52"/>
    <n v="283699.82"/>
    <n v="1154117.3400000001"/>
  </r>
  <r>
    <n v="161"/>
    <s v="Martínez Brisa"/>
    <d v="2023-12-12T00:00:00"/>
    <x v="0"/>
    <n v="124"/>
    <n v="118"/>
    <n v="6"/>
    <n v="4"/>
    <m/>
    <s v="NO"/>
    <m/>
    <n v="16830"/>
    <n v="688866"/>
    <n v="870417.52"/>
    <n v="283699.82"/>
    <n v="1154117.3400000001"/>
  </r>
  <r>
    <n v="165"/>
    <s v="CORONEL Mailen"/>
    <d v="2024-01-20T00:00:00"/>
    <x v="4"/>
    <n v="128"/>
    <n v="120"/>
    <m/>
    <n v="8"/>
    <s v="8.00"/>
    <s v="NO"/>
    <m/>
    <n v="11605"/>
    <n v="684127"/>
    <n v="863748.83"/>
    <n v="280847.24"/>
    <n v="1144596.07"/>
  </r>
  <r>
    <n v="170"/>
    <s v="Ruiz de la Torre Maitena"/>
    <d v="2024-02-23T00:00:00"/>
    <x v="5"/>
    <n v="125"/>
    <n v="108"/>
    <n v="5"/>
    <n v="4"/>
    <s v="12.00"/>
    <s v="NO"/>
    <m/>
    <n v="31172"/>
    <n v="702267"/>
    <n v="887570.87"/>
    <n v="289479.86"/>
    <n v="1177050.73"/>
  </r>
  <r>
    <n v="171"/>
    <s v="Gimenez Candela"/>
    <d v="2024-04-22T00:00:00"/>
    <x v="3"/>
    <n v="120"/>
    <n v="112"/>
    <n v="4"/>
    <n v="4"/>
    <s v="4.00"/>
    <s v="NO"/>
    <m/>
    <n v="25388"/>
    <n v="667448"/>
    <n v="843335.45"/>
    <n v="274908.49"/>
    <n v="1118243.94"/>
  </r>
  <r>
    <n v="173"/>
    <s v="Imperiale Candela"/>
    <d v="2024-06-04T00:00:00"/>
    <x v="5"/>
    <n v="132"/>
    <n v="126"/>
    <n v="6"/>
    <n v="4"/>
    <m/>
    <s v="NO"/>
    <m/>
    <n v="36413"/>
    <n v="739658"/>
    <n v="935028.96"/>
    <n v="305067.38"/>
    <n v="1240096.3400000001"/>
  </r>
  <r>
    <n v="174"/>
    <s v="Machuca Araceli"/>
    <d v="2024-07-04T00:00:00"/>
    <x v="2"/>
    <n v="120"/>
    <n v="110"/>
    <n v="6"/>
    <n v="4"/>
    <s v="4.00"/>
    <s v="NO"/>
    <m/>
    <n v="25388"/>
    <n v="668709"/>
    <n v="845127.07"/>
    <n v="275690.53999999998"/>
    <n v="1120817.6100000001"/>
  </r>
  <r>
    <n v="186"/>
    <s v="Balmaceda Luciana"/>
    <d v="2024-10-22T00:00:00"/>
    <x v="5"/>
    <n v="125"/>
    <n v="120"/>
    <n v="5"/>
    <n v="4"/>
    <m/>
    <s v="NO"/>
    <m/>
    <n v="34482"/>
    <n v="698137"/>
    <n v="882412.97"/>
    <n v="287870.99"/>
    <n v="1170283.96"/>
  </r>
  <r>
    <n v="189"/>
    <s v="Oliva Micaela"/>
    <d v="2024-11-01T00:00:00"/>
    <x v="3"/>
    <n v="125"/>
    <n v="121"/>
    <n v="4"/>
    <n v="4"/>
    <m/>
    <s v="NO"/>
    <m/>
    <n v="28383"/>
    <n v="689103"/>
    <n v="870756.32"/>
    <n v="283849.53999999998"/>
    <n v="1154605.8600000001"/>
  </r>
  <r>
    <n v="190"/>
    <s v="Mohamad Daila"/>
    <d v="2024-11-01T00:00:00"/>
    <x v="6"/>
    <n v="132"/>
    <n v="127"/>
    <n v="5"/>
    <n v="4"/>
    <m/>
    <s v="NO"/>
    <m/>
    <n v="13198"/>
    <n v="716255"/>
    <n v="904831.42"/>
    <n v="294649.15999999997"/>
    <n v="1199480.58"/>
  </r>
  <r>
    <n v="192"/>
    <s v="Sarapura Rebecca"/>
    <d v="2024-11-01T00:00:00"/>
    <x v="1"/>
    <n v="122"/>
    <n v="101"/>
    <n v="5"/>
    <n v="4"/>
    <s v="16.00"/>
    <s v="NO"/>
    <m/>
    <n v="27186"/>
    <n v="676588"/>
    <n v="855019.22"/>
    <n v="278830.03999999998"/>
    <n v="1133849.26"/>
  </r>
  <r>
    <n v="194"/>
    <s v="Scholler Chavez Ruth"/>
    <d v="2024-12-13T00:00:00"/>
    <x v="2"/>
    <n v="120"/>
    <n v="114"/>
    <n v="6"/>
    <n v="4"/>
    <m/>
    <s v="NO"/>
    <m/>
    <n v="26263"/>
    <n v="669444"/>
    <n v="846075.35"/>
    <n v="276017.62"/>
    <n v="1122092.97"/>
  </r>
  <r>
    <n v="205"/>
    <s v="Florencia Aguero"/>
    <d v="2025-02-25T00:00:00"/>
    <x v="6"/>
    <n v="58"/>
    <n v="58"/>
    <m/>
    <n v="4"/>
    <m/>
    <s v="NO"/>
    <m/>
    <n v="0"/>
    <n v="560658"/>
    <n v="681305.96"/>
    <n v="207086.12"/>
    <n v="888392.08"/>
  </r>
  <r>
    <n v="206"/>
    <s v="Morena Martinez"/>
    <d v="2025-02-25T00:00:00"/>
    <x v="1"/>
    <n v="124"/>
    <n v="119"/>
    <n v="5"/>
    <n v="4"/>
    <m/>
    <s v="NO"/>
    <m/>
    <n v="4518"/>
    <n v="667839"/>
    <n v="843456.02"/>
    <n v="274567.53000000003"/>
    <n v="1118023.55"/>
  </r>
  <r>
    <n v="210"/>
    <s v="Dettoni Leguizamon Oriana"/>
    <d v="2025-04-12T00:00:00"/>
    <x v="5"/>
    <n v="126"/>
    <n v="120"/>
    <n v="6"/>
    <n v="4"/>
    <m/>
    <s v="NO"/>
    <m/>
    <n v="0"/>
    <n v="678241"/>
    <n v="856603.76"/>
    <n v="278830.28999999998"/>
    <n v="1135434.05"/>
  </r>
  <r>
    <n v="213"/>
    <s v="Gonzalez Valentina"/>
    <d v="2025-05-12T00:00:00"/>
    <x v="6"/>
    <n v="93"/>
    <n v="89"/>
    <n v="4"/>
    <n v="4"/>
    <m/>
    <s v="NO"/>
    <m/>
    <n v="0"/>
    <n v="498151"/>
    <n v="628753.80000000005"/>
    <n v="204730.14"/>
    <n v="833483.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">
  <r>
    <n v="55"/>
    <s v="Carrizo Camila"/>
    <d v="2021-08-06T00:00:00"/>
    <x v="0"/>
    <n v="132"/>
    <n v="117"/>
    <n v="15"/>
    <m/>
    <m/>
    <s v="SI"/>
    <m/>
    <n v="16926"/>
    <n v="788702"/>
    <n v="870222.33"/>
    <n v="321112.03976999997"/>
    <n v="0.36899999999999999"/>
    <n v="1227"/>
    <n v="528348.23976999999"/>
    <n v="1191334.36977"/>
  </r>
  <r>
    <n v="103"/>
    <s v="Esposito Candela"/>
    <d v="2022-10-20T00:00:00"/>
    <x v="1"/>
    <n v="130"/>
    <n v="114"/>
    <n v="16"/>
    <m/>
    <m/>
    <s v="SI"/>
    <m/>
    <n v="33034"/>
    <n v="965285"/>
    <n v="1101576.31"/>
    <n v="417277.10622800002"/>
    <n v="0.37880000000000003"/>
    <n v="1227"/>
    <n v="676315.64622800006"/>
    <n v="1518853.4162280001"/>
  </r>
  <r>
    <n v="120"/>
    <s v="Bertolo Milagros"/>
    <d v="2023-04-04T00:00:00"/>
    <x v="2"/>
    <n v="132"/>
    <n v="118"/>
    <n v="14"/>
    <m/>
    <m/>
    <s v="NO"/>
    <m/>
    <n v="34226"/>
    <n v="722257"/>
    <n v="787241.25"/>
    <n v="290492.02124999999"/>
    <n v="0.36899999999999999"/>
    <n v="1227"/>
    <n v="478859.26124999998"/>
    <n v="1077733.27125"/>
  </r>
  <r>
    <n v="126"/>
    <s v="Barajas Barbara"/>
    <d v="2023-05-11T00:00:00"/>
    <x v="3"/>
    <n v="126"/>
    <n v="114"/>
    <n v="12"/>
    <m/>
    <m/>
    <s v="NO"/>
    <m/>
    <n v="40567"/>
    <n v="691491"/>
    <n v="753863.21"/>
    <n v="278175.52448999998"/>
    <n v="0.36899999999999999"/>
    <n v="1227"/>
    <n v="458577.65448999999"/>
    <n v="1032038.7344899999"/>
  </r>
  <r>
    <n v="131"/>
    <s v="De Brito Rocio"/>
    <d v="2023-06-08T00:00:00"/>
    <x v="4"/>
    <n v="119"/>
    <n v="119"/>
    <n v="0"/>
    <n v="12"/>
    <m/>
    <s v="NO"/>
    <m/>
    <n v="5643"/>
    <n v="596675"/>
    <n v="638894.93000000005"/>
    <n v="237093.90852299999"/>
    <n v="0.37109999999999999"/>
    <n v="1227"/>
    <n v="391097.27852300002"/>
    <n v="875988.83852300001"/>
  </r>
  <r>
    <n v="138"/>
    <s v="Lara Robbio"/>
    <d v="2023-08-01T00:00:00"/>
    <x v="1"/>
    <n v="131"/>
    <n v="118"/>
    <n v="13"/>
    <m/>
    <m/>
    <s v="NO"/>
    <m/>
    <n v="40826"/>
    <n v="719467"/>
    <n v="784695.28"/>
    <n v="289552.55832000001"/>
    <n v="0.36899999999999999"/>
    <n v="1227"/>
    <n v="477271.11832000001"/>
    <n v="1074247.8383200001"/>
  </r>
  <r>
    <n v="139"/>
    <s v="Viña Sofia"/>
    <d v="2023-08-01T00:00:00"/>
    <x v="5"/>
    <n v="129"/>
    <n v="124"/>
    <n v="5"/>
    <n v="8"/>
    <m/>
    <s v="SI"/>
    <m/>
    <n v="28330"/>
    <n v="704930"/>
    <n v="768044.17"/>
    <n v="283024.27664499998"/>
    <n v="0.36849999999999999"/>
    <n v="1227"/>
    <n v="466844.65664499998"/>
    <n v="1051068.446645"/>
  </r>
  <r>
    <n v="143"/>
    <s v="Molina Agustina"/>
    <d v="2023-09-15T00:00:00"/>
    <x v="0"/>
    <n v="127"/>
    <n v="112"/>
    <n v="15"/>
    <m/>
    <m/>
    <s v="NO"/>
    <m/>
    <n v="28284"/>
    <n v="696548"/>
    <n v="759335.06"/>
    <n v="280270.57064599998"/>
    <n v="0.36909999999999998"/>
    <n v="1227"/>
    <n v="461979.70064599998"/>
    <n v="1039605.630646"/>
  </r>
  <r>
    <n v="151"/>
    <s v="Kiara Corbalan"/>
    <d v="2023-10-02T00:00:00"/>
    <x v="0"/>
    <n v="128"/>
    <n v="123"/>
    <n v="5"/>
    <n v="8"/>
    <m/>
    <s v="SI"/>
    <m/>
    <n v="20489"/>
    <n v="473930"/>
    <n v="471032.99"/>
    <n v="174140.89640299999"/>
    <n v="0.36969999999999997"/>
    <n v="1227"/>
    <n v="291057.88640299998"/>
    <n v="645173.88640299998"/>
  </r>
  <r>
    <n v="161"/>
    <s v="Martínez Brisa"/>
    <d v="2023-12-12T00:00:00"/>
    <x v="0"/>
    <n v="127"/>
    <n v="112"/>
    <n v="15"/>
    <m/>
    <m/>
    <s v="SI"/>
    <m/>
    <n v="18708"/>
    <n v="895457"/>
    <n v="1015991.67"/>
    <n v="381911.26875300001"/>
    <n v="0.37590000000000001"/>
    <n v="1227"/>
    <n v="621368.12875299901"/>
    <n v="1397902.938753"/>
  </r>
  <r>
    <n v="165"/>
    <s v="CORONEL Mailen"/>
    <d v="2024-01-20T00:00:00"/>
    <x v="4"/>
    <n v="124"/>
    <n v="124"/>
    <n v="0"/>
    <n v="12"/>
    <m/>
    <s v="SI"/>
    <m/>
    <n v="5500"/>
    <n v="446507"/>
    <n v="439861.65"/>
    <n v="131518.63334999999"/>
    <n v="0.29899999999999999"/>
    <n v="1227"/>
    <n v="241118.71334999899"/>
    <n v="571380.28335000004"/>
  </r>
  <r>
    <n v="170"/>
    <s v="Ruiz de la Torre Maitena"/>
    <d v="2024-02-23T00:00:00"/>
    <x v="5"/>
    <n v="111"/>
    <n v="103"/>
    <n v="8"/>
    <n v="4"/>
    <m/>
    <s v="NO"/>
    <m/>
    <n v="31135"/>
    <n v="599040"/>
    <n v="650373.34"/>
    <n v="239662.57578999901"/>
    <n v="0.36849999999999999"/>
    <n v="1227"/>
    <n v="395641.86578999902"/>
    <n v="890035.91579"/>
  </r>
  <r>
    <n v="171"/>
    <s v="Gimenez Candela"/>
    <d v="2024-04-22T00:00:00"/>
    <x v="3"/>
    <n v="123"/>
    <n v="111"/>
    <n v="12"/>
    <m/>
    <m/>
    <s v="SI"/>
    <m/>
    <n v="37025"/>
    <n v="626095"/>
    <n v="673924.75"/>
    <n v="248543.44779999999"/>
    <n v="0.36880000000000002"/>
    <n v="1227"/>
    <n v="410639.52779999998"/>
    <n v="922468.19779999997"/>
  </r>
  <r>
    <n v="173"/>
    <s v="Imperiale Candela"/>
    <d v="2024-06-04T00:00:00"/>
    <x v="5"/>
    <n v="132"/>
    <n v="117"/>
    <n v="15"/>
    <m/>
    <m/>
    <s v="NO"/>
    <m/>
    <n v="37026"/>
    <n v="721008"/>
    <n v="787006.67"/>
    <n v="289775.85589399998"/>
    <n v="0.36820000000000003"/>
    <n v="1227"/>
    <n v="477991.16589399998"/>
    <n v="1076782.525894"/>
  </r>
  <r>
    <n v="174"/>
    <s v="Machuca Araceli "/>
    <d v="2024-07-04T00:00:00"/>
    <x v="2"/>
    <n v="131"/>
    <n v="116"/>
    <n v="15"/>
    <m/>
    <m/>
    <s v="NO"/>
    <m/>
    <n v="33967"/>
    <n v="713645"/>
    <n v="778548.95"/>
    <n v="287362.41744499898"/>
    <n v="0.36909999999999998"/>
    <n v="1227"/>
    <n v="473599.66744499898"/>
    <n v="1065911.367445"/>
  </r>
  <r>
    <n v="186"/>
    <s v="Balmaceda Luciana"/>
    <d v="2024-10-22T00:00:00"/>
    <x v="5"/>
    <n v="116"/>
    <n v="106"/>
    <n v="10"/>
    <n v="4"/>
    <m/>
    <s v="NO"/>
    <m/>
    <n v="35538"/>
    <n v="675656"/>
    <n v="745175.1"/>
    <n v="274969.61189999903"/>
    <n v="0.36899999999999999"/>
    <n v="1227"/>
    <n v="452571.37189999898"/>
    <n v="1020144.7119"/>
  </r>
  <r>
    <n v="189"/>
    <s v="Oliva Micaela"/>
    <d v="2024-11-01T00:00:00"/>
    <x v="3"/>
    <n v="122"/>
    <n v="109"/>
    <n v="13"/>
    <m/>
    <m/>
    <s v="SI"/>
    <m/>
    <n v="37991"/>
    <n v="688192"/>
    <n v="755092.77"/>
    <n v="278402.70429899998"/>
    <n v="0.36870000000000003"/>
    <n v="1227"/>
    <n v="458686.50429900002"/>
    <n v="1033495.474299"/>
  </r>
  <r>
    <n v="190"/>
    <s v="Mohamad Daila"/>
    <d v="2024-11-01T00:00:00"/>
    <x v="6"/>
    <n v="132"/>
    <n v="116"/>
    <n v="16"/>
    <m/>
    <m/>
    <s v="NO"/>
    <m/>
    <n v="2901"/>
    <n v="695866"/>
    <n v="754565.7"/>
    <n v="278283.83016000001"/>
    <n v="0.36880000000000002"/>
    <n v="1227"/>
    <n v="459199.93015999999"/>
    <n v="1032849.53016"/>
  </r>
  <r>
    <n v="192"/>
    <s v="Sarapura Rebecca"/>
    <d v="2024-11-01T00:00:00"/>
    <x v="1"/>
    <n v="130"/>
    <n v="118"/>
    <n v="12"/>
    <m/>
    <m/>
    <s v="NO"/>
    <m/>
    <n v="17556"/>
    <n v="684548"/>
    <n v="742047.06"/>
    <n v="273221.72749199998"/>
    <n v="0.36820000000000003"/>
    <n v="1227"/>
    <n v="451170.96749200003"/>
    <n v="1015268.787492"/>
  </r>
  <r>
    <n v="194"/>
    <s v="Scholler Chavez Ruth"/>
    <d v="2024-12-13T00:00:00"/>
    <x v="2"/>
    <n v="131"/>
    <n v="117"/>
    <n v="14"/>
    <m/>
    <m/>
    <s v="NO"/>
    <m/>
    <n v="17812"/>
    <n v="696574"/>
    <n v="756521.59"/>
    <n v="279686.03182299901"/>
    <n v="0.36969999999999997"/>
    <n v="1227"/>
    <n v="460967.13182299898"/>
    <n v="1036207.62182299"/>
  </r>
  <r>
    <n v="197"/>
    <s v="Ramirez Lola"/>
    <d v="2025-01-02T00:00:00"/>
    <x v="5"/>
    <n v="118"/>
    <n v="108"/>
    <n v="10"/>
    <n v="4"/>
    <m/>
    <s v="NO"/>
    <m/>
    <n v="0"/>
    <n v="607593"/>
    <n v="655266.14"/>
    <n v="256536.69381"/>
    <n v="0.39150000000000001"/>
    <n v="1227"/>
    <n v="414059.13381000003"/>
    <n v="911802.83380999998"/>
  </r>
  <r>
    <n v="202"/>
    <s v="Machta Gina"/>
    <d v="2025-01-09T00:00:00"/>
    <x v="5"/>
    <n v="117"/>
    <n v="108"/>
    <n v="9"/>
    <n v="4"/>
    <m/>
    <s v="NO"/>
    <m/>
    <n v="0"/>
    <n v="599290"/>
    <n v="645595.57999999996"/>
    <n v="272635.01343399897"/>
    <n v="0.42230000000000001"/>
    <n v="1227"/>
    <n v="427906.50343399902"/>
    <n v="918230.59343399899"/>
  </r>
  <r>
    <n v="204"/>
    <s v="Dettoni Leguizamon Oriana"/>
    <d v="2025-02-05T00:00:00"/>
    <x v="5"/>
    <n v="38"/>
    <n v="29"/>
    <n v="9"/>
    <m/>
    <m/>
    <s v="NO"/>
    <m/>
    <m/>
    <n v="332906"/>
    <n v="297652.69"/>
    <n v="110875.62702499999"/>
    <n v="0.3725"/>
    <n v="1227"/>
    <n v="182641.41702499901"/>
    <n v="408528.317025"/>
  </r>
  <r>
    <n v="205"/>
    <s v="Florencia Aguero"/>
    <d v="2025-02-25T00:00:00"/>
    <x v="6"/>
    <n v="132"/>
    <n v="121"/>
    <n v="11"/>
    <n v="4"/>
    <m/>
    <s v="NO"/>
    <m/>
    <n v="0"/>
    <n v="678229"/>
    <n v="731807.59"/>
    <n v="270768.80829999998"/>
    <n v="0.37"/>
    <n v="1227"/>
    <n v="446564.33829999901"/>
    <n v="1002576.3983"/>
  </r>
  <r>
    <n v="206"/>
    <s v="Morena Martinez "/>
    <d v="2025-02-25T00:00:00"/>
    <x v="1"/>
    <n v="131"/>
    <n v="119"/>
    <n v="12"/>
    <m/>
    <m/>
    <s v="NO"/>
    <m/>
    <n v="0"/>
    <n v="674603"/>
    <n v="728172.56"/>
    <n v="269642.29896799999"/>
    <n v="0.37030000000000002"/>
    <n v="1227"/>
    <n v="444544.868968"/>
    <n v="997814.85896800004"/>
  </r>
  <r>
    <n v="207"/>
    <s v="Chiara Perazzo"/>
    <d v="2025-03-05T00:00:00"/>
    <x v="0"/>
    <n v="81"/>
    <n v="81"/>
    <n v="0"/>
    <m/>
    <n v="4"/>
    <s v="NO"/>
    <m/>
    <m/>
    <n v="461417"/>
    <n v="472011.18"/>
    <n v="175824.16454999999"/>
    <n v="0.3725"/>
    <n v="1227"/>
    <n v="289636.31455000001"/>
    <n v="647835.344550000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88">
  <r>
    <x v="0"/>
    <x v="0"/>
    <x v="0"/>
    <x v="0"/>
    <x v="0"/>
    <n v="11830300"/>
    <x v="0"/>
  </r>
  <r>
    <x v="1"/>
    <x v="0"/>
    <x v="1"/>
    <x v="0"/>
    <x v="0"/>
    <n v="21228068.695652176"/>
    <x v="0"/>
  </r>
  <r>
    <x v="2"/>
    <x v="1"/>
    <x v="2"/>
    <x v="0"/>
    <x v="0"/>
    <n v="35956360"/>
    <x v="0"/>
  </r>
  <r>
    <x v="2"/>
    <x v="1"/>
    <x v="3"/>
    <x v="0"/>
    <x v="0"/>
    <s v="-"/>
    <x v="0"/>
  </r>
  <r>
    <x v="2"/>
    <x v="1"/>
    <x v="4"/>
    <x v="0"/>
    <x v="0"/>
    <n v="19356680"/>
    <x v="0"/>
  </r>
  <r>
    <x v="1"/>
    <x v="1"/>
    <x v="5"/>
    <x v="0"/>
    <x v="0"/>
    <n v="37017710.434782609"/>
    <x v="0"/>
  </r>
  <r>
    <x v="1"/>
    <x v="1"/>
    <x v="6"/>
    <x v="0"/>
    <x v="0"/>
    <n v="4641540"/>
    <x v="0"/>
  </r>
  <r>
    <x v="1"/>
    <x v="1"/>
    <x v="7"/>
    <x v="0"/>
    <x v="0"/>
    <n v="15939080.000000002"/>
    <x v="0"/>
  </r>
  <r>
    <x v="0"/>
    <x v="0"/>
    <x v="0"/>
    <x v="1"/>
    <x v="0"/>
    <n v="1606892.53"/>
    <x v="1"/>
  </r>
  <r>
    <x v="1"/>
    <x v="0"/>
    <x v="1"/>
    <x v="1"/>
    <x v="0"/>
    <n v="1630700.79"/>
    <x v="1"/>
  </r>
  <r>
    <x v="2"/>
    <x v="1"/>
    <x v="2"/>
    <x v="1"/>
    <x v="0"/>
    <n v="2818816"/>
    <x v="1"/>
  </r>
  <r>
    <x v="2"/>
    <x v="1"/>
    <x v="3"/>
    <x v="1"/>
    <x v="0"/>
    <m/>
    <x v="1"/>
  </r>
  <r>
    <x v="2"/>
    <x v="1"/>
    <x v="4"/>
    <x v="1"/>
    <x v="0"/>
    <n v="3494431.2199999997"/>
    <x v="1"/>
  </r>
  <r>
    <x v="1"/>
    <x v="1"/>
    <x v="5"/>
    <x v="1"/>
    <x v="0"/>
    <n v="2471458.4"/>
    <x v="1"/>
  </r>
  <r>
    <x v="1"/>
    <x v="1"/>
    <x v="6"/>
    <x v="1"/>
    <x v="0"/>
    <n v="338800"/>
    <x v="1"/>
  </r>
  <r>
    <x v="1"/>
    <x v="1"/>
    <x v="7"/>
    <x v="1"/>
    <x v="0"/>
    <n v="290400"/>
    <x v="1"/>
  </r>
  <r>
    <x v="0"/>
    <x v="0"/>
    <x v="0"/>
    <x v="2"/>
    <x v="0"/>
    <n v="2468990.9487600001"/>
    <x v="1"/>
  </r>
  <r>
    <x v="1"/>
    <x v="0"/>
    <x v="1"/>
    <x v="2"/>
    <x v="0"/>
    <n v="3601426.8515400002"/>
    <x v="1"/>
  </r>
  <r>
    <x v="2"/>
    <x v="1"/>
    <x v="2"/>
    <x v="2"/>
    <x v="0"/>
    <n v="4652999.2996200006"/>
    <x v="1"/>
  </r>
  <r>
    <x v="2"/>
    <x v="1"/>
    <x v="3"/>
    <x v="2"/>
    <x v="0"/>
    <m/>
    <x v="1"/>
  </r>
  <r>
    <x v="2"/>
    <x v="1"/>
    <x v="4"/>
    <x v="2"/>
    <x v="0"/>
    <n v="2488006.7301600003"/>
    <x v="1"/>
  </r>
  <r>
    <x v="1"/>
    <x v="1"/>
    <x v="5"/>
    <x v="2"/>
    <x v="0"/>
    <n v="3789384.4598400006"/>
    <x v="1"/>
  </r>
  <r>
    <x v="1"/>
    <x v="1"/>
    <x v="6"/>
    <x v="2"/>
    <x v="0"/>
    <m/>
    <x v="1"/>
  </r>
  <r>
    <x v="1"/>
    <x v="1"/>
    <x v="7"/>
    <x v="2"/>
    <x v="0"/>
    <n v="2556874.0184400002"/>
    <x v="1"/>
  </r>
  <r>
    <x v="0"/>
    <x v="0"/>
    <x v="0"/>
    <x v="3"/>
    <x v="0"/>
    <n v="34383.560653137509"/>
    <x v="1"/>
  </r>
  <r>
    <x v="1"/>
    <x v="0"/>
    <x v="1"/>
    <x v="3"/>
    <x v="0"/>
    <n v="164655.38710742129"/>
    <x v="1"/>
  </r>
  <r>
    <x v="2"/>
    <x v="1"/>
    <x v="2"/>
    <x v="3"/>
    <x v="0"/>
    <n v="465612.92398798396"/>
    <x v="1"/>
  </r>
  <r>
    <x v="2"/>
    <x v="1"/>
    <x v="3"/>
    <x v="3"/>
    <x v="0"/>
    <m/>
    <x v="1"/>
  </r>
  <r>
    <x v="2"/>
    <x v="1"/>
    <x v="4"/>
    <x v="3"/>
    <x v="0"/>
    <n v="111552.10668287141"/>
    <x v="1"/>
  </r>
  <r>
    <x v="1"/>
    <x v="1"/>
    <x v="5"/>
    <x v="3"/>
    <x v="0"/>
    <n v="210546.37080425932"/>
    <x v="1"/>
  </r>
  <r>
    <x v="1"/>
    <x v="1"/>
    <x v="6"/>
    <x v="3"/>
    <x v="0"/>
    <n v="0"/>
    <x v="1"/>
  </r>
  <r>
    <x v="1"/>
    <x v="1"/>
    <x v="7"/>
    <x v="3"/>
    <x v="0"/>
    <n v="149283.48076432644"/>
    <x v="1"/>
  </r>
  <r>
    <x v="0"/>
    <x v="0"/>
    <x v="0"/>
    <x v="0"/>
    <x v="1"/>
    <n v="13752388"/>
    <x v="0"/>
  </r>
  <r>
    <x v="1"/>
    <x v="0"/>
    <x v="1"/>
    <x v="0"/>
    <x v="1"/>
    <n v="17536740"/>
    <x v="0"/>
  </r>
  <r>
    <x v="2"/>
    <x v="1"/>
    <x v="2"/>
    <x v="0"/>
    <x v="1"/>
    <n v="53095660"/>
    <x v="0"/>
  </r>
  <r>
    <x v="2"/>
    <x v="1"/>
    <x v="3"/>
    <x v="0"/>
    <x v="1"/>
    <s v="-"/>
    <x v="0"/>
  </r>
  <r>
    <x v="2"/>
    <x v="1"/>
    <x v="4"/>
    <x v="0"/>
    <x v="1"/>
    <n v="24784418"/>
    <x v="0"/>
  </r>
  <r>
    <x v="1"/>
    <x v="1"/>
    <x v="5"/>
    <x v="0"/>
    <x v="1"/>
    <n v="43480130"/>
    <x v="0"/>
  </r>
  <r>
    <x v="1"/>
    <x v="1"/>
    <x v="6"/>
    <x v="0"/>
    <x v="1"/>
    <n v="11886640"/>
    <x v="0"/>
  </r>
  <r>
    <x v="1"/>
    <x v="1"/>
    <x v="7"/>
    <x v="0"/>
    <x v="1"/>
    <n v="20913610"/>
    <x v="0"/>
  </r>
  <r>
    <x v="0"/>
    <x v="0"/>
    <x v="0"/>
    <x v="1"/>
    <x v="1"/>
    <n v="1729968.26"/>
    <x v="1"/>
  </r>
  <r>
    <x v="1"/>
    <x v="0"/>
    <x v="1"/>
    <x v="1"/>
    <x v="1"/>
    <n v="2306662.44"/>
    <x v="1"/>
  </r>
  <r>
    <x v="2"/>
    <x v="1"/>
    <x v="2"/>
    <x v="1"/>
    <x v="1"/>
    <n v="4552028.9800000004"/>
    <x v="1"/>
  </r>
  <r>
    <x v="2"/>
    <x v="1"/>
    <x v="3"/>
    <x v="1"/>
    <x v="1"/>
    <m/>
    <x v="1"/>
  </r>
  <r>
    <x v="2"/>
    <x v="1"/>
    <x v="4"/>
    <x v="1"/>
    <x v="1"/>
    <n v="4079471.48"/>
    <x v="1"/>
  </r>
  <r>
    <x v="1"/>
    <x v="1"/>
    <x v="5"/>
    <x v="1"/>
    <x v="1"/>
    <n v="3799769.75"/>
    <x v="1"/>
  </r>
  <r>
    <x v="1"/>
    <x v="1"/>
    <x v="6"/>
    <x v="1"/>
    <x v="1"/>
    <n v="1527520.99"/>
    <x v="1"/>
  </r>
  <r>
    <x v="1"/>
    <x v="1"/>
    <x v="7"/>
    <x v="1"/>
    <x v="1"/>
    <n v="689700"/>
    <x v="1"/>
  </r>
  <r>
    <x v="0"/>
    <x v="0"/>
    <x v="0"/>
    <x v="2"/>
    <x v="1"/>
    <n v="3130141.64"/>
    <x v="1"/>
  </r>
  <r>
    <x v="1"/>
    <x v="0"/>
    <x v="1"/>
    <x v="2"/>
    <x v="1"/>
    <n v="3650327.46"/>
    <x v="1"/>
  </r>
  <r>
    <x v="2"/>
    <x v="1"/>
    <x v="2"/>
    <x v="2"/>
    <x v="1"/>
    <n v="5145049.3499999996"/>
    <x v="1"/>
  </r>
  <r>
    <x v="2"/>
    <x v="1"/>
    <x v="3"/>
    <x v="2"/>
    <x v="1"/>
    <m/>
    <x v="1"/>
  </r>
  <r>
    <x v="2"/>
    <x v="1"/>
    <x v="4"/>
    <x v="2"/>
    <x v="1"/>
    <n v="1809020.33"/>
    <x v="1"/>
  </r>
  <r>
    <x v="1"/>
    <x v="1"/>
    <x v="5"/>
    <x v="2"/>
    <x v="1"/>
    <n v="3166669.57"/>
    <x v="1"/>
  </r>
  <r>
    <x v="1"/>
    <x v="1"/>
    <x v="6"/>
    <x v="2"/>
    <x v="1"/>
    <n v="2029211.32"/>
    <x v="1"/>
  </r>
  <r>
    <x v="1"/>
    <x v="1"/>
    <x v="7"/>
    <x v="2"/>
    <x v="1"/>
    <n v="2710714.63"/>
    <x v="1"/>
  </r>
  <r>
    <x v="0"/>
    <x v="0"/>
    <x v="0"/>
    <x v="3"/>
    <x v="1"/>
    <n v="217746.88"/>
    <x v="1"/>
  </r>
  <r>
    <x v="1"/>
    <x v="0"/>
    <x v="1"/>
    <x v="3"/>
    <x v="1"/>
    <n v="0"/>
    <x v="1"/>
  </r>
  <r>
    <x v="2"/>
    <x v="1"/>
    <x v="2"/>
    <x v="3"/>
    <x v="1"/>
    <n v="756202.58000000007"/>
    <x v="1"/>
  </r>
  <r>
    <x v="2"/>
    <x v="1"/>
    <x v="3"/>
    <x v="3"/>
    <x v="1"/>
    <m/>
    <x v="1"/>
  </r>
  <r>
    <x v="2"/>
    <x v="1"/>
    <x v="4"/>
    <x v="3"/>
    <x v="1"/>
    <n v="143345.34"/>
    <x v="1"/>
  </r>
  <r>
    <x v="1"/>
    <x v="1"/>
    <x v="5"/>
    <x v="3"/>
    <x v="1"/>
    <n v="1055345.05"/>
    <x v="1"/>
  </r>
  <r>
    <x v="1"/>
    <x v="1"/>
    <x v="6"/>
    <x v="3"/>
    <x v="1"/>
    <n v="7499.63"/>
    <x v="1"/>
  </r>
  <r>
    <x v="1"/>
    <x v="1"/>
    <x v="7"/>
    <x v="3"/>
    <x v="1"/>
    <n v="234487.71"/>
    <x v="1"/>
  </r>
  <r>
    <x v="0"/>
    <x v="0"/>
    <x v="0"/>
    <x v="0"/>
    <x v="2"/>
    <n v="15338731"/>
    <x v="0"/>
  </r>
  <r>
    <x v="1"/>
    <x v="0"/>
    <x v="1"/>
    <x v="0"/>
    <x v="2"/>
    <n v="19509198"/>
    <x v="0"/>
  </r>
  <r>
    <x v="2"/>
    <x v="1"/>
    <x v="2"/>
    <x v="0"/>
    <x v="2"/>
    <n v="45648693"/>
    <x v="0"/>
  </r>
  <r>
    <x v="2"/>
    <x v="1"/>
    <x v="3"/>
    <x v="0"/>
    <x v="2"/>
    <s v="-"/>
    <x v="0"/>
  </r>
  <r>
    <x v="2"/>
    <x v="1"/>
    <x v="4"/>
    <x v="0"/>
    <x v="2"/>
    <n v="29104610"/>
    <x v="0"/>
  </r>
  <r>
    <x v="1"/>
    <x v="1"/>
    <x v="5"/>
    <x v="0"/>
    <x v="2"/>
    <n v="41362060"/>
    <x v="0"/>
  </r>
  <r>
    <x v="1"/>
    <x v="1"/>
    <x v="6"/>
    <x v="0"/>
    <x v="2"/>
    <n v="7214280"/>
    <x v="0"/>
  </r>
  <r>
    <x v="1"/>
    <x v="1"/>
    <x v="7"/>
    <x v="0"/>
    <x v="2"/>
    <n v="21646780"/>
    <x v="0"/>
  </r>
  <r>
    <x v="0"/>
    <x v="0"/>
    <x v="0"/>
    <x v="1"/>
    <x v="2"/>
    <n v="2500000"/>
    <x v="1"/>
  </r>
  <r>
    <x v="1"/>
    <x v="0"/>
    <x v="1"/>
    <x v="1"/>
    <x v="2"/>
    <n v="2095161"/>
    <x v="1"/>
  </r>
  <r>
    <x v="2"/>
    <x v="1"/>
    <x v="2"/>
    <x v="1"/>
    <x v="2"/>
    <n v="3222965"/>
    <x v="1"/>
  </r>
  <r>
    <x v="2"/>
    <x v="1"/>
    <x v="3"/>
    <x v="1"/>
    <x v="2"/>
    <m/>
    <x v="1"/>
  </r>
  <r>
    <x v="2"/>
    <x v="1"/>
    <x v="4"/>
    <x v="1"/>
    <x v="2"/>
    <n v="3718046"/>
    <x v="1"/>
  </r>
  <r>
    <x v="1"/>
    <x v="1"/>
    <x v="5"/>
    <x v="1"/>
    <x v="2"/>
    <n v="3026738"/>
    <x v="1"/>
  </r>
  <r>
    <x v="1"/>
    <x v="1"/>
    <x v="6"/>
    <x v="1"/>
    <x v="2"/>
    <n v="1128900"/>
    <x v="1"/>
  </r>
  <r>
    <x v="1"/>
    <x v="1"/>
    <x v="7"/>
    <x v="1"/>
    <x v="2"/>
    <n v="771406"/>
    <x v="1"/>
  </r>
  <r>
    <x v="0"/>
    <x v="0"/>
    <x v="0"/>
    <x v="2"/>
    <x v="2"/>
    <n v="2532389.9580000001"/>
    <x v="1"/>
  </r>
  <r>
    <x v="1"/>
    <x v="0"/>
    <x v="1"/>
    <x v="2"/>
    <x v="2"/>
    <n v="3098824.7220000001"/>
    <x v="1"/>
  </r>
  <r>
    <x v="2"/>
    <x v="1"/>
    <x v="2"/>
    <x v="2"/>
    <x v="2"/>
    <n v="4223329.6140000001"/>
    <x v="1"/>
  </r>
  <r>
    <x v="2"/>
    <x v="1"/>
    <x v="3"/>
    <x v="2"/>
    <x v="2"/>
    <m/>
    <x v="1"/>
  </r>
  <r>
    <x v="2"/>
    <x v="1"/>
    <x v="4"/>
    <x v="2"/>
    <x v="2"/>
    <n v="1415519.7115499999"/>
    <x v="1"/>
  </r>
  <r>
    <x v="1"/>
    <x v="1"/>
    <x v="5"/>
    <x v="2"/>
    <x v="2"/>
    <n v="2193441.4530000002"/>
    <x v="1"/>
  </r>
  <r>
    <x v="1"/>
    <x v="1"/>
    <x v="6"/>
    <x v="2"/>
    <x v="2"/>
    <n v="1543292.1"/>
    <x v="1"/>
  </r>
  <r>
    <x v="1"/>
    <x v="1"/>
    <x v="7"/>
    <x v="2"/>
    <x v="2"/>
    <n v="2228679.9360000002"/>
    <x v="1"/>
  </r>
  <r>
    <x v="0"/>
    <x v="0"/>
    <x v="0"/>
    <x v="3"/>
    <x v="2"/>
    <n v="303256.34000000003"/>
    <x v="1"/>
  </r>
  <r>
    <x v="1"/>
    <x v="0"/>
    <x v="1"/>
    <x v="3"/>
    <x v="2"/>
    <n v="218161.16"/>
    <x v="1"/>
  </r>
  <r>
    <x v="2"/>
    <x v="1"/>
    <x v="2"/>
    <x v="3"/>
    <x v="2"/>
    <n v="1603001.09"/>
    <x v="1"/>
  </r>
  <r>
    <x v="2"/>
    <x v="1"/>
    <x v="3"/>
    <x v="3"/>
    <x v="2"/>
    <m/>
    <x v="1"/>
  </r>
  <r>
    <x v="2"/>
    <x v="1"/>
    <x v="4"/>
    <x v="3"/>
    <x v="2"/>
    <n v="218062.77"/>
    <x v="1"/>
  </r>
  <r>
    <x v="1"/>
    <x v="1"/>
    <x v="5"/>
    <x v="3"/>
    <x v="2"/>
    <n v="161568.42000000001"/>
    <x v="1"/>
  </r>
  <r>
    <x v="1"/>
    <x v="1"/>
    <x v="6"/>
    <x v="3"/>
    <x v="2"/>
    <n v="112764.68"/>
    <x v="1"/>
  </r>
  <r>
    <x v="1"/>
    <x v="1"/>
    <x v="7"/>
    <x v="3"/>
    <x v="2"/>
    <n v="345406.49"/>
    <x v="1"/>
  </r>
  <r>
    <x v="0"/>
    <x v="0"/>
    <x v="0"/>
    <x v="0"/>
    <x v="3"/>
    <n v="11999960"/>
    <x v="0"/>
  </r>
  <r>
    <x v="1"/>
    <x v="0"/>
    <x v="1"/>
    <x v="0"/>
    <x v="3"/>
    <n v="14424775"/>
    <x v="0"/>
  </r>
  <r>
    <x v="2"/>
    <x v="1"/>
    <x v="2"/>
    <x v="0"/>
    <x v="3"/>
    <n v="40118678"/>
    <x v="0"/>
  </r>
  <r>
    <x v="2"/>
    <x v="1"/>
    <x v="3"/>
    <x v="0"/>
    <x v="3"/>
    <n v="2607560"/>
    <x v="0"/>
  </r>
  <r>
    <x v="2"/>
    <x v="1"/>
    <x v="4"/>
    <x v="0"/>
    <x v="3"/>
    <n v="20476370"/>
    <x v="0"/>
  </r>
  <r>
    <x v="1"/>
    <x v="1"/>
    <x v="5"/>
    <x v="0"/>
    <x v="3"/>
    <n v="40058419"/>
    <x v="0"/>
  </r>
  <r>
    <x v="1"/>
    <x v="1"/>
    <x v="6"/>
    <x v="0"/>
    <x v="3"/>
    <n v="2472710"/>
    <x v="0"/>
  </r>
  <r>
    <x v="1"/>
    <x v="1"/>
    <x v="7"/>
    <x v="0"/>
    <x v="3"/>
    <n v="15489470"/>
    <x v="0"/>
  </r>
  <r>
    <x v="0"/>
    <x v="0"/>
    <x v="0"/>
    <x v="1"/>
    <x v="3"/>
    <n v="3359529.12"/>
    <x v="1"/>
  </r>
  <r>
    <x v="1"/>
    <x v="0"/>
    <x v="1"/>
    <x v="1"/>
    <x v="3"/>
    <n v="2821199.27"/>
    <x v="1"/>
  </r>
  <r>
    <x v="2"/>
    <x v="1"/>
    <x v="2"/>
    <x v="1"/>
    <x v="3"/>
    <n v="3772412.08"/>
    <x v="1"/>
  </r>
  <r>
    <x v="2"/>
    <x v="1"/>
    <x v="3"/>
    <x v="1"/>
    <x v="3"/>
    <n v="1122708.79"/>
    <x v="1"/>
  </r>
  <r>
    <x v="2"/>
    <x v="1"/>
    <x v="4"/>
    <x v="1"/>
    <x v="3"/>
    <n v="3865858.86"/>
    <x v="1"/>
  </r>
  <r>
    <x v="1"/>
    <x v="1"/>
    <x v="5"/>
    <x v="1"/>
    <x v="3"/>
    <n v="3533075.2199999997"/>
    <x v="1"/>
  </r>
  <r>
    <x v="1"/>
    <x v="1"/>
    <x v="6"/>
    <x v="1"/>
    <x v="3"/>
    <n v="1337846.76"/>
    <x v="1"/>
  </r>
  <r>
    <x v="1"/>
    <x v="1"/>
    <x v="7"/>
    <x v="1"/>
    <x v="3"/>
    <n v="868340"/>
    <x v="1"/>
  </r>
  <r>
    <x v="0"/>
    <x v="0"/>
    <x v="0"/>
    <x v="2"/>
    <x v="3"/>
    <n v="3792541.6790100001"/>
    <x v="1"/>
  </r>
  <r>
    <x v="1"/>
    <x v="0"/>
    <x v="1"/>
    <x v="2"/>
    <x v="3"/>
    <n v="3500002.3482900006"/>
    <x v="1"/>
  </r>
  <r>
    <x v="2"/>
    <x v="1"/>
    <x v="2"/>
    <x v="2"/>
    <x v="3"/>
    <n v="4472073.3002399998"/>
    <x v="1"/>
  </r>
  <r>
    <x v="2"/>
    <x v="1"/>
    <x v="3"/>
    <x v="2"/>
    <x v="3"/>
    <n v="1796986.9373400002"/>
    <x v="1"/>
  </r>
  <r>
    <x v="2"/>
    <x v="1"/>
    <x v="4"/>
    <x v="2"/>
    <x v="3"/>
    <n v="2404008.8471700004"/>
    <x v="1"/>
  </r>
  <r>
    <x v="1"/>
    <x v="1"/>
    <x v="5"/>
    <x v="2"/>
    <x v="3"/>
    <n v="2433243.4774200004"/>
    <x v="1"/>
  </r>
  <r>
    <x v="1"/>
    <x v="1"/>
    <x v="6"/>
    <x v="2"/>
    <x v="3"/>
    <n v="1809449.8020900004"/>
    <x v="1"/>
  </r>
  <r>
    <x v="1"/>
    <x v="1"/>
    <x v="7"/>
    <x v="2"/>
    <x v="3"/>
    <n v="2954248.4525400004"/>
    <x v="1"/>
  </r>
  <r>
    <x v="0"/>
    <x v="0"/>
    <x v="0"/>
    <x v="3"/>
    <x v="3"/>
    <n v="203407.00666666665"/>
    <x v="1"/>
  </r>
  <r>
    <x v="1"/>
    <x v="0"/>
    <x v="1"/>
    <x v="3"/>
    <x v="3"/>
    <n v="193861.83666666667"/>
    <x v="1"/>
  </r>
  <r>
    <x v="2"/>
    <x v="1"/>
    <x v="2"/>
    <x v="3"/>
    <x v="3"/>
    <n v="1727784.4300000002"/>
    <x v="1"/>
  </r>
  <r>
    <x v="2"/>
    <x v="1"/>
    <x v="3"/>
    <x v="3"/>
    <x v="3"/>
    <n v="101378.79000000001"/>
    <x v="1"/>
  </r>
  <r>
    <x v="2"/>
    <x v="1"/>
    <x v="4"/>
    <x v="3"/>
    <x v="3"/>
    <n v="185581.34000000003"/>
    <x v="1"/>
  </r>
  <r>
    <x v="1"/>
    <x v="1"/>
    <x v="5"/>
    <x v="3"/>
    <x v="3"/>
    <n v="166504.55666666667"/>
    <x v="1"/>
  </r>
  <r>
    <x v="1"/>
    <x v="1"/>
    <x v="6"/>
    <x v="3"/>
    <x v="3"/>
    <n v="83461.05"/>
    <x v="1"/>
  </r>
  <r>
    <x v="1"/>
    <x v="1"/>
    <x v="7"/>
    <x v="3"/>
    <x v="3"/>
    <n v="285289.01"/>
    <x v="1"/>
  </r>
  <r>
    <x v="0"/>
    <x v="0"/>
    <x v="0"/>
    <x v="0"/>
    <x v="4"/>
    <n v="10052538"/>
    <x v="0"/>
  </r>
  <r>
    <x v="1"/>
    <x v="0"/>
    <x v="1"/>
    <x v="0"/>
    <x v="4"/>
    <n v="14999900"/>
    <x v="0"/>
  </r>
  <r>
    <x v="2"/>
    <x v="1"/>
    <x v="2"/>
    <x v="0"/>
    <x v="4"/>
    <n v="23978279"/>
    <x v="0"/>
  </r>
  <r>
    <x v="2"/>
    <x v="1"/>
    <x v="3"/>
    <x v="0"/>
    <x v="4"/>
    <n v="3150490"/>
    <x v="0"/>
  </r>
  <r>
    <x v="2"/>
    <x v="1"/>
    <x v="4"/>
    <x v="0"/>
    <x v="4"/>
    <n v="15336680"/>
    <x v="0"/>
  </r>
  <r>
    <x v="1"/>
    <x v="1"/>
    <x v="5"/>
    <x v="0"/>
    <x v="4"/>
    <n v="32509360"/>
    <x v="0"/>
  </r>
  <r>
    <x v="1"/>
    <x v="1"/>
    <x v="6"/>
    <x v="0"/>
    <x v="4"/>
    <n v="4561520"/>
    <x v="0"/>
  </r>
  <r>
    <x v="1"/>
    <x v="1"/>
    <x v="7"/>
    <x v="0"/>
    <x v="4"/>
    <n v="10874150"/>
    <x v="0"/>
  </r>
  <r>
    <x v="0"/>
    <x v="0"/>
    <x v="0"/>
    <x v="1"/>
    <x v="4"/>
    <n v="3360009.62"/>
    <x v="1"/>
  </r>
  <r>
    <x v="1"/>
    <x v="0"/>
    <x v="1"/>
    <x v="1"/>
    <x v="4"/>
    <n v="2145942.77"/>
    <x v="1"/>
  </r>
  <r>
    <x v="2"/>
    <x v="1"/>
    <x v="2"/>
    <x v="1"/>
    <x v="4"/>
    <n v="2402089.2000000002"/>
    <x v="1"/>
  </r>
  <r>
    <x v="2"/>
    <x v="1"/>
    <x v="3"/>
    <x v="1"/>
    <x v="4"/>
    <n v="1166386.73"/>
    <x v="1"/>
  </r>
  <r>
    <x v="2"/>
    <x v="1"/>
    <x v="4"/>
    <x v="1"/>
    <x v="4"/>
    <n v="3606612.9"/>
    <x v="1"/>
  </r>
  <r>
    <x v="1"/>
    <x v="1"/>
    <x v="5"/>
    <x v="1"/>
    <x v="4"/>
    <n v="3010405.33"/>
    <x v="1"/>
  </r>
  <r>
    <x v="1"/>
    <x v="1"/>
    <x v="6"/>
    <x v="1"/>
    <x v="4"/>
    <n v="1415584.96"/>
    <x v="1"/>
  </r>
  <r>
    <x v="1"/>
    <x v="1"/>
    <x v="7"/>
    <x v="1"/>
    <x v="4"/>
    <n v="953194"/>
    <x v="1"/>
  </r>
  <r>
    <x v="0"/>
    <x v="0"/>
    <x v="0"/>
    <x v="2"/>
    <x v="4"/>
    <n v="2934659.6433000001"/>
    <x v="1"/>
  </r>
  <r>
    <x v="1"/>
    <x v="0"/>
    <x v="1"/>
    <x v="2"/>
    <x v="4"/>
    <n v="3213838.2395699997"/>
    <x v="1"/>
  </r>
  <r>
    <x v="2"/>
    <x v="1"/>
    <x v="2"/>
    <x v="2"/>
    <x v="4"/>
    <n v="4562990.1903600004"/>
    <x v="1"/>
  </r>
  <r>
    <x v="2"/>
    <x v="1"/>
    <x v="3"/>
    <x v="2"/>
    <x v="4"/>
    <n v="797689.43036999996"/>
    <x v="1"/>
  </r>
  <r>
    <x v="2"/>
    <x v="1"/>
    <x v="4"/>
    <x v="2"/>
    <x v="4"/>
    <n v="2469244.1022900003"/>
    <x v="1"/>
  </r>
  <r>
    <x v="1"/>
    <x v="1"/>
    <x v="5"/>
    <x v="2"/>
    <x v="4"/>
    <n v="2525034.5725500002"/>
    <x v="1"/>
  </r>
  <r>
    <x v="1"/>
    <x v="1"/>
    <x v="6"/>
    <x v="2"/>
    <x v="4"/>
    <n v="1924583.0316300001"/>
    <x v="1"/>
  </r>
  <r>
    <x v="1"/>
    <x v="1"/>
    <x v="7"/>
    <x v="2"/>
    <x v="4"/>
    <n v="3743565.4185300004"/>
    <x v="1"/>
  </r>
  <r>
    <x v="0"/>
    <x v="0"/>
    <x v="0"/>
    <x v="3"/>
    <x v="4"/>
    <n v="191478.5"/>
    <x v="1"/>
  </r>
  <r>
    <x v="1"/>
    <x v="0"/>
    <x v="1"/>
    <x v="3"/>
    <x v="4"/>
    <n v="271100.95"/>
    <x v="1"/>
  </r>
  <r>
    <x v="2"/>
    <x v="1"/>
    <x v="2"/>
    <x v="3"/>
    <x v="4"/>
    <n v="1353670.44"/>
    <x v="1"/>
  </r>
  <r>
    <x v="2"/>
    <x v="1"/>
    <x v="3"/>
    <x v="3"/>
    <x v="4"/>
    <n v="39614.160000000003"/>
    <x v="1"/>
  </r>
  <r>
    <x v="2"/>
    <x v="1"/>
    <x v="4"/>
    <x v="3"/>
    <x v="4"/>
    <n v="211084.93"/>
    <x v="1"/>
  </r>
  <r>
    <x v="1"/>
    <x v="1"/>
    <x v="5"/>
    <x v="3"/>
    <x v="4"/>
    <n v="237510"/>
    <x v="1"/>
  </r>
  <r>
    <x v="1"/>
    <x v="1"/>
    <x v="6"/>
    <x v="3"/>
    <x v="4"/>
    <n v="118196.65000000001"/>
    <x v="1"/>
  </r>
  <r>
    <x v="1"/>
    <x v="1"/>
    <x v="7"/>
    <x v="3"/>
    <x v="4"/>
    <n v="336254.14"/>
    <x v="1"/>
  </r>
  <r>
    <x v="0"/>
    <x v="0"/>
    <x v="0"/>
    <x v="0"/>
    <x v="5"/>
    <n v="0"/>
    <x v="0"/>
  </r>
  <r>
    <x v="1"/>
    <x v="0"/>
    <x v="1"/>
    <x v="0"/>
    <x v="5"/>
    <n v="21851620"/>
    <x v="0"/>
  </r>
  <r>
    <x v="2"/>
    <x v="1"/>
    <x v="2"/>
    <x v="0"/>
    <x v="5"/>
    <n v="44687119"/>
    <x v="0"/>
  </r>
  <r>
    <x v="2"/>
    <x v="1"/>
    <x v="3"/>
    <x v="0"/>
    <x v="5"/>
    <n v="3287540"/>
    <x v="0"/>
  </r>
  <r>
    <x v="2"/>
    <x v="1"/>
    <x v="4"/>
    <x v="0"/>
    <x v="5"/>
    <n v="25739876"/>
    <x v="0"/>
  </r>
  <r>
    <x v="1"/>
    <x v="1"/>
    <x v="5"/>
    <x v="0"/>
    <x v="5"/>
    <n v="35443210"/>
    <x v="0"/>
  </r>
  <r>
    <x v="1"/>
    <x v="1"/>
    <x v="6"/>
    <x v="0"/>
    <x v="5"/>
    <n v="9767149"/>
    <x v="0"/>
  </r>
  <r>
    <x v="1"/>
    <x v="1"/>
    <x v="7"/>
    <x v="0"/>
    <x v="5"/>
    <n v="20184000"/>
    <x v="0"/>
  </r>
  <r>
    <x v="0"/>
    <x v="0"/>
    <x v="0"/>
    <x v="1"/>
    <x v="5"/>
    <n v="0"/>
    <x v="1"/>
  </r>
  <r>
    <x v="1"/>
    <x v="0"/>
    <x v="1"/>
    <x v="1"/>
    <x v="5"/>
    <n v="2375921.92"/>
    <x v="1"/>
  </r>
  <r>
    <x v="2"/>
    <x v="1"/>
    <x v="2"/>
    <x v="1"/>
    <x v="5"/>
    <n v="3310656.58"/>
    <x v="1"/>
  </r>
  <r>
    <x v="2"/>
    <x v="1"/>
    <x v="3"/>
    <x v="1"/>
    <x v="5"/>
    <n v="540862"/>
    <x v="1"/>
  </r>
  <r>
    <x v="2"/>
    <x v="1"/>
    <x v="4"/>
    <x v="1"/>
    <x v="5"/>
    <n v="3634940.87"/>
    <x v="1"/>
  </r>
  <r>
    <x v="1"/>
    <x v="1"/>
    <x v="5"/>
    <x v="1"/>
    <x v="5"/>
    <n v="2672967.96"/>
    <x v="1"/>
  </r>
  <r>
    <x v="1"/>
    <x v="1"/>
    <x v="6"/>
    <x v="1"/>
    <x v="5"/>
    <n v="1164596.76"/>
    <x v="1"/>
  </r>
  <r>
    <x v="1"/>
    <x v="1"/>
    <x v="7"/>
    <x v="1"/>
    <x v="5"/>
    <n v="956414"/>
    <x v="1"/>
  </r>
  <r>
    <x v="0"/>
    <x v="0"/>
    <x v="0"/>
    <x v="2"/>
    <x v="5"/>
    <n v="793002.02"/>
    <x v="1"/>
  </r>
  <r>
    <x v="1"/>
    <x v="0"/>
    <x v="1"/>
    <x v="2"/>
    <x v="5"/>
    <n v="4921852.1701219995"/>
    <x v="1"/>
  </r>
  <r>
    <x v="2"/>
    <x v="1"/>
    <x v="2"/>
    <x v="2"/>
    <x v="5"/>
    <n v="6276593.3444979992"/>
    <x v="1"/>
  </r>
  <r>
    <x v="2"/>
    <x v="1"/>
    <x v="3"/>
    <x v="2"/>
    <x v="5"/>
    <n v="1447369.1218730002"/>
    <x v="1"/>
  </r>
  <r>
    <x v="2"/>
    <x v="1"/>
    <x v="4"/>
    <x v="2"/>
    <x v="5"/>
    <n v="2988002.406589"/>
    <x v="1"/>
  </r>
  <r>
    <x v="1"/>
    <x v="1"/>
    <x v="5"/>
    <x v="2"/>
    <x v="5"/>
    <n v="4606184.9010080006"/>
    <x v="1"/>
  </r>
  <r>
    <x v="1"/>
    <x v="1"/>
    <x v="6"/>
    <x v="2"/>
    <x v="5"/>
    <n v="2035425.9284600001"/>
    <x v="1"/>
  </r>
  <r>
    <x v="1"/>
    <x v="1"/>
    <x v="7"/>
    <x v="2"/>
    <x v="5"/>
    <n v="3179852.2605179898"/>
    <x v="1"/>
  </r>
  <r>
    <x v="0"/>
    <x v="0"/>
    <x v="0"/>
    <x v="3"/>
    <x v="5"/>
    <n v="885312.31"/>
    <x v="1"/>
  </r>
  <r>
    <x v="1"/>
    <x v="0"/>
    <x v="1"/>
    <x v="3"/>
    <x v="5"/>
    <n v="215696.71"/>
    <x v="1"/>
  </r>
  <r>
    <x v="2"/>
    <x v="1"/>
    <x v="2"/>
    <x v="3"/>
    <x v="5"/>
    <n v="1730685.67"/>
    <x v="1"/>
  </r>
  <r>
    <x v="2"/>
    <x v="1"/>
    <x v="3"/>
    <x v="3"/>
    <x v="5"/>
    <n v="2000443"/>
    <x v="1"/>
  </r>
  <r>
    <x v="2"/>
    <x v="1"/>
    <x v="4"/>
    <x v="3"/>
    <x v="5"/>
    <n v="231848.83"/>
    <x v="1"/>
  </r>
  <r>
    <x v="1"/>
    <x v="1"/>
    <x v="5"/>
    <x v="3"/>
    <x v="5"/>
    <n v="128425.78"/>
    <x v="1"/>
  </r>
  <r>
    <x v="1"/>
    <x v="1"/>
    <x v="6"/>
    <x v="3"/>
    <x v="5"/>
    <n v="119133.85"/>
    <x v="1"/>
  </r>
  <r>
    <x v="1"/>
    <x v="1"/>
    <x v="7"/>
    <x v="3"/>
    <x v="5"/>
    <n v="287638.92"/>
    <x v="1"/>
  </r>
  <r>
    <x v="0"/>
    <x v="0"/>
    <x v="0"/>
    <x v="0"/>
    <x v="6"/>
    <n v="0"/>
    <x v="0"/>
  </r>
  <r>
    <x v="1"/>
    <x v="0"/>
    <x v="1"/>
    <x v="0"/>
    <x v="6"/>
    <n v="16091300"/>
    <x v="0"/>
  </r>
  <r>
    <x v="2"/>
    <x v="1"/>
    <x v="2"/>
    <x v="0"/>
    <x v="6"/>
    <n v="33033180"/>
    <x v="0"/>
  </r>
  <r>
    <x v="2"/>
    <x v="1"/>
    <x v="3"/>
    <x v="0"/>
    <x v="6"/>
    <n v="2853620"/>
    <x v="0"/>
  </r>
  <r>
    <x v="2"/>
    <x v="1"/>
    <x v="4"/>
    <x v="0"/>
    <x v="6"/>
    <n v="17076570"/>
    <x v="0"/>
  </r>
  <r>
    <x v="1"/>
    <x v="1"/>
    <x v="5"/>
    <x v="0"/>
    <x v="6"/>
    <n v="24391050"/>
    <x v="0"/>
  </r>
  <r>
    <x v="1"/>
    <x v="1"/>
    <x v="6"/>
    <x v="0"/>
    <x v="6"/>
    <n v="7597050"/>
    <x v="0"/>
  </r>
  <r>
    <x v="1"/>
    <x v="1"/>
    <x v="7"/>
    <x v="0"/>
    <x v="6"/>
    <n v="13943860"/>
    <x v="0"/>
  </r>
  <r>
    <x v="0"/>
    <x v="0"/>
    <x v="0"/>
    <x v="1"/>
    <x v="6"/>
    <n v="0"/>
    <x v="1"/>
  </r>
  <r>
    <x v="1"/>
    <x v="0"/>
    <x v="1"/>
    <x v="1"/>
    <x v="6"/>
    <n v="2382737.38"/>
    <x v="1"/>
  </r>
  <r>
    <x v="2"/>
    <x v="1"/>
    <x v="2"/>
    <x v="1"/>
    <x v="6"/>
    <n v="3332116.58"/>
    <x v="1"/>
  </r>
  <r>
    <x v="2"/>
    <x v="1"/>
    <x v="3"/>
    <x v="1"/>
    <x v="6"/>
    <n v="821068.89"/>
    <x v="1"/>
  </r>
  <r>
    <x v="2"/>
    <x v="1"/>
    <x v="4"/>
    <x v="1"/>
    <x v="6"/>
    <n v="3631434.89"/>
    <x v="1"/>
  </r>
  <r>
    <x v="1"/>
    <x v="1"/>
    <x v="5"/>
    <x v="1"/>
    <x v="6"/>
    <n v="2676375.6900000004"/>
    <x v="1"/>
  </r>
  <r>
    <x v="1"/>
    <x v="1"/>
    <x v="6"/>
    <x v="1"/>
    <x v="6"/>
    <n v="1168004.49"/>
    <x v="1"/>
  </r>
  <r>
    <x v="1"/>
    <x v="1"/>
    <x v="7"/>
    <x v="1"/>
    <x v="6"/>
    <n v="953230.92999999993"/>
    <x v="1"/>
  </r>
  <r>
    <x v="0"/>
    <x v="0"/>
    <x v="0"/>
    <x v="2"/>
    <x v="6"/>
    <m/>
    <x v="1"/>
  </r>
  <r>
    <x v="1"/>
    <x v="0"/>
    <x v="1"/>
    <x v="2"/>
    <x v="6"/>
    <n v="4520864.4537000004"/>
    <x v="1"/>
  </r>
  <r>
    <x v="2"/>
    <x v="1"/>
    <x v="2"/>
    <x v="2"/>
    <x v="6"/>
    <n v="7019683.5124999909"/>
    <x v="1"/>
  </r>
  <r>
    <x v="2"/>
    <x v="1"/>
    <x v="3"/>
    <x v="2"/>
    <x v="6"/>
    <n v="2296399.7143999999"/>
    <x v="1"/>
  </r>
  <r>
    <x v="2"/>
    <x v="1"/>
    <x v="4"/>
    <x v="2"/>
    <x v="6"/>
    <n v="3434634.9756"/>
    <x v="1"/>
  </r>
  <r>
    <x v="1"/>
    <x v="1"/>
    <x v="5"/>
    <x v="2"/>
    <x v="6"/>
    <n v="4232892.9722999902"/>
    <x v="1"/>
  </r>
  <r>
    <x v="1"/>
    <x v="1"/>
    <x v="6"/>
    <x v="2"/>
    <x v="6"/>
    <n v="2341500.4999499898"/>
    <x v="1"/>
  </r>
  <r>
    <x v="1"/>
    <x v="1"/>
    <x v="7"/>
    <x v="2"/>
    <x v="6"/>
    <n v="3429207.3599999901"/>
    <x v="1"/>
  </r>
  <r>
    <x v="0"/>
    <x v="0"/>
    <x v="0"/>
    <x v="3"/>
    <x v="6"/>
    <m/>
    <x v="1"/>
  </r>
  <r>
    <x v="1"/>
    <x v="0"/>
    <x v="1"/>
    <x v="3"/>
    <x v="6"/>
    <n v="324659.96000000002"/>
    <x v="1"/>
  </r>
  <r>
    <x v="2"/>
    <x v="1"/>
    <x v="2"/>
    <x v="3"/>
    <x v="6"/>
    <n v="1635733.92"/>
    <x v="1"/>
  </r>
  <r>
    <x v="2"/>
    <x v="1"/>
    <x v="3"/>
    <x v="3"/>
    <x v="6"/>
    <n v="58830"/>
    <x v="1"/>
  </r>
  <r>
    <x v="2"/>
    <x v="1"/>
    <x v="4"/>
    <x v="3"/>
    <x v="6"/>
    <n v="201527.02"/>
    <x v="1"/>
  </r>
  <r>
    <x v="1"/>
    <x v="1"/>
    <x v="5"/>
    <x v="3"/>
    <x v="6"/>
    <n v="146897.99"/>
    <x v="1"/>
  </r>
  <r>
    <x v="1"/>
    <x v="1"/>
    <x v="6"/>
    <x v="3"/>
    <x v="6"/>
    <n v="137554.66999999998"/>
    <x v="1"/>
  </r>
  <r>
    <x v="1"/>
    <x v="1"/>
    <x v="7"/>
    <x v="3"/>
    <x v="6"/>
    <n v="325369.83"/>
    <x v="1"/>
  </r>
  <r>
    <x v="0"/>
    <x v="0"/>
    <x v="0"/>
    <x v="0"/>
    <x v="7"/>
    <m/>
    <x v="0"/>
  </r>
  <r>
    <x v="1"/>
    <x v="0"/>
    <x v="1"/>
    <x v="0"/>
    <x v="7"/>
    <n v="14015923"/>
    <x v="0"/>
  </r>
  <r>
    <x v="2"/>
    <x v="1"/>
    <x v="2"/>
    <x v="0"/>
    <x v="7"/>
    <n v="35772422"/>
    <x v="0"/>
  </r>
  <r>
    <x v="2"/>
    <x v="1"/>
    <x v="3"/>
    <x v="0"/>
    <x v="7"/>
    <n v="4034430"/>
    <x v="0"/>
  </r>
  <r>
    <x v="2"/>
    <x v="1"/>
    <x v="4"/>
    <x v="0"/>
    <x v="7"/>
    <n v="15486300"/>
    <x v="0"/>
  </r>
  <r>
    <x v="1"/>
    <x v="1"/>
    <x v="5"/>
    <x v="0"/>
    <x v="7"/>
    <n v="23316110"/>
    <x v="0"/>
  </r>
  <r>
    <x v="1"/>
    <x v="1"/>
    <x v="6"/>
    <x v="0"/>
    <x v="7"/>
    <n v="7007130"/>
    <x v="0"/>
  </r>
  <r>
    <x v="1"/>
    <x v="1"/>
    <x v="7"/>
    <x v="0"/>
    <x v="7"/>
    <n v="16508620"/>
    <x v="0"/>
  </r>
  <r>
    <x v="0"/>
    <x v="0"/>
    <x v="0"/>
    <x v="1"/>
    <x v="7"/>
    <m/>
    <x v="1"/>
  </r>
  <r>
    <x v="1"/>
    <x v="0"/>
    <x v="1"/>
    <x v="1"/>
    <x v="7"/>
    <n v="2156054.98"/>
    <x v="1"/>
  </r>
  <r>
    <x v="2"/>
    <x v="1"/>
    <x v="2"/>
    <x v="1"/>
    <x v="7"/>
    <n v="2654438.2599999998"/>
    <x v="1"/>
  </r>
  <r>
    <x v="2"/>
    <x v="1"/>
    <x v="3"/>
    <x v="1"/>
    <x v="7"/>
    <n v="815338.14"/>
    <x v="1"/>
  </r>
  <r>
    <x v="2"/>
    <x v="1"/>
    <x v="4"/>
    <x v="1"/>
    <x v="7"/>
    <n v="3199043.5199999996"/>
    <x v="1"/>
  </r>
  <r>
    <x v="1"/>
    <x v="1"/>
    <x v="5"/>
    <x v="1"/>
    <x v="7"/>
    <n v="2101384.1799999997"/>
    <x v="1"/>
  </r>
  <r>
    <x v="1"/>
    <x v="1"/>
    <x v="6"/>
    <x v="1"/>
    <x v="7"/>
    <n v="1302750.98"/>
    <x v="1"/>
  </r>
  <r>
    <x v="1"/>
    <x v="1"/>
    <x v="7"/>
    <x v="1"/>
    <x v="7"/>
    <n v="1001535.79"/>
    <x v="1"/>
  </r>
  <r>
    <x v="0"/>
    <x v="0"/>
    <x v="0"/>
    <x v="2"/>
    <x v="7"/>
    <m/>
    <x v="1"/>
  </r>
  <r>
    <x v="1"/>
    <x v="0"/>
    <x v="1"/>
    <x v="2"/>
    <x v="7"/>
    <n v="4711699.4981999993"/>
    <x v="1"/>
  </r>
  <r>
    <x v="2"/>
    <x v="1"/>
    <x v="2"/>
    <x v="2"/>
    <x v="7"/>
    <n v="5916115.2444000002"/>
    <x v="1"/>
  </r>
  <r>
    <x v="2"/>
    <x v="1"/>
    <x v="3"/>
    <x v="2"/>
    <x v="7"/>
    <n v="2303093.8932999899"/>
    <x v="1"/>
  </r>
  <r>
    <x v="2"/>
    <x v="1"/>
    <x v="4"/>
    <x v="2"/>
    <x v="7"/>
    <n v="3457993.29"/>
    <x v="1"/>
  </r>
  <r>
    <x v="1"/>
    <x v="1"/>
    <x v="5"/>
    <x v="2"/>
    <x v="7"/>
    <n v="4663105.59"/>
    <x v="1"/>
  </r>
  <r>
    <x v="1"/>
    <x v="1"/>
    <x v="6"/>
    <x v="2"/>
    <x v="7"/>
    <n v="2921356.6"/>
    <x v="1"/>
  </r>
  <r>
    <x v="1"/>
    <x v="1"/>
    <x v="7"/>
    <x v="2"/>
    <x v="7"/>
    <n v="3409856.4498499995"/>
    <x v="1"/>
  </r>
  <r>
    <x v="0"/>
    <x v="0"/>
    <x v="0"/>
    <x v="3"/>
    <x v="7"/>
    <n v="160742.16000000003"/>
    <x v="1"/>
  </r>
  <r>
    <x v="1"/>
    <x v="0"/>
    <x v="1"/>
    <x v="3"/>
    <x v="7"/>
    <n v="289620.19"/>
    <x v="1"/>
  </r>
  <r>
    <x v="2"/>
    <x v="1"/>
    <x v="2"/>
    <x v="3"/>
    <x v="7"/>
    <n v="1831466.2999999998"/>
    <x v="1"/>
  </r>
  <r>
    <x v="2"/>
    <x v="1"/>
    <x v="3"/>
    <x v="3"/>
    <x v="7"/>
    <n v="100196.5"/>
    <x v="1"/>
  </r>
  <r>
    <x v="2"/>
    <x v="1"/>
    <x v="4"/>
    <x v="3"/>
    <x v="7"/>
    <n v="343699.47000000003"/>
    <x v="1"/>
  </r>
  <r>
    <x v="1"/>
    <x v="1"/>
    <x v="5"/>
    <x v="3"/>
    <x v="7"/>
    <n v="108542.57"/>
    <x v="1"/>
  </r>
  <r>
    <x v="1"/>
    <x v="1"/>
    <x v="6"/>
    <x v="3"/>
    <x v="7"/>
    <n v="178268.44"/>
    <x v="1"/>
  </r>
  <r>
    <x v="1"/>
    <x v="1"/>
    <x v="7"/>
    <x v="3"/>
    <x v="7"/>
    <n v="347427.62"/>
    <x v="1"/>
  </r>
  <r>
    <x v="0"/>
    <x v="0"/>
    <x v="0"/>
    <x v="0"/>
    <x v="8"/>
    <m/>
    <x v="0"/>
  </r>
  <r>
    <x v="1"/>
    <x v="0"/>
    <x v="1"/>
    <x v="0"/>
    <x v="8"/>
    <n v="17355500"/>
    <x v="0"/>
  </r>
  <r>
    <x v="2"/>
    <x v="1"/>
    <x v="2"/>
    <x v="0"/>
    <x v="8"/>
    <n v="29767639"/>
    <x v="0"/>
  </r>
  <r>
    <x v="2"/>
    <x v="1"/>
    <x v="3"/>
    <x v="0"/>
    <x v="8"/>
    <n v="4016350"/>
    <x v="0"/>
  </r>
  <r>
    <x v="2"/>
    <x v="1"/>
    <x v="4"/>
    <x v="0"/>
    <x v="8"/>
    <n v="17483909"/>
    <x v="0"/>
  </r>
  <r>
    <x v="1"/>
    <x v="1"/>
    <x v="5"/>
    <x v="0"/>
    <x v="8"/>
    <n v="24499270"/>
    <x v="0"/>
  </r>
  <r>
    <x v="1"/>
    <x v="1"/>
    <x v="6"/>
    <x v="0"/>
    <x v="8"/>
    <n v="10595670"/>
    <x v="0"/>
  </r>
  <r>
    <x v="1"/>
    <x v="1"/>
    <x v="7"/>
    <x v="0"/>
    <x v="8"/>
    <n v="16960280"/>
    <x v="0"/>
  </r>
  <r>
    <x v="0"/>
    <x v="0"/>
    <x v="0"/>
    <x v="1"/>
    <x v="8"/>
    <m/>
    <x v="1"/>
  </r>
  <r>
    <x v="1"/>
    <x v="0"/>
    <x v="1"/>
    <x v="1"/>
    <x v="8"/>
    <n v="2105437.42"/>
    <x v="1"/>
  </r>
  <r>
    <x v="2"/>
    <x v="1"/>
    <x v="2"/>
    <x v="1"/>
    <x v="8"/>
    <n v="2853389.06"/>
    <x v="1"/>
  </r>
  <r>
    <x v="2"/>
    <x v="1"/>
    <x v="3"/>
    <x v="1"/>
    <x v="8"/>
    <n v="881448.15999999992"/>
    <x v="1"/>
  </r>
  <r>
    <x v="2"/>
    <x v="1"/>
    <x v="4"/>
    <x v="1"/>
    <x v="8"/>
    <n v="3114002.61"/>
    <x v="1"/>
  </r>
  <r>
    <x v="1"/>
    <x v="1"/>
    <x v="5"/>
    <x v="1"/>
    <x v="8"/>
    <n v="2063766.2"/>
    <x v="1"/>
  </r>
  <r>
    <x v="1"/>
    <x v="1"/>
    <x v="6"/>
    <x v="1"/>
    <x v="8"/>
    <n v="1417632.2"/>
    <x v="1"/>
  </r>
  <r>
    <x v="1"/>
    <x v="1"/>
    <x v="7"/>
    <x v="1"/>
    <x v="8"/>
    <n v="907729.21"/>
    <x v="1"/>
  </r>
  <r>
    <x v="0"/>
    <x v="0"/>
    <x v="0"/>
    <x v="2"/>
    <x v="8"/>
    <m/>
    <x v="1"/>
  </r>
  <r>
    <x v="1"/>
    <x v="0"/>
    <x v="1"/>
    <x v="2"/>
    <x v="8"/>
    <n v="5411085.3059049696"/>
    <x v="1"/>
  </r>
  <r>
    <x v="2"/>
    <x v="1"/>
    <x v="2"/>
    <x v="2"/>
    <x v="8"/>
    <n v="6505796.9871799797"/>
    <x v="1"/>
  </r>
  <r>
    <x v="2"/>
    <x v="1"/>
    <x v="3"/>
    <x v="2"/>
    <x v="8"/>
    <n v="2410877.8552049999"/>
    <x v="1"/>
  </r>
  <r>
    <x v="2"/>
    <x v="1"/>
    <x v="4"/>
    <x v="2"/>
    <x v="8"/>
    <n v="4024702.3716599997"/>
    <x v="1"/>
  </r>
  <r>
    <x v="1"/>
    <x v="1"/>
    <x v="5"/>
    <x v="2"/>
    <x v="8"/>
    <n v="5528840.9081699811"/>
    <x v="1"/>
  </r>
  <r>
    <x v="1"/>
    <x v="1"/>
    <x v="6"/>
    <x v="2"/>
    <x v="8"/>
    <n v="2861990.7335999999"/>
    <x v="1"/>
  </r>
  <r>
    <x v="1"/>
    <x v="1"/>
    <x v="7"/>
    <x v="2"/>
    <x v="8"/>
    <n v="4072938.7972200001"/>
    <x v="1"/>
  </r>
  <r>
    <x v="0"/>
    <x v="0"/>
    <x v="0"/>
    <x v="3"/>
    <x v="8"/>
    <m/>
    <x v="1"/>
  </r>
  <r>
    <x v="1"/>
    <x v="0"/>
    <x v="1"/>
    <x v="3"/>
    <x v="8"/>
    <n v="191124.74"/>
    <x v="1"/>
  </r>
  <r>
    <x v="2"/>
    <x v="1"/>
    <x v="2"/>
    <x v="3"/>
    <x v="8"/>
    <n v="1208216.31"/>
    <x v="1"/>
  </r>
  <r>
    <x v="2"/>
    <x v="1"/>
    <x v="3"/>
    <x v="3"/>
    <x v="8"/>
    <n v="139251"/>
    <x v="1"/>
  </r>
  <r>
    <x v="2"/>
    <x v="1"/>
    <x v="4"/>
    <x v="3"/>
    <x v="8"/>
    <n v="204799.53"/>
    <x v="1"/>
  </r>
  <r>
    <x v="1"/>
    <x v="1"/>
    <x v="5"/>
    <x v="3"/>
    <x v="8"/>
    <n v="120334.86"/>
    <x v="1"/>
  </r>
  <r>
    <x v="1"/>
    <x v="1"/>
    <x v="6"/>
    <x v="3"/>
    <x v="8"/>
    <n v="113029.67"/>
    <x v="1"/>
  </r>
  <r>
    <x v="1"/>
    <x v="1"/>
    <x v="7"/>
    <x v="3"/>
    <x v="8"/>
    <n v="271715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3">
  <r>
    <n v="55"/>
    <s v="Carrizo Camila"/>
    <d v="2021-08-06T00:00:00"/>
    <x v="0"/>
    <n v="130"/>
    <n v="113"/>
    <n v="9"/>
    <m/>
    <s v="8.00"/>
    <s v="NO"/>
    <m/>
    <n v="21488"/>
    <n v="756162"/>
    <n v="961404.1"/>
    <n v="315915.45"/>
    <n v="1277319.55"/>
  </r>
  <r>
    <n v="103"/>
    <s v="Esposito Candela"/>
    <d v="2022-10-20T00:00:00"/>
    <x v="1"/>
    <n v="132"/>
    <n v="118"/>
    <n v="10"/>
    <m/>
    <s v="4.00"/>
    <s v="NO"/>
    <m/>
    <n v="35364"/>
    <n v="775549"/>
    <n v="986347.59"/>
    <n v="324361.92"/>
    <n v="1310709.51"/>
  </r>
  <r>
    <n v="120"/>
    <s v="Bertolo Milagros"/>
    <d v="2023-04-04T00:00:00"/>
    <x v="2"/>
    <n v="122"/>
    <n v="114"/>
    <n v="8"/>
    <m/>
    <m/>
    <s v="NO"/>
    <m/>
    <n v="26637"/>
    <n v="706709"/>
    <n v="898513.61"/>
    <n v="295354.8"/>
    <n v="1193868.4099999999"/>
  </r>
  <r>
    <n v="126"/>
    <s v="Barajas Barbara"/>
    <d v="2023-05-11T00:00:00"/>
    <x v="3"/>
    <n v="119"/>
    <n v="111"/>
    <n v="8"/>
    <m/>
    <m/>
    <s v="NO"/>
    <m/>
    <n v="29522"/>
    <n v="693300"/>
    <n v="881508.96"/>
    <n v="289844.05"/>
    <n v="1171353.01"/>
  </r>
  <r>
    <n v="131"/>
    <s v="De Brito Rocio"/>
    <d v="2023-06-08T00:00:00"/>
    <x v="4"/>
    <n v="116"/>
    <n v="116"/>
    <m/>
    <s v="8.00"/>
    <m/>
    <s v="NO"/>
    <m/>
    <n v="10146"/>
    <n v="632719"/>
    <n v="803637.59"/>
    <n v="263547.49"/>
    <n v="1067185.08"/>
  </r>
  <r>
    <n v="138"/>
    <s v="Lara Robbio"/>
    <d v="2023-08-01T00:00:00"/>
    <x v="1"/>
    <n v="119"/>
    <n v="107"/>
    <n v="8"/>
    <m/>
    <s v="4.00"/>
    <s v="NO"/>
    <m/>
    <n v="31772"/>
    <n v="688454"/>
    <n v="875371.68"/>
    <n v="287863.40000000002"/>
    <n v="1163235.08"/>
  </r>
  <r>
    <n v="139"/>
    <s v="Viña Sofia"/>
    <d v="2023-08-01T00:00:00"/>
    <x v="5"/>
    <n v="118"/>
    <n v="109"/>
    <n v="9"/>
    <m/>
    <m/>
    <s v="NO"/>
    <m/>
    <n v="26730"/>
    <n v="683112"/>
    <n v="868577"/>
    <n v="285640.84000000003"/>
    <n v="1154217.8400000001"/>
  </r>
  <r>
    <n v="143"/>
    <s v="Molina Agustina"/>
    <d v="2023-09-15T00:00:00"/>
    <x v="0"/>
    <n v="117"/>
    <n v="109"/>
    <n v="8"/>
    <m/>
    <m/>
    <s v="NO"/>
    <m/>
    <n v="20607"/>
    <n v="668503"/>
    <n v="849825.07"/>
    <n v="279335.02"/>
    <n v="1129160.0900000001"/>
  </r>
  <r>
    <n v="151"/>
    <s v="Kiara Corbalan"/>
    <d v="2023-10-02T00:00:00"/>
    <x v="0"/>
    <n v="117"/>
    <n v="109"/>
    <n v="8"/>
    <m/>
    <m/>
    <s v="NO"/>
    <m/>
    <n v="20607"/>
    <n v="668503"/>
    <n v="849825.07"/>
    <n v="279335.02"/>
    <n v="1129160.0900000001"/>
  </r>
  <r>
    <n v="161"/>
    <s v="Martínez Brisa"/>
    <d v="2023-12-12T00:00:00"/>
    <x v="0"/>
    <n v="113"/>
    <n v="100"/>
    <n v="9"/>
    <m/>
    <s v="4.00"/>
    <s v="NO"/>
    <m/>
    <n v="19198"/>
    <n v="650517"/>
    <n v="827010.13"/>
    <n v="271935.11"/>
    <n v="1098945.24"/>
  </r>
  <r>
    <n v="165"/>
    <s v="CORONEL Mailen"/>
    <d v="2024-01-20T00:00:00"/>
    <x v="4"/>
    <n v="114"/>
    <n v="114"/>
    <m/>
    <s v="8.00"/>
    <m/>
    <s v="NO"/>
    <m/>
    <n v="9971"/>
    <n v="615928"/>
    <n v="782280.78"/>
    <n v="209625.24"/>
    <n v="991906.02"/>
  </r>
  <r>
    <n v="170"/>
    <s v="Ruiz de la Torre Maitena"/>
    <d v="2024-02-23T00:00:00"/>
    <x v="5"/>
    <n v="117"/>
    <n v="104"/>
    <n v="5"/>
    <s v="4.00"/>
    <s v="8.00"/>
    <s v="NO"/>
    <m/>
    <n v="24691"/>
    <n v="662225"/>
    <n v="841724.34"/>
    <n v="276568.58"/>
    <n v="1118292.92"/>
  </r>
  <r>
    <n v="171"/>
    <s v="Gimenez Candela"/>
    <d v="2024-04-22T00:00:00"/>
    <x v="3"/>
    <n v="116"/>
    <n v="100"/>
    <n v="8"/>
    <m/>
    <s v="8.00"/>
    <s v="NO"/>
    <m/>
    <n v="26793"/>
    <n v="668507"/>
    <n v="849928.38"/>
    <n v="279468.14"/>
    <n v="1129396.52"/>
  </r>
  <r>
    <n v="173"/>
    <s v="Imperiale Candela"/>
    <d v="2024-06-04T00:00:00"/>
    <x v="5"/>
    <n v="132"/>
    <n v="122"/>
    <n v="10"/>
    <m/>
    <m/>
    <s v="NO"/>
    <m/>
    <n v="29901"/>
    <n v="763356"/>
    <n v="970743.05"/>
    <n v="319160.86"/>
    <n v="1289903.9099999999"/>
  </r>
  <r>
    <n v="174"/>
    <s v="Machuca Araceli"/>
    <d v="2024-07-04T00:00:00"/>
    <x v="2"/>
    <n v="120"/>
    <n v="108"/>
    <n v="8"/>
    <m/>
    <s v="4.00"/>
    <s v="NO"/>
    <m/>
    <n v="25327"/>
    <n v="681459"/>
    <n v="866364.52"/>
    <n v="284805.96999999997"/>
    <n v="1151170.49"/>
  </r>
  <r>
    <n v="186"/>
    <s v="Balmaceda Luciana"/>
    <d v="2024-10-22T00:00:00"/>
    <x v="5"/>
    <n v="117"/>
    <n v="108"/>
    <n v="9"/>
    <m/>
    <m/>
    <s v="NO"/>
    <m/>
    <n v="26503"/>
    <n v="671011"/>
    <n v="853174.93"/>
    <n v="280592.34000000003"/>
    <n v="1133767.27"/>
  </r>
  <r>
    <n v="189"/>
    <s v="Oliva Micaela"/>
    <d v="2024-11-01T00:00:00"/>
    <x v="3"/>
    <n v="118"/>
    <n v="109"/>
    <n v="9"/>
    <m/>
    <m/>
    <s v="NO"/>
    <m/>
    <n v="29058"/>
    <n v="678346"/>
    <n v="862542.1"/>
    <n v="283694.3"/>
    <n v="1146236.3999999999"/>
  </r>
  <r>
    <n v="190"/>
    <s v="Mohamad Daila"/>
    <d v="2024-11-01T00:00:00"/>
    <x v="6"/>
    <n v="130"/>
    <n v="121"/>
    <n v="9"/>
    <m/>
    <m/>
    <s v="NO"/>
    <m/>
    <n v="23197"/>
    <n v="735700"/>
    <n v="935380.74"/>
    <n v="307406.3"/>
    <n v="1242787.04"/>
  </r>
  <r>
    <n v="192"/>
    <s v="Sarapura Rebecca"/>
    <d v="2024-11-01T00:00:00"/>
    <x v="1"/>
    <n v="116"/>
    <n v="100"/>
    <n v="8"/>
    <m/>
    <s v="8.00"/>
    <s v="NO"/>
    <m/>
    <n v="28468"/>
    <n v="663338"/>
    <n v="843371.42"/>
    <n v="277341.25"/>
    <n v="1120712.67"/>
  </r>
  <r>
    <n v="194"/>
    <s v="Scholler Chavez Ruth"/>
    <d v="2024-12-13T00:00:00"/>
    <x v="2"/>
    <n v="119"/>
    <n v="111"/>
    <n v="8"/>
    <m/>
    <m/>
    <s v="NO"/>
    <m/>
    <n v="25982"/>
    <n v="676820"/>
    <n v="860475.75"/>
    <n v="282891.7"/>
    <n v="1143367.45"/>
  </r>
  <r>
    <n v="206"/>
    <s v="Morena Martinez"/>
    <d v="2025-02-25T00:00:00"/>
    <x v="1"/>
    <n v="118"/>
    <n v="110"/>
    <n v="8"/>
    <m/>
    <m/>
    <s v="NO"/>
    <m/>
    <n v="29959"/>
    <n v="674969"/>
    <n v="858184.69"/>
    <n v="282206.23"/>
    <n v="1140390.92"/>
  </r>
  <r>
    <n v="210"/>
    <s v="Dettoni Leguizamon Oriana"/>
    <d v="2025-04-12T00:00:00"/>
    <x v="5"/>
    <n v="118"/>
    <n v="113"/>
    <n v="5"/>
    <s v="4.00"/>
    <m/>
    <s v="NO"/>
    <m/>
    <m/>
    <n v="1159845"/>
    <n v="1333000"/>
    <n v="429142.65"/>
    <n v="1762142.65"/>
  </r>
  <r>
    <n v="213"/>
    <s v="Gonzalez Valentina"/>
    <d v="2025-05-12T00:00:00"/>
    <x v="6"/>
    <n v="130"/>
    <n v="121"/>
    <n v="9"/>
    <m/>
    <m/>
    <s v="NO"/>
    <m/>
    <m/>
    <n v="716225"/>
    <n v="910251.66"/>
    <n v="298824.68"/>
    <n v="1209076.34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TablaDinámica7" cacheId="3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V2:W10" firstHeaderRow="1" firstDataRow="1" firstDataCol="1"/>
  <pivotFields count="19">
    <pivotField showAll="0"/>
    <pivotField showAll="0"/>
    <pivotField numFmtId="169" showAll="0"/>
    <pivotField axis="axisRow" showAll="0">
      <items count="9">
        <item x="0"/>
        <item x="5"/>
        <item x="2"/>
        <item x="4"/>
        <item x="3"/>
        <item x="1"/>
        <item m="1" x="7"/>
        <item x="6"/>
        <item t="default"/>
      </items>
    </pivotField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numFmtId="4" showAll="0"/>
    <pivotField numFmtId="4" showAll="0"/>
    <pivotField numFmtId="2" showAll="0"/>
    <pivotField numFmtId="10" showAll="0"/>
    <pivotField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dataFields count="1">
    <dataField name="Suma de Costo total" fld="18" baseField="0" baseItem="0" numFmtId="164"/>
  </dataFields>
  <formats count="3"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3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V3:W11" firstHeaderRow="1" firstDataRow="1" firstDataCol="1"/>
  <pivotFields count="2"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istinto de Legajo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4-2025 (2)!$A$1:$D$26">
        <x15:activeTabTopLevelEntity name="[Rango4]"/>
      </x15:pivotTableUISettings>
    </ext>
  </extLst>
</pivotTableDefinition>
</file>

<file path=xl/pivotTables/pivotTable3.xml><?xml version="1.0" encoding="utf-8"?>
<pivotTableDefinition xmlns="http://schemas.openxmlformats.org/spreadsheetml/2006/main" name="TablaDinámica1" cacheId="3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S3:T11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" baseField="0" baseItem="0" numFmtId="164"/>
  </dataFields>
  <formats count="3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eldos 04-2025 (2)!$A$1:$P$27">
        <x15:activeTabTopLevelEntity name="[Rango3]"/>
      </x15:pivotTableUISettings>
    </ext>
  </extLst>
</pivotTableDefinition>
</file>

<file path=xl/pivotTables/pivotTable4.xml><?xml version="1.0" encoding="utf-8"?>
<pivotTableDefinition xmlns="http://schemas.openxmlformats.org/spreadsheetml/2006/main" name="TablaDinámica3" cacheId="3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T3:U11" firstHeaderRow="1" firstDataRow="1" firstDataCol="1"/>
  <pivotFields count="16">
    <pivotField showAll="0"/>
    <pivotField showAll="0"/>
    <pivotField numFmtId="14"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64"/>
  </dataFields>
  <formats count="3"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4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D3:AE11" firstHeaderRow="1" firstDataRow="1" firstDataCol="1"/>
  <pivotFields count="16">
    <pivotField showAll="0"/>
    <pivotField showAll="0"/>
    <pivotField numFmtId="14" showAll="0"/>
    <pivotField axis="axisRow" showAll="0">
      <items count="8">
        <item x="0"/>
        <item x="5"/>
        <item x="2"/>
        <item x="4"/>
        <item x="3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osto total" fld="15" baseField="0" baseItem="0" numFmtId="164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9" cacheId="41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6" indent="0" outline="1" outlineData="1" multipleFieldFilters="0">
  <location ref="A6:H13" firstHeaderRow="1" firstDataRow="3" firstDataCol="1" rowPageCount="4" colPageCount="1"/>
  <pivotFields count="9">
    <pivotField axis="axisPage" multipleItemSelectionAllowed="1" showAll="0">
      <items count="4">
        <item x="2"/>
        <item h="1" x="0"/>
        <item h="1" x="1"/>
        <item t="default"/>
      </items>
    </pivotField>
    <pivotField axis="axisPage" showAll="0">
      <items count="3">
        <item x="0"/>
        <item x="1"/>
        <item t="default"/>
      </items>
    </pivotField>
    <pivotField axis="axisPage" multipleItemSelectionAllowed="1" showAll="0">
      <items count="9">
        <item x="2"/>
        <item x="3"/>
        <item x="0"/>
        <item x="4"/>
        <item x="5"/>
        <item x="6"/>
        <item x="7"/>
        <item x="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Col" numFmtId="1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Page" showAll="0">
      <items count="3">
        <item x="1"/>
        <item x="0"/>
        <item t="default"/>
      </items>
    </pivotField>
    <pivotField showAll="0" defaultSubtotal="0">
      <items count="6">
        <item sd="0" x="0"/>
        <item x="1"/>
        <item sd="0" x="2"/>
        <item sd="0" x="3"/>
        <item sd="0" x="4"/>
        <item x="5"/>
      </items>
    </pivotField>
    <pivotField axis="axisCol" showAll="0" defaultSubtotal="0">
      <items count="4">
        <item sd="0" x="0"/>
        <item sd="0" x="1"/>
        <item x="2"/>
        <item x="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8"/>
    <field x="4"/>
  </colFields>
  <colItems count="7">
    <i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</colItems>
  <pageFields count="4">
    <pageField fld="1" item="1" hier="-1"/>
    <pageField fld="6" hier="-1"/>
    <pageField fld="0" hier="-1"/>
    <pageField fld="2" hier="-1"/>
  </pageFields>
  <dataFields count="1">
    <dataField name="Suma de Importe" fld="5" baseField="3" baseItem="0" numFmtId="4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showGridLines="0" workbookViewId="0">
      <selection activeCell="G10" sqref="G10"/>
    </sheetView>
  </sheetViews>
  <sheetFormatPr baseColWidth="10" defaultRowHeight="14"/>
  <cols>
    <col min="1" max="1" width="5.58203125" bestFit="1" customWidth="1"/>
    <col min="2" max="2" width="32.6640625" bestFit="1" customWidth="1"/>
    <col min="3" max="3" width="6.6640625" bestFit="1" customWidth="1"/>
    <col min="4" max="4" width="10.6640625" bestFit="1" customWidth="1"/>
    <col min="5" max="6" width="11.1640625" bestFit="1" customWidth="1"/>
    <col min="7" max="7" width="12.6640625" bestFit="1" customWidth="1"/>
    <col min="8" max="8" width="12.6640625" customWidth="1"/>
    <col min="9" max="9" width="12.58203125" bestFit="1" customWidth="1"/>
    <col min="11" max="11" width="15.33203125" customWidth="1"/>
    <col min="12" max="12" width="9.9140625" customWidth="1"/>
  </cols>
  <sheetData>
    <row r="1" spans="1:11">
      <c r="A1" s="5" t="s">
        <v>40</v>
      </c>
      <c r="B1" s="33" t="s">
        <v>41</v>
      </c>
      <c r="C1" s="33" t="s">
        <v>42</v>
      </c>
      <c r="D1" s="33" t="s">
        <v>81</v>
      </c>
      <c r="E1" s="5" t="s">
        <v>43</v>
      </c>
      <c r="F1" s="33" t="s">
        <v>44</v>
      </c>
      <c r="G1" s="33" t="s">
        <v>79</v>
      </c>
      <c r="H1" s="33" t="s">
        <v>80</v>
      </c>
      <c r="I1" s="33" t="s">
        <v>45</v>
      </c>
    </row>
    <row r="2" spans="1:11">
      <c r="A2" s="5">
        <v>177</v>
      </c>
      <c r="B2" s="5" t="s">
        <v>62</v>
      </c>
      <c r="C2" s="25">
        <v>45689</v>
      </c>
      <c r="D2" s="26"/>
      <c r="E2" s="23">
        <v>558728</v>
      </c>
      <c r="F2" s="23">
        <v>696925.79</v>
      </c>
      <c r="G2" s="23"/>
      <c r="H2" s="23"/>
      <c r="I2" s="5" t="s">
        <v>85</v>
      </c>
    </row>
    <row r="3" spans="1:11">
      <c r="A3" s="5">
        <v>178</v>
      </c>
      <c r="B3" s="5" t="s">
        <v>63</v>
      </c>
      <c r="C3" s="25">
        <v>45689</v>
      </c>
      <c r="D3" s="26"/>
      <c r="E3" s="23">
        <v>459522</v>
      </c>
      <c r="F3" s="23">
        <v>570513.93999999994</v>
      </c>
      <c r="G3" s="23"/>
      <c r="H3" s="23"/>
      <c r="I3" s="5" t="s">
        <v>85</v>
      </c>
    </row>
    <row r="4" spans="1:11">
      <c r="A4" s="5">
        <v>181</v>
      </c>
      <c r="B4" s="5" t="s">
        <v>64</v>
      </c>
      <c r="C4" s="25">
        <v>45689</v>
      </c>
      <c r="D4" s="26"/>
      <c r="E4" s="23">
        <v>448405</v>
      </c>
      <c r="F4" s="23">
        <v>556967.31000000006</v>
      </c>
      <c r="G4" s="23"/>
      <c r="H4" s="23"/>
      <c r="I4" s="5" t="s">
        <v>85</v>
      </c>
    </row>
    <row r="5" spans="1:11">
      <c r="A5" s="5">
        <v>184</v>
      </c>
      <c r="B5" s="5" t="s">
        <v>65</v>
      </c>
      <c r="C5" s="25">
        <v>45689</v>
      </c>
      <c r="D5" s="26"/>
      <c r="E5" s="23">
        <v>503200</v>
      </c>
      <c r="F5" s="23">
        <v>627271.86</v>
      </c>
      <c r="G5" s="23"/>
      <c r="H5" s="23"/>
      <c r="I5" s="5" t="s">
        <v>85</v>
      </c>
      <c r="J5" s="37"/>
    </row>
    <row r="6" spans="1:11">
      <c r="A6" s="5">
        <v>55</v>
      </c>
      <c r="B6" s="5" t="s">
        <v>46</v>
      </c>
      <c r="C6" s="25">
        <v>45689</v>
      </c>
      <c r="D6" s="26"/>
      <c r="E6" s="23">
        <v>650871</v>
      </c>
      <c r="F6" s="23">
        <v>812261.2</v>
      </c>
      <c r="G6" s="23"/>
      <c r="H6" s="23"/>
      <c r="I6" s="5" t="s">
        <v>82</v>
      </c>
      <c r="J6" s="37"/>
    </row>
    <row r="7" spans="1:11">
      <c r="A7" s="5">
        <v>151</v>
      </c>
      <c r="B7" s="5" t="s">
        <v>55</v>
      </c>
      <c r="C7" s="25">
        <v>45689</v>
      </c>
      <c r="D7" s="26"/>
      <c r="E7" s="23">
        <v>504771</v>
      </c>
      <c r="F7" s="23">
        <v>625263.14</v>
      </c>
      <c r="G7" s="23"/>
      <c r="H7" s="23"/>
      <c r="I7" s="5" t="s">
        <v>82</v>
      </c>
      <c r="J7" s="37"/>
    </row>
    <row r="8" spans="1:11">
      <c r="A8" s="5">
        <v>161</v>
      </c>
      <c r="B8" s="5" t="s">
        <v>56</v>
      </c>
      <c r="C8" s="25">
        <v>45689</v>
      </c>
      <c r="D8" s="26"/>
      <c r="E8" s="23">
        <v>592485</v>
      </c>
      <c r="F8" s="23">
        <v>739248.26</v>
      </c>
      <c r="G8" s="23"/>
      <c r="H8" s="23"/>
      <c r="I8" s="5" t="s">
        <v>82</v>
      </c>
      <c r="J8" s="37"/>
    </row>
    <row r="9" spans="1:11">
      <c r="A9" s="5">
        <v>201</v>
      </c>
      <c r="B9" s="5" t="s">
        <v>72</v>
      </c>
      <c r="C9" s="25">
        <v>45689</v>
      </c>
      <c r="D9" s="26"/>
      <c r="E9" s="23">
        <v>407934</v>
      </c>
      <c r="F9" s="23">
        <v>508138.21</v>
      </c>
      <c r="G9" s="23"/>
      <c r="H9" s="23"/>
      <c r="I9" s="5" t="s">
        <v>82</v>
      </c>
      <c r="J9" s="37"/>
    </row>
    <row r="10" spans="1:11">
      <c r="A10" s="5">
        <v>139</v>
      </c>
      <c r="B10" s="5" t="s">
        <v>53</v>
      </c>
      <c r="C10" s="25">
        <v>45689</v>
      </c>
      <c r="D10" s="26"/>
      <c r="E10" s="23">
        <v>538536</v>
      </c>
      <c r="F10" s="23">
        <v>672054.61</v>
      </c>
      <c r="G10" s="23"/>
      <c r="H10" s="23"/>
      <c r="I10" s="5" t="s">
        <v>84</v>
      </c>
      <c r="J10" s="37"/>
    </row>
    <row r="11" spans="1:11">
      <c r="A11" s="5">
        <v>170</v>
      </c>
      <c r="B11" s="5" t="s">
        <v>58</v>
      </c>
      <c r="C11" s="25">
        <v>45689</v>
      </c>
      <c r="D11" s="26"/>
      <c r="E11" s="23">
        <v>561694</v>
      </c>
      <c r="F11" s="23">
        <v>698913.68</v>
      </c>
      <c r="G11" s="23"/>
      <c r="H11" s="23"/>
      <c r="I11" s="5" t="s">
        <v>84</v>
      </c>
      <c r="J11" s="37"/>
      <c r="K11" s="13"/>
    </row>
    <row r="12" spans="1:11">
      <c r="A12" s="5">
        <v>173</v>
      </c>
      <c r="B12" s="5" t="s">
        <v>60</v>
      </c>
      <c r="C12" s="25">
        <v>45689</v>
      </c>
      <c r="D12" s="26"/>
      <c r="E12" s="23">
        <v>285914</v>
      </c>
      <c r="F12" s="23">
        <v>343710.83</v>
      </c>
      <c r="G12" s="23"/>
      <c r="H12" s="23"/>
      <c r="I12" s="5" t="s">
        <v>84</v>
      </c>
      <c r="J12" s="37"/>
      <c r="K12" s="13"/>
    </row>
    <row r="13" spans="1:11">
      <c r="A13" s="5">
        <v>186</v>
      </c>
      <c r="B13" s="5" t="s">
        <v>66</v>
      </c>
      <c r="C13" s="25">
        <v>45689</v>
      </c>
      <c r="D13" s="26"/>
      <c r="E13" s="23">
        <v>581315</v>
      </c>
      <c r="F13" s="23">
        <v>725471.98</v>
      </c>
      <c r="G13" s="23"/>
      <c r="H13" s="23"/>
      <c r="I13" s="5" t="s">
        <v>84</v>
      </c>
      <c r="J13" s="37"/>
    </row>
    <row r="14" spans="1:11">
      <c r="A14" s="5">
        <v>197</v>
      </c>
      <c r="B14" s="5" t="s">
        <v>71</v>
      </c>
      <c r="C14" s="25">
        <v>45689</v>
      </c>
      <c r="D14" s="26"/>
      <c r="E14" s="23">
        <v>545617</v>
      </c>
      <c r="F14" s="23">
        <v>680008.52</v>
      </c>
      <c r="G14" s="23"/>
      <c r="H14" s="23"/>
      <c r="I14" s="5" t="s">
        <v>84</v>
      </c>
      <c r="J14" s="37"/>
    </row>
    <row r="15" spans="1:11">
      <c r="A15" s="5">
        <v>202</v>
      </c>
      <c r="B15" s="5" t="s">
        <v>73</v>
      </c>
      <c r="C15" s="25">
        <v>45689</v>
      </c>
      <c r="D15" s="26"/>
      <c r="E15" s="23">
        <v>555113</v>
      </c>
      <c r="F15" s="23">
        <v>691862.26</v>
      </c>
      <c r="G15" s="23"/>
      <c r="H15" s="23"/>
      <c r="I15" s="5" t="s">
        <v>84</v>
      </c>
      <c r="J15" s="37"/>
    </row>
    <row r="16" spans="1:11">
      <c r="A16" s="5">
        <v>80</v>
      </c>
      <c r="B16" s="5" t="s">
        <v>47</v>
      </c>
      <c r="C16" s="25">
        <v>45689</v>
      </c>
      <c r="D16" s="26"/>
      <c r="E16" s="23">
        <v>669303</v>
      </c>
      <c r="F16" s="23">
        <v>835222.55</v>
      </c>
      <c r="G16" s="23"/>
      <c r="H16" s="23"/>
      <c r="I16" s="5" t="s">
        <v>86</v>
      </c>
      <c r="J16" s="37"/>
    </row>
    <row r="17" spans="1:10">
      <c r="A17" s="5">
        <v>120</v>
      </c>
      <c r="B17" s="5" t="s">
        <v>49</v>
      </c>
      <c r="C17" s="25">
        <v>45689</v>
      </c>
      <c r="D17" s="26"/>
      <c r="E17" s="23">
        <v>616877</v>
      </c>
      <c r="F17" s="23">
        <v>769714.45</v>
      </c>
      <c r="G17" s="23"/>
      <c r="H17" s="23"/>
      <c r="I17" s="5" t="s">
        <v>86</v>
      </c>
      <c r="J17" s="37"/>
    </row>
    <row r="18" spans="1:10">
      <c r="A18" s="5">
        <v>174</v>
      </c>
      <c r="B18" s="5" t="s">
        <v>61</v>
      </c>
      <c r="C18" s="25">
        <v>45689</v>
      </c>
      <c r="D18" s="26"/>
      <c r="E18" s="23">
        <v>613547</v>
      </c>
      <c r="F18" s="23">
        <v>765465.59999999998</v>
      </c>
      <c r="G18" s="23"/>
      <c r="H18" s="23"/>
      <c r="I18" s="5" t="s">
        <v>86</v>
      </c>
      <c r="J18" s="37"/>
    </row>
    <row r="19" spans="1:10">
      <c r="A19" s="5">
        <v>194</v>
      </c>
      <c r="B19" s="5" t="s">
        <v>70</v>
      </c>
      <c r="C19" s="25">
        <v>45689</v>
      </c>
      <c r="D19" s="26"/>
      <c r="E19" s="23">
        <v>607337</v>
      </c>
      <c r="F19" s="23">
        <v>757053.89</v>
      </c>
      <c r="G19" s="23"/>
      <c r="H19" s="23"/>
      <c r="I19" s="5" t="s">
        <v>86</v>
      </c>
      <c r="J19" s="37"/>
    </row>
    <row r="20" spans="1:10">
      <c r="A20" s="5">
        <v>131</v>
      </c>
      <c r="B20" s="5" t="s">
        <v>51</v>
      </c>
      <c r="C20" s="25">
        <v>45689</v>
      </c>
      <c r="D20" s="26"/>
      <c r="E20" s="23">
        <v>243351</v>
      </c>
      <c r="F20" s="23">
        <v>291775.07</v>
      </c>
      <c r="G20" s="23"/>
      <c r="H20" s="23"/>
      <c r="I20" s="5" t="s">
        <v>87</v>
      </c>
      <c r="J20" s="37"/>
    </row>
    <row r="21" spans="1:10">
      <c r="A21" s="5">
        <v>165</v>
      </c>
      <c r="B21" s="5" t="s">
        <v>57</v>
      </c>
      <c r="C21" s="25">
        <v>45689</v>
      </c>
      <c r="D21" s="26"/>
      <c r="E21" s="23">
        <v>309439</v>
      </c>
      <c r="F21" s="23">
        <v>374632.14</v>
      </c>
      <c r="G21" s="23"/>
      <c r="H21" s="23"/>
      <c r="I21" s="5" t="s">
        <v>87</v>
      </c>
      <c r="J21" s="37"/>
    </row>
    <row r="22" spans="1:10">
      <c r="A22" s="22">
        <v>204</v>
      </c>
      <c r="B22" s="22" t="s">
        <v>74</v>
      </c>
      <c r="C22" s="27">
        <v>45689</v>
      </c>
      <c r="D22" s="28"/>
      <c r="E22" s="24">
        <v>550365</v>
      </c>
      <c r="F22" s="24">
        <v>685935.4</v>
      </c>
      <c r="G22" s="24"/>
      <c r="H22" s="24"/>
      <c r="I22" s="22" t="s">
        <v>83</v>
      </c>
    </row>
    <row r="23" spans="1:10">
      <c r="A23" s="5">
        <v>126</v>
      </c>
      <c r="B23" s="5" t="s">
        <v>50</v>
      </c>
      <c r="C23" s="25">
        <v>45689</v>
      </c>
      <c r="D23" s="26"/>
      <c r="E23" s="23">
        <v>631988</v>
      </c>
      <c r="F23" s="23">
        <v>789011.12</v>
      </c>
      <c r="G23" s="23"/>
      <c r="H23" s="23"/>
      <c r="I23" s="5" t="s">
        <v>88</v>
      </c>
      <c r="J23" s="37"/>
    </row>
    <row r="24" spans="1:10">
      <c r="A24" s="5">
        <v>171</v>
      </c>
      <c r="B24" s="5" t="s">
        <v>59</v>
      </c>
      <c r="C24" s="25">
        <v>45689</v>
      </c>
      <c r="D24" s="26"/>
      <c r="E24" s="23">
        <v>402440</v>
      </c>
      <c r="F24" s="23">
        <v>491673.17</v>
      </c>
      <c r="G24" s="23"/>
      <c r="H24" s="23"/>
      <c r="I24" s="5" t="s">
        <v>88</v>
      </c>
      <c r="J24" s="37"/>
    </row>
    <row r="25" spans="1:10">
      <c r="A25" s="5">
        <v>189</v>
      </c>
      <c r="B25" s="5" t="s">
        <v>67</v>
      </c>
      <c r="C25" s="25">
        <v>45689</v>
      </c>
      <c r="D25" s="26"/>
      <c r="E25" s="23">
        <v>626807</v>
      </c>
      <c r="F25" s="23">
        <v>782176.28</v>
      </c>
      <c r="G25" s="23"/>
      <c r="H25" s="23"/>
      <c r="I25" s="5" t="s">
        <v>88</v>
      </c>
      <c r="J25" s="37"/>
    </row>
    <row r="26" spans="1:10">
      <c r="A26" s="5">
        <v>103</v>
      </c>
      <c r="B26" s="5" t="s">
        <v>48</v>
      </c>
      <c r="C26" s="25">
        <v>45689</v>
      </c>
      <c r="D26" s="26"/>
      <c r="E26" s="23">
        <v>669275</v>
      </c>
      <c r="F26" s="23">
        <v>836263.46</v>
      </c>
      <c r="G26" s="23"/>
      <c r="H26" s="23"/>
      <c r="I26" s="5" t="s">
        <v>78</v>
      </c>
      <c r="J26" s="37"/>
    </row>
    <row r="27" spans="1:10">
      <c r="A27" s="5">
        <v>138</v>
      </c>
      <c r="B27" s="5" t="s">
        <v>52</v>
      </c>
      <c r="C27" s="25">
        <v>45689</v>
      </c>
      <c r="D27" s="26"/>
      <c r="E27" s="23">
        <v>652470</v>
      </c>
      <c r="F27" s="23">
        <v>815237.89</v>
      </c>
      <c r="G27" s="23"/>
      <c r="H27" s="23"/>
      <c r="I27" s="5" t="s">
        <v>78</v>
      </c>
      <c r="J27" s="37"/>
    </row>
    <row r="28" spans="1:10">
      <c r="A28" s="5">
        <v>143</v>
      </c>
      <c r="B28" s="5" t="s">
        <v>54</v>
      </c>
      <c r="C28" s="25">
        <v>45689</v>
      </c>
      <c r="D28" s="26"/>
      <c r="E28" s="23">
        <v>292703</v>
      </c>
      <c r="F28" s="23">
        <v>352835.96</v>
      </c>
      <c r="G28" s="23"/>
      <c r="H28" s="23"/>
      <c r="I28" s="5" t="s">
        <v>78</v>
      </c>
      <c r="J28" s="37"/>
    </row>
    <row r="29" spans="1:10">
      <c r="A29" s="5">
        <v>206</v>
      </c>
      <c r="B29" s="5" t="s">
        <v>76</v>
      </c>
      <c r="C29" s="25">
        <v>45689</v>
      </c>
      <c r="D29" s="26"/>
      <c r="E29" s="23">
        <v>85091</v>
      </c>
      <c r="F29" s="23">
        <v>105131.84</v>
      </c>
      <c r="G29" s="23"/>
      <c r="H29" s="23"/>
      <c r="I29" s="5" t="s">
        <v>78</v>
      </c>
      <c r="J29" s="37"/>
    </row>
    <row r="30" spans="1:10">
      <c r="A30" s="5">
        <v>190</v>
      </c>
      <c r="B30" s="5" t="s">
        <v>68</v>
      </c>
      <c r="C30" s="25">
        <v>45689</v>
      </c>
      <c r="D30" s="26"/>
      <c r="E30" s="23">
        <v>608083</v>
      </c>
      <c r="F30" s="23">
        <v>758016.41</v>
      </c>
      <c r="G30" s="23"/>
      <c r="H30" s="23"/>
      <c r="I30" s="5" t="s">
        <v>77</v>
      </c>
      <c r="J30" s="37"/>
    </row>
    <row r="31" spans="1:10">
      <c r="A31" s="5">
        <v>192</v>
      </c>
      <c r="B31" s="5" t="s">
        <v>69</v>
      </c>
      <c r="C31" s="25">
        <v>45689</v>
      </c>
      <c r="D31" s="26"/>
      <c r="E31" s="23">
        <v>601885</v>
      </c>
      <c r="F31" s="23">
        <v>750617.41</v>
      </c>
      <c r="G31" s="23"/>
      <c r="H31" s="23"/>
      <c r="I31" s="5" t="s">
        <v>77</v>
      </c>
    </row>
    <row r="32" spans="1:10">
      <c r="A32" s="5">
        <v>205</v>
      </c>
      <c r="B32" s="5" t="s">
        <v>75</v>
      </c>
      <c r="C32" s="25">
        <v>45689</v>
      </c>
      <c r="D32" s="26"/>
      <c r="E32" s="23">
        <v>80343</v>
      </c>
      <c r="F32" s="23">
        <v>99204.97</v>
      </c>
      <c r="G32" s="23"/>
      <c r="H32" s="23"/>
      <c r="I32" s="5" t="s">
        <v>77</v>
      </c>
      <c r="J32" s="37"/>
    </row>
  </sheetData>
  <autoFilter ref="A1:L32"/>
  <sortState ref="K3:L9">
    <sortCondition ref="K3:K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Y1001"/>
  <sheetViews>
    <sheetView topLeftCell="N1" workbookViewId="0">
      <selection activeCell="T8" sqref="T8"/>
    </sheetView>
  </sheetViews>
  <sheetFormatPr baseColWidth="10" defaultColWidth="11.58203125" defaultRowHeight="15.75" customHeight="1"/>
  <cols>
    <col min="1" max="1" width="5.5" style="58" customWidth="1"/>
    <col min="2" max="2" width="19.5" style="58" customWidth="1"/>
    <col min="3" max="3" width="9.08203125" style="58" bestFit="1" customWidth="1"/>
    <col min="4" max="4" width="13.1640625" style="58" customWidth="1"/>
    <col min="5" max="5" width="10.1640625" style="58" customWidth="1"/>
    <col min="6" max="6" width="9.1640625" style="58" customWidth="1"/>
    <col min="7" max="7" width="10.33203125" style="58" customWidth="1"/>
    <col min="8" max="8" width="8.33203125" style="58" customWidth="1"/>
    <col min="9" max="10" width="12.1640625" style="58" customWidth="1"/>
    <col min="11" max="11" width="13.5" style="58" customWidth="1"/>
    <col min="12" max="12" width="12.1640625" style="58" customWidth="1"/>
    <col min="13" max="13" width="12.9140625" style="58" customWidth="1"/>
    <col min="14" max="14" width="13.83203125" style="58" customWidth="1"/>
    <col min="15" max="15" width="12.83203125" style="58" customWidth="1"/>
    <col min="16" max="19" width="11.58203125" style="58"/>
    <col min="20" max="20" width="13.83203125" style="58" customWidth="1"/>
    <col min="21" max="21" width="11.58203125" style="58"/>
    <col min="22" max="22" width="17.08203125" style="58" customWidth="1"/>
    <col min="23" max="23" width="18.08203125" style="58" bestFit="1" customWidth="1"/>
    <col min="24" max="16384" width="11.58203125" style="58"/>
  </cols>
  <sheetData>
    <row r="1" spans="1:25" ht="65">
      <c r="A1" s="73" t="s">
        <v>40</v>
      </c>
      <c r="B1" s="73" t="s">
        <v>41</v>
      </c>
      <c r="C1" s="73" t="s">
        <v>100</v>
      </c>
      <c r="D1" s="73" t="s">
        <v>101</v>
      </c>
      <c r="E1" s="74" t="s">
        <v>102</v>
      </c>
      <c r="F1" s="73" t="s">
        <v>104</v>
      </c>
      <c r="G1" s="74" t="s">
        <v>103</v>
      </c>
      <c r="H1" s="73" t="s">
        <v>139</v>
      </c>
      <c r="I1" s="75" t="s">
        <v>193</v>
      </c>
      <c r="J1" s="73" t="s">
        <v>105</v>
      </c>
      <c r="K1" s="73" t="s">
        <v>194</v>
      </c>
      <c r="L1" s="73" t="s">
        <v>142</v>
      </c>
      <c r="M1" s="73" t="s">
        <v>43</v>
      </c>
      <c r="N1" s="73" t="s">
        <v>44</v>
      </c>
      <c r="O1" s="76" t="s">
        <v>195</v>
      </c>
      <c r="P1" s="73" t="s">
        <v>196</v>
      </c>
      <c r="Q1" s="73" t="s">
        <v>80</v>
      </c>
      <c r="R1" s="73" t="s">
        <v>197</v>
      </c>
      <c r="S1" s="73" t="s">
        <v>107</v>
      </c>
      <c r="T1" s="73" t="s">
        <v>143</v>
      </c>
      <c r="U1" s="57"/>
    </row>
    <row r="2" spans="1:25" ht="15.75" hidden="1" customHeight="1">
      <c r="A2" s="59">
        <v>55</v>
      </c>
      <c r="B2" s="59" t="s">
        <v>118</v>
      </c>
      <c r="C2" s="77">
        <v>44414</v>
      </c>
      <c r="D2" s="59" t="s">
        <v>91</v>
      </c>
      <c r="E2" s="61">
        <v>132</v>
      </c>
      <c r="F2" s="61">
        <v>117</v>
      </c>
      <c r="G2" s="61">
        <v>15</v>
      </c>
      <c r="H2" s="59"/>
      <c r="I2" s="62"/>
      <c r="J2" s="61" t="s">
        <v>108</v>
      </c>
      <c r="K2" s="59"/>
      <c r="L2" s="61">
        <v>16926</v>
      </c>
      <c r="M2" s="61">
        <v>788702</v>
      </c>
      <c r="N2" s="61">
        <v>870222.33</v>
      </c>
      <c r="O2" s="78">
        <v>321112.03976999997</v>
      </c>
      <c r="P2" s="79">
        <v>0.36899999999999999</v>
      </c>
      <c r="Q2" s="59">
        <v>1227</v>
      </c>
      <c r="R2" s="61">
        <v>528348.23976999999</v>
      </c>
      <c r="S2" s="61">
        <v>1191334.36977</v>
      </c>
      <c r="T2" s="59"/>
      <c r="U2" s="59"/>
      <c r="V2" s="10" t="s">
        <v>28</v>
      </c>
      <c r="W2" t="s">
        <v>109</v>
      </c>
      <c r="X2"/>
    </row>
    <row r="3" spans="1:25" ht="15.75" hidden="1" customHeight="1">
      <c r="A3" s="59">
        <v>103</v>
      </c>
      <c r="B3" s="59" t="s">
        <v>48</v>
      </c>
      <c r="C3" s="77">
        <v>44854</v>
      </c>
      <c r="D3" s="59" t="s">
        <v>110</v>
      </c>
      <c r="E3" s="61">
        <v>130</v>
      </c>
      <c r="F3" s="61">
        <v>114</v>
      </c>
      <c r="G3" s="61">
        <v>16</v>
      </c>
      <c r="H3" s="59"/>
      <c r="I3" s="62"/>
      <c r="J3" s="61" t="s">
        <v>108</v>
      </c>
      <c r="K3" s="59"/>
      <c r="L3" s="61">
        <v>33034</v>
      </c>
      <c r="M3" s="61">
        <v>965285</v>
      </c>
      <c r="N3" s="61">
        <v>1101576.31</v>
      </c>
      <c r="O3" s="78">
        <v>417277.10622800002</v>
      </c>
      <c r="P3" s="79">
        <v>0.37880000000000003</v>
      </c>
      <c r="Q3" s="59">
        <v>1227</v>
      </c>
      <c r="R3" s="61">
        <v>676315.64622800006</v>
      </c>
      <c r="S3" s="61">
        <v>1518853.4162280001</v>
      </c>
      <c r="T3" s="59"/>
      <c r="U3" s="59"/>
      <c r="V3" s="12" t="s">
        <v>91</v>
      </c>
      <c r="W3" s="13">
        <v>4921852.1701219995</v>
      </c>
      <c r="X3"/>
    </row>
    <row r="4" spans="1:25" ht="15.75" hidden="1" customHeight="1">
      <c r="A4" s="59">
        <v>120</v>
      </c>
      <c r="B4" s="59" t="s">
        <v>49</v>
      </c>
      <c r="C4" s="77">
        <v>45020</v>
      </c>
      <c r="D4" s="59" t="s">
        <v>111</v>
      </c>
      <c r="E4" s="61">
        <v>132</v>
      </c>
      <c r="F4" s="61">
        <v>118</v>
      </c>
      <c r="G4" s="61">
        <v>14</v>
      </c>
      <c r="H4" s="59"/>
      <c r="I4" s="62"/>
      <c r="J4" s="61" t="s">
        <v>83</v>
      </c>
      <c r="K4" s="59"/>
      <c r="L4" s="61">
        <v>34226</v>
      </c>
      <c r="M4" s="61">
        <v>722257</v>
      </c>
      <c r="N4" s="61">
        <v>787241.25</v>
      </c>
      <c r="O4" s="78">
        <v>290492.02124999999</v>
      </c>
      <c r="P4" s="79">
        <v>0.36899999999999999</v>
      </c>
      <c r="Q4" s="59">
        <v>1227</v>
      </c>
      <c r="R4" s="61">
        <v>478859.26124999998</v>
      </c>
      <c r="S4" s="61">
        <v>1077733.27125</v>
      </c>
      <c r="T4" s="59"/>
      <c r="U4" s="59"/>
      <c r="V4" s="12" t="s">
        <v>112</v>
      </c>
      <c r="W4" s="13">
        <v>6276593.3444979992</v>
      </c>
      <c r="X4"/>
      <c r="Y4" s="72"/>
    </row>
    <row r="5" spans="1:25" ht="15.75" hidden="1" customHeight="1">
      <c r="A5" s="59">
        <v>126</v>
      </c>
      <c r="B5" s="59" t="s">
        <v>50</v>
      </c>
      <c r="C5" s="77">
        <v>45057</v>
      </c>
      <c r="D5" s="59" t="s">
        <v>113</v>
      </c>
      <c r="E5" s="61">
        <v>126</v>
      </c>
      <c r="F5" s="61">
        <v>114</v>
      </c>
      <c r="G5" s="61">
        <v>12</v>
      </c>
      <c r="H5" s="59"/>
      <c r="I5" s="62"/>
      <c r="J5" s="61" t="s">
        <v>83</v>
      </c>
      <c r="K5" s="59"/>
      <c r="L5" s="61">
        <v>40567</v>
      </c>
      <c r="M5" s="61">
        <v>691491</v>
      </c>
      <c r="N5" s="61">
        <v>753863.21</v>
      </c>
      <c r="O5" s="78">
        <v>278175.52448999998</v>
      </c>
      <c r="P5" s="79">
        <v>0.36899999999999999</v>
      </c>
      <c r="Q5" s="59">
        <v>1227</v>
      </c>
      <c r="R5" s="61">
        <v>458577.65448999999</v>
      </c>
      <c r="S5" s="61">
        <v>1032038.7344899999</v>
      </c>
      <c r="T5" s="59"/>
      <c r="U5" s="59"/>
      <c r="V5" s="12" t="s">
        <v>111</v>
      </c>
      <c r="W5" s="13">
        <v>3179852.2605179898</v>
      </c>
      <c r="X5"/>
    </row>
    <row r="6" spans="1:25" ht="15.75" hidden="1" customHeight="1">
      <c r="A6" s="59">
        <v>131</v>
      </c>
      <c r="B6" s="59" t="s">
        <v>119</v>
      </c>
      <c r="C6" s="77">
        <v>45085</v>
      </c>
      <c r="D6" s="59" t="s">
        <v>114</v>
      </c>
      <c r="E6" s="61">
        <v>119</v>
      </c>
      <c r="F6" s="61">
        <v>119</v>
      </c>
      <c r="G6" s="61">
        <v>0</v>
      </c>
      <c r="H6" s="61">
        <v>12</v>
      </c>
      <c r="I6" s="62"/>
      <c r="J6" s="61" t="s">
        <v>83</v>
      </c>
      <c r="K6" s="59"/>
      <c r="L6" s="61">
        <v>5643</v>
      </c>
      <c r="M6" s="61">
        <v>596675</v>
      </c>
      <c r="N6" s="61">
        <v>638894.93000000005</v>
      </c>
      <c r="O6" s="78">
        <v>237093.90852299999</v>
      </c>
      <c r="P6" s="79">
        <v>0.37109999999999999</v>
      </c>
      <c r="Q6" s="59">
        <v>1227</v>
      </c>
      <c r="R6" s="61">
        <v>391097.27852300002</v>
      </c>
      <c r="S6" s="61">
        <v>875988.83852300001</v>
      </c>
      <c r="T6" s="59"/>
      <c r="U6" s="59"/>
      <c r="V6" s="12" t="s">
        <v>114</v>
      </c>
      <c r="W6" s="13">
        <v>1447369.1218730002</v>
      </c>
      <c r="X6"/>
    </row>
    <row r="7" spans="1:25" ht="15.75" hidden="1" customHeight="1">
      <c r="A7" s="59">
        <v>138</v>
      </c>
      <c r="B7" s="59" t="s">
        <v>120</v>
      </c>
      <c r="C7" s="77">
        <v>45139</v>
      </c>
      <c r="D7" s="59" t="s">
        <v>110</v>
      </c>
      <c r="E7" s="61">
        <v>131</v>
      </c>
      <c r="F7" s="61">
        <v>118</v>
      </c>
      <c r="G7" s="61">
        <v>13</v>
      </c>
      <c r="H7" s="59"/>
      <c r="I7" s="62"/>
      <c r="J7" s="61" t="s">
        <v>83</v>
      </c>
      <c r="K7" s="59"/>
      <c r="L7" s="61">
        <v>40826</v>
      </c>
      <c r="M7" s="61">
        <v>719467</v>
      </c>
      <c r="N7" s="61">
        <v>784695.28</v>
      </c>
      <c r="O7" s="78">
        <v>289552.55832000001</v>
      </c>
      <c r="P7" s="79">
        <v>0.36899999999999999</v>
      </c>
      <c r="Q7" s="59">
        <v>1227</v>
      </c>
      <c r="R7" s="61">
        <v>477271.11832000001</v>
      </c>
      <c r="S7" s="61">
        <v>1074247.8383200001</v>
      </c>
      <c r="T7" s="59"/>
      <c r="U7" s="59"/>
      <c r="V7" s="12" t="s">
        <v>113</v>
      </c>
      <c r="W7" s="13">
        <v>2988002.406589</v>
      </c>
      <c r="X7"/>
    </row>
    <row r="8" spans="1:25" ht="15.75" customHeight="1">
      <c r="A8" s="59">
        <v>139</v>
      </c>
      <c r="B8" s="59" t="s">
        <v>53</v>
      </c>
      <c r="C8" s="77">
        <v>45139</v>
      </c>
      <c r="D8" s="59" t="s">
        <v>112</v>
      </c>
      <c r="E8" s="61">
        <v>129</v>
      </c>
      <c r="F8" s="61">
        <v>124</v>
      </c>
      <c r="G8" s="61">
        <v>5</v>
      </c>
      <c r="H8" s="61">
        <v>8</v>
      </c>
      <c r="I8" s="62"/>
      <c r="J8" s="61" t="s">
        <v>108</v>
      </c>
      <c r="K8" s="59"/>
      <c r="L8" s="61">
        <v>28330</v>
      </c>
      <c r="M8" s="61">
        <v>704930</v>
      </c>
      <c r="N8" s="61">
        <v>768044.17</v>
      </c>
      <c r="O8" s="78">
        <v>283024.27664499998</v>
      </c>
      <c r="P8" s="79">
        <v>0.36849999999999999</v>
      </c>
      <c r="Q8" s="59">
        <v>1227</v>
      </c>
      <c r="R8" s="61">
        <v>466844.65664499998</v>
      </c>
      <c r="S8" s="61">
        <v>1051068.446645</v>
      </c>
      <c r="T8" s="59"/>
      <c r="U8" s="80"/>
      <c r="V8" s="12" t="s">
        <v>110</v>
      </c>
      <c r="W8" s="13">
        <v>4606184.9010080006</v>
      </c>
      <c r="X8"/>
    </row>
    <row r="9" spans="1:25" ht="15.75" hidden="1" customHeight="1">
      <c r="A9" s="59">
        <v>143</v>
      </c>
      <c r="B9" s="59" t="s">
        <v>54</v>
      </c>
      <c r="C9" s="77">
        <v>45184</v>
      </c>
      <c r="D9" s="59" t="s">
        <v>91</v>
      </c>
      <c r="E9" s="61">
        <v>127</v>
      </c>
      <c r="F9" s="61">
        <v>112</v>
      </c>
      <c r="G9" s="61">
        <v>15</v>
      </c>
      <c r="H9" s="59"/>
      <c r="I9" s="62"/>
      <c r="J9" s="61" t="s">
        <v>83</v>
      </c>
      <c r="K9" s="59"/>
      <c r="L9" s="61">
        <v>28284</v>
      </c>
      <c r="M9" s="61">
        <v>696548</v>
      </c>
      <c r="N9" s="61">
        <v>759335.06</v>
      </c>
      <c r="O9" s="78">
        <v>280270.57064599998</v>
      </c>
      <c r="P9" s="79">
        <v>0.36909999999999998</v>
      </c>
      <c r="Q9" s="59">
        <v>1227</v>
      </c>
      <c r="R9" s="61">
        <v>461979.70064599998</v>
      </c>
      <c r="S9" s="61">
        <v>1039605.630646</v>
      </c>
      <c r="T9" s="59"/>
      <c r="U9" s="80"/>
      <c r="V9" s="12" t="s">
        <v>115</v>
      </c>
      <c r="W9" s="13">
        <v>2035425.9284600001</v>
      </c>
      <c r="X9"/>
    </row>
    <row r="10" spans="1:25" ht="15.75" hidden="1" customHeight="1">
      <c r="A10" s="59">
        <v>151</v>
      </c>
      <c r="B10" s="59" t="s">
        <v>121</v>
      </c>
      <c r="C10" s="77">
        <v>45201</v>
      </c>
      <c r="D10" s="59" t="s">
        <v>91</v>
      </c>
      <c r="E10" s="61">
        <v>128</v>
      </c>
      <c r="F10" s="61">
        <v>123</v>
      </c>
      <c r="G10" s="61">
        <v>5</v>
      </c>
      <c r="H10" s="61">
        <v>8</v>
      </c>
      <c r="I10" s="62"/>
      <c r="J10" s="61" t="s">
        <v>108</v>
      </c>
      <c r="K10" s="59"/>
      <c r="L10" s="61">
        <v>20489</v>
      </c>
      <c r="M10" s="61">
        <v>473930</v>
      </c>
      <c r="N10" s="61">
        <v>471032.99</v>
      </c>
      <c r="O10" s="78">
        <v>174140.89640299999</v>
      </c>
      <c r="P10" s="79">
        <v>0.36969999999999997</v>
      </c>
      <c r="Q10" s="59">
        <v>1227</v>
      </c>
      <c r="R10" s="61">
        <v>291057.88640299998</v>
      </c>
      <c r="S10" s="61">
        <v>645173.88640299998</v>
      </c>
      <c r="T10" s="59"/>
      <c r="U10" s="80"/>
      <c r="V10" s="12" t="s">
        <v>26</v>
      </c>
      <c r="W10" s="13">
        <v>25455280.133067995</v>
      </c>
      <c r="X10"/>
    </row>
    <row r="11" spans="1:25" ht="15.75" hidden="1" customHeight="1">
      <c r="A11" s="59">
        <v>161</v>
      </c>
      <c r="B11" s="59" t="s">
        <v>122</v>
      </c>
      <c r="C11" s="77">
        <v>45272</v>
      </c>
      <c r="D11" s="59" t="s">
        <v>91</v>
      </c>
      <c r="E11" s="61">
        <v>127</v>
      </c>
      <c r="F11" s="61">
        <v>112</v>
      </c>
      <c r="G11" s="61">
        <v>15</v>
      </c>
      <c r="H11" s="59"/>
      <c r="I11" s="62"/>
      <c r="J11" s="61" t="s">
        <v>108</v>
      </c>
      <c r="K11" s="59"/>
      <c r="L11" s="61">
        <v>18708</v>
      </c>
      <c r="M11" s="61">
        <v>895457</v>
      </c>
      <c r="N11" s="61">
        <v>1015991.67</v>
      </c>
      <c r="O11" s="78">
        <v>381911.26875300001</v>
      </c>
      <c r="P11" s="79">
        <v>0.37590000000000001</v>
      </c>
      <c r="Q11" s="59">
        <v>1227</v>
      </c>
      <c r="R11" s="61">
        <v>621368.12875299901</v>
      </c>
      <c r="S11" s="61">
        <v>1397902.938753</v>
      </c>
      <c r="T11" s="59"/>
      <c r="U11" s="80"/>
      <c r="V11"/>
      <c r="W11"/>
      <c r="X11"/>
    </row>
    <row r="12" spans="1:25" ht="15.75" hidden="1" customHeight="1">
      <c r="A12" s="59">
        <v>165</v>
      </c>
      <c r="B12" s="59" t="s">
        <v>123</v>
      </c>
      <c r="C12" s="77">
        <v>45311</v>
      </c>
      <c r="D12" s="59" t="s">
        <v>114</v>
      </c>
      <c r="E12" s="61">
        <v>124</v>
      </c>
      <c r="F12" s="61">
        <v>124</v>
      </c>
      <c r="G12" s="61">
        <v>0</v>
      </c>
      <c r="H12" s="61">
        <v>12</v>
      </c>
      <c r="I12" s="62"/>
      <c r="J12" s="61" t="s">
        <v>108</v>
      </c>
      <c r="K12" s="59"/>
      <c r="L12" s="61">
        <v>5500</v>
      </c>
      <c r="M12" s="61">
        <v>446507</v>
      </c>
      <c r="N12" s="61">
        <v>439861.65</v>
      </c>
      <c r="O12" s="78">
        <v>131518.63334999999</v>
      </c>
      <c r="P12" s="79">
        <v>0.29899999999999999</v>
      </c>
      <c r="Q12" s="59">
        <v>1227</v>
      </c>
      <c r="R12" s="61">
        <v>241118.71334999899</v>
      </c>
      <c r="S12" s="61">
        <v>571380.28335000004</v>
      </c>
      <c r="T12" s="59"/>
      <c r="U12" s="80"/>
      <c r="V12"/>
      <c r="W12"/>
      <c r="X12"/>
    </row>
    <row r="13" spans="1:25" ht="15.75" customHeight="1">
      <c r="A13" s="59">
        <v>170</v>
      </c>
      <c r="B13" s="59" t="s">
        <v>58</v>
      </c>
      <c r="C13" s="77">
        <v>45345</v>
      </c>
      <c r="D13" s="59" t="s">
        <v>112</v>
      </c>
      <c r="E13" s="61">
        <v>111</v>
      </c>
      <c r="F13" s="61">
        <v>103</v>
      </c>
      <c r="G13" s="61">
        <v>8</v>
      </c>
      <c r="H13" s="61">
        <v>4</v>
      </c>
      <c r="I13" s="62"/>
      <c r="J13" s="61" t="s">
        <v>83</v>
      </c>
      <c r="K13" s="59"/>
      <c r="L13" s="61">
        <v>31135</v>
      </c>
      <c r="M13" s="61">
        <v>599040</v>
      </c>
      <c r="N13" s="61">
        <v>650373.34</v>
      </c>
      <c r="O13" s="78">
        <v>239662.57578999901</v>
      </c>
      <c r="P13" s="79">
        <v>0.36849999999999999</v>
      </c>
      <c r="Q13" s="59">
        <v>1227</v>
      </c>
      <c r="R13" s="61">
        <v>395641.86578999902</v>
      </c>
      <c r="S13" s="61">
        <v>890035.91579</v>
      </c>
      <c r="T13" s="59"/>
      <c r="U13" s="80"/>
      <c r="V13"/>
      <c r="W13"/>
      <c r="X13"/>
    </row>
    <row r="14" spans="1:25" ht="15.75" hidden="1" customHeight="1">
      <c r="A14" s="59">
        <v>171</v>
      </c>
      <c r="B14" s="59" t="s">
        <v>124</v>
      </c>
      <c r="C14" s="77">
        <v>45404</v>
      </c>
      <c r="D14" s="59" t="s">
        <v>113</v>
      </c>
      <c r="E14" s="61">
        <v>123</v>
      </c>
      <c r="F14" s="61">
        <v>111</v>
      </c>
      <c r="G14" s="61">
        <v>12</v>
      </c>
      <c r="H14" s="59"/>
      <c r="I14" s="62"/>
      <c r="J14" s="61" t="s">
        <v>108</v>
      </c>
      <c r="K14" s="59"/>
      <c r="L14" s="61">
        <v>37025</v>
      </c>
      <c r="M14" s="61">
        <v>626095</v>
      </c>
      <c r="N14" s="61">
        <v>673924.75</v>
      </c>
      <c r="O14" s="78">
        <v>248543.44779999999</v>
      </c>
      <c r="P14" s="79">
        <v>0.36880000000000002</v>
      </c>
      <c r="Q14" s="59">
        <v>1227</v>
      </c>
      <c r="R14" s="61">
        <v>410639.52779999998</v>
      </c>
      <c r="S14" s="61">
        <v>922468.19779999997</v>
      </c>
      <c r="T14" s="59"/>
      <c r="U14" s="80"/>
      <c r="V14"/>
      <c r="W14"/>
      <c r="X14"/>
    </row>
    <row r="15" spans="1:25" ht="15.75" customHeight="1">
      <c r="A15" s="59">
        <v>173</v>
      </c>
      <c r="B15" s="59" t="s">
        <v>60</v>
      </c>
      <c r="C15" s="77">
        <v>45447</v>
      </c>
      <c r="D15" s="59" t="s">
        <v>112</v>
      </c>
      <c r="E15" s="61">
        <v>132</v>
      </c>
      <c r="F15" s="61">
        <v>117</v>
      </c>
      <c r="G15" s="61">
        <v>15</v>
      </c>
      <c r="H15" s="59"/>
      <c r="I15" s="62"/>
      <c r="J15" s="61" t="s">
        <v>83</v>
      </c>
      <c r="K15" s="59"/>
      <c r="L15" s="61">
        <v>37026</v>
      </c>
      <c r="M15" s="61">
        <v>721008</v>
      </c>
      <c r="N15" s="61">
        <v>787006.67</v>
      </c>
      <c r="O15" s="78">
        <v>289775.85589399998</v>
      </c>
      <c r="P15" s="79">
        <v>0.36820000000000003</v>
      </c>
      <c r="Q15" s="59">
        <v>1227</v>
      </c>
      <c r="R15" s="61">
        <v>477991.16589399998</v>
      </c>
      <c r="S15" s="61">
        <v>1076782.525894</v>
      </c>
      <c r="T15" s="59"/>
      <c r="U15" s="80"/>
      <c r="V15"/>
      <c r="W15"/>
      <c r="X15"/>
    </row>
    <row r="16" spans="1:25" ht="15.75" hidden="1" customHeight="1">
      <c r="A16" s="59">
        <v>174</v>
      </c>
      <c r="B16" s="59" t="s">
        <v>134</v>
      </c>
      <c r="C16" s="77">
        <v>45477</v>
      </c>
      <c r="D16" s="59" t="s">
        <v>111</v>
      </c>
      <c r="E16" s="61">
        <v>131</v>
      </c>
      <c r="F16" s="61">
        <v>116</v>
      </c>
      <c r="G16" s="61">
        <v>15</v>
      </c>
      <c r="H16" s="59"/>
      <c r="I16" s="62"/>
      <c r="J16" s="61" t="s">
        <v>83</v>
      </c>
      <c r="K16" s="59"/>
      <c r="L16" s="61">
        <v>33967</v>
      </c>
      <c r="M16" s="61">
        <v>713645</v>
      </c>
      <c r="N16" s="61">
        <v>778548.95</v>
      </c>
      <c r="O16" s="78">
        <v>287362.41744499898</v>
      </c>
      <c r="P16" s="79">
        <v>0.36909999999999998</v>
      </c>
      <c r="Q16" s="59">
        <v>1227</v>
      </c>
      <c r="R16" s="61">
        <v>473599.66744499898</v>
      </c>
      <c r="S16" s="61">
        <v>1065911.367445</v>
      </c>
      <c r="T16" s="59"/>
      <c r="U16" s="80"/>
      <c r="V16"/>
      <c r="W16"/>
      <c r="X16"/>
    </row>
    <row r="17" spans="1:24" ht="15.75" customHeight="1">
      <c r="A17" s="59">
        <v>186</v>
      </c>
      <c r="B17" s="59" t="s">
        <v>127</v>
      </c>
      <c r="C17" s="77">
        <v>45587</v>
      </c>
      <c r="D17" s="59" t="s">
        <v>112</v>
      </c>
      <c r="E17" s="61">
        <v>116</v>
      </c>
      <c r="F17" s="61">
        <v>106</v>
      </c>
      <c r="G17" s="61">
        <v>10</v>
      </c>
      <c r="H17" s="61">
        <v>4</v>
      </c>
      <c r="I17" s="62"/>
      <c r="J17" s="61" t="s">
        <v>83</v>
      </c>
      <c r="K17" s="59"/>
      <c r="L17" s="61">
        <v>35538</v>
      </c>
      <c r="M17" s="61">
        <v>675656</v>
      </c>
      <c r="N17" s="61">
        <v>745175.1</v>
      </c>
      <c r="O17" s="78">
        <v>274969.61189999903</v>
      </c>
      <c r="P17" s="79">
        <v>0.36899999999999999</v>
      </c>
      <c r="Q17" s="59">
        <v>1227</v>
      </c>
      <c r="R17" s="61">
        <v>452571.37189999898</v>
      </c>
      <c r="S17" s="61">
        <v>1020144.7119</v>
      </c>
      <c r="T17" s="59"/>
      <c r="U17" s="80"/>
      <c r="V17"/>
      <c r="W17"/>
      <c r="X17"/>
    </row>
    <row r="18" spans="1:24" ht="14" hidden="1">
      <c r="A18" s="59">
        <v>189</v>
      </c>
      <c r="B18" s="59" t="s">
        <v>128</v>
      </c>
      <c r="C18" s="77">
        <v>45597</v>
      </c>
      <c r="D18" s="59" t="s">
        <v>113</v>
      </c>
      <c r="E18" s="61">
        <v>122</v>
      </c>
      <c r="F18" s="61">
        <v>109</v>
      </c>
      <c r="G18" s="61">
        <v>13</v>
      </c>
      <c r="H18" s="59"/>
      <c r="I18" s="62"/>
      <c r="J18" s="61" t="s">
        <v>108</v>
      </c>
      <c r="K18" s="59"/>
      <c r="L18" s="61">
        <v>37991</v>
      </c>
      <c r="M18" s="61">
        <v>688192</v>
      </c>
      <c r="N18" s="61">
        <v>755092.77</v>
      </c>
      <c r="O18" s="78">
        <v>278402.70429899998</v>
      </c>
      <c r="P18" s="79">
        <v>0.36870000000000003</v>
      </c>
      <c r="Q18" s="59">
        <v>1227</v>
      </c>
      <c r="R18" s="61">
        <v>458686.50429900002</v>
      </c>
      <c r="S18" s="61">
        <v>1033495.474299</v>
      </c>
      <c r="T18" s="59"/>
      <c r="U18" s="80"/>
      <c r="V18"/>
      <c r="W18"/>
      <c r="X18"/>
    </row>
    <row r="19" spans="1:24" ht="14" hidden="1">
      <c r="A19" s="59">
        <v>190</v>
      </c>
      <c r="B19" s="59" t="s">
        <v>68</v>
      </c>
      <c r="C19" s="77">
        <v>45597</v>
      </c>
      <c r="D19" s="59" t="s">
        <v>115</v>
      </c>
      <c r="E19" s="61">
        <v>132</v>
      </c>
      <c r="F19" s="61">
        <v>116</v>
      </c>
      <c r="G19" s="61">
        <v>16</v>
      </c>
      <c r="H19" s="59"/>
      <c r="I19" s="62"/>
      <c r="J19" s="61" t="s">
        <v>83</v>
      </c>
      <c r="K19" s="59"/>
      <c r="L19" s="61">
        <v>2901</v>
      </c>
      <c r="M19" s="61">
        <v>695866</v>
      </c>
      <c r="N19" s="61">
        <v>754565.7</v>
      </c>
      <c r="O19" s="78">
        <v>278283.83016000001</v>
      </c>
      <c r="P19" s="79">
        <v>0.36880000000000002</v>
      </c>
      <c r="Q19" s="59">
        <v>1227</v>
      </c>
      <c r="R19" s="61">
        <v>459199.93015999999</v>
      </c>
      <c r="S19" s="61">
        <v>1032849.53016</v>
      </c>
      <c r="T19" s="59"/>
      <c r="U19" s="80"/>
      <c r="V19"/>
      <c r="W19"/>
      <c r="X19"/>
    </row>
    <row r="20" spans="1:24" ht="14" hidden="1">
      <c r="A20" s="59">
        <v>192</v>
      </c>
      <c r="B20" s="59" t="s">
        <v>129</v>
      </c>
      <c r="C20" s="77">
        <v>45597</v>
      </c>
      <c r="D20" s="59" t="s">
        <v>110</v>
      </c>
      <c r="E20" s="61">
        <v>130</v>
      </c>
      <c r="F20" s="61">
        <v>118</v>
      </c>
      <c r="G20" s="61">
        <v>12</v>
      </c>
      <c r="H20" s="59"/>
      <c r="I20" s="62"/>
      <c r="J20" s="61" t="s">
        <v>83</v>
      </c>
      <c r="K20" s="59"/>
      <c r="L20" s="61">
        <v>17556</v>
      </c>
      <c r="M20" s="61">
        <v>684548</v>
      </c>
      <c r="N20" s="61">
        <v>742047.06</v>
      </c>
      <c r="O20" s="78">
        <v>273221.72749199998</v>
      </c>
      <c r="P20" s="79">
        <v>0.36820000000000003</v>
      </c>
      <c r="Q20" s="59">
        <v>1227</v>
      </c>
      <c r="R20" s="61">
        <v>451170.96749200003</v>
      </c>
      <c r="S20" s="61">
        <v>1015268.787492</v>
      </c>
      <c r="T20" s="59"/>
      <c r="U20" s="80"/>
      <c r="V20"/>
    </row>
    <row r="21" spans="1:24" ht="12.5" hidden="1">
      <c r="A21" s="59">
        <v>194</v>
      </c>
      <c r="B21" s="59" t="s">
        <v>130</v>
      </c>
      <c r="C21" s="77">
        <v>45639</v>
      </c>
      <c r="D21" s="59" t="s">
        <v>111</v>
      </c>
      <c r="E21" s="61">
        <v>131</v>
      </c>
      <c r="F21" s="61">
        <v>117</v>
      </c>
      <c r="G21" s="61">
        <v>14</v>
      </c>
      <c r="H21" s="59"/>
      <c r="I21" s="62"/>
      <c r="J21" s="61" t="s">
        <v>83</v>
      </c>
      <c r="K21" s="59"/>
      <c r="L21" s="61">
        <v>17812</v>
      </c>
      <c r="M21" s="61">
        <v>696574</v>
      </c>
      <c r="N21" s="61">
        <v>756521.59</v>
      </c>
      <c r="O21" s="78">
        <v>279686.03182299901</v>
      </c>
      <c r="P21" s="79">
        <v>0.36969999999999997</v>
      </c>
      <c r="Q21" s="59">
        <v>1227</v>
      </c>
      <c r="R21" s="61">
        <v>460967.13182299898</v>
      </c>
      <c r="S21" s="61">
        <v>1036207.62182299</v>
      </c>
      <c r="T21" s="59"/>
      <c r="U21" s="80"/>
    </row>
    <row r="22" spans="1:24" ht="12.5">
      <c r="A22" s="59">
        <v>197</v>
      </c>
      <c r="B22" s="59" t="s">
        <v>71</v>
      </c>
      <c r="C22" s="77">
        <v>45659</v>
      </c>
      <c r="D22" s="59" t="s">
        <v>112</v>
      </c>
      <c r="E22" s="61">
        <v>118</v>
      </c>
      <c r="F22" s="61">
        <v>108</v>
      </c>
      <c r="G22" s="61">
        <v>10</v>
      </c>
      <c r="H22" s="61">
        <v>4</v>
      </c>
      <c r="I22" s="62"/>
      <c r="J22" s="61" t="s">
        <v>83</v>
      </c>
      <c r="K22" s="59"/>
      <c r="L22" s="61">
        <v>0</v>
      </c>
      <c r="M22" s="61">
        <v>607593</v>
      </c>
      <c r="N22" s="61">
        <v>655266.14</v>
      </c>
      <c r="O22" s="78">
        <v>256536.69381</v>
      </c>
      <c r="P22" s="79">
        <v>0.39150000000000001</v>
      </c>
      <c r="Q22" s="59">
        <v>1227</v>
      </c>
      <c r="R22" s="61">
        <v>414059.13381000003</v>
      </c>
      <c r="S22" s="61">
        <v>911802.83380999998</v>
      </c>
      <c r="T22" s="59"/>
      <c r="U22" s="80"/>
    </row>
    <row r="23" spans="1:24" ht="12.5">
      <c r="A23" s="59">
        <v>202</v>
      </c>
      <c r="B23" s="59" t="s">
        <v>131</v>
      </c>
      <c r="C23" s="77">
        <v>45666</v>
      </c>
      <c r="D23" s="59" t="s">
        <v>112</v>
      </c>
      <c r="E23" s="61">
        <v>117</v>
      </c>
      <c r="F23" s="61">
        <v>108</v>
      </c>
      <c r="G23" s="61">
        <v>9</v>
      </c>
      <c r="H23" s="61">
        <v>4</v>
      </c>
      <c r="I23" s="62"/>
      <c r="J23" s="61" t="s">
        <v>83</v>
      </c>
      <c r="K23" s="59"/>
      <c r="L23" s="61">
        <v>0</v>
      </c>
      <c r="M23" s="61">
        <v>599290</v>
      </c>
      <c r="N23" s="61">
        <v>645595.57999999996</v>
      </c>
      <c r="O23" s="78">
        <v>272635.01343399897</v>
      </c>
      <c r="P23" s="79">
        <v>0.42230000000000001</v>
      </c>
      <c r="Q23" s="59">
        <v>1227</v>
      </c>
      <c r="R23" s="61">
        <v>427906.50343399902</v>
      </c>
      <c r="S23" s="61">
        <v>918230.59343399899</v>
      </c>
      <c r="T23" s="59"/>
      <c r="U23" s="80"/>
    </row>
    <row r="24" spans="1:24" ht="12.5">
      <c r="A24" s="59">
        <v>204</v>
      </c>
      <c r="B24" s="59" t="s">
        <v>74</v>
      </c>
      <c r="C24" s="77">
        <v>45693</v>
      </c>
      <c r="D24" s="59" t="s">
        <v>112</v>
      </c>
      <c r="E24" s="61">
        <v>38</v>
      </c>
      <c r="F24" s="61">
        <v>29</v>
      </c>
      <c r="G24" s="61">
        <v>9</v>
      </c>
      <c r="H24" s="59"/>
      <c r="I24" s="62"/>
      <c r="J24" s="61" t="s">
        <v>83</v>
      </c>
      <c r="K24" s="59"/>
      <c r="L24" s="59"/>
      <c r="M24" s="61">
        <v>332906</v>
      </c>
      <c r="N24" s="61">
        <v>297652.69</v>
      </c>
      <c r="O24" s="78">
        <v>110875.62702499999</v>
      </c>
      <c r="P24" s="79">
        <v>0.3725</v>
      </c>
      <c r="Q24" s="59">
        <v>1227</v>
      </c>
      <c r="R24" s="61">
        <v>182641.41702499901</v>
      </c>
      <c r="S24" s="61">
        <v>408528.317025</v>
      </c>
      <c r="T24" s="59" t="s">
        <v>158</v>
      </c>
      <c r="U24" s="59"/>
    </row>
    <row r="25" spans="1:24" ht="12.5" hidden="1">
      <c r="A25" s="59">
        <v>205</v>
      </c>
      <c r="B25" s="59" t="s">
        <v>132</v>
      </c>
      <c r="C25" s="77">
        <v>45713</v>
      </c>
      <c r="D25" s="59" t="s">
        <v>115</v>
      </c>
      <c r="E25" s="61">
        <v>132</v>
      </c>
      <c r="F25" s="61">
        <v>121</v>
      </c>
      <c r="G25" s="61">
        <v>11</v>
      </c>
      <c r="H25" s="61">
        <v>4</v>
      </c>
      <c r="I25" s="62"/>
      <c r="J25" s="61" t="s">
        <v>83</v>
      </c>
      <c r="K25" s="59"/>
      <c r="L25" s="61">
        <v>0</v>
      </c>
      <c r="M25" s="61">
        <v>678229</v>
      </c>
      <c r="N25" s="61">
        <v>731807.59</v>
      </c>
      <c r="O25" s="78">
        <v>270768.80829999998</v>
      </c>
      <c r="P25" s="79">
        <v>0.37</v>
      </c>
      <c r="Q25" s="59">
        <v>1227</v>
      </c>
      <c r="R25" s="61">
        <v>446564.33829999901</v>
      </c>
      <c r="S25" s="61">
        <v>1002576.3983</v>
      </c>
      <c r="T25" s="59"/>
      <c r="U25" s="59"/>
    </row>
    <row r="26" spans="1:24" ht="12.5" hidden="1">
      <c r="A26" s="59">
        <v>206</v>
      </c>
      <c r="B26" s="59" t="s">
        <v>135</v>
      </c>
      <c r="C26" s="77">
        <v>45713</v>
      </c>
      <c r="D26" s="59" t="s">
        <v>110</v>
      </c>
      <c r="E26" s="61">
        <v>131</v>
      </c>
      <c r="F26" s="61">
        <v>119</v>
      </c>
      <c r="G26" s="61">
        <v>12</v>
      </c>
      <c r="H26" s="59"/>
      <c r="I26" s="62"/>
      <c r="J26" s="61" t="s">
        <v>83</v>
      </c>
      <c r="K26" s="59"/>
      <c r="L26" s="61">
        <v>0</v>
      </c>
      <c r="M26" s="61">
        <v>674603</v>
      </c>
      <c r="N26" s="61">
        <v>728172.56</v>
      </c>
      <c r="O26" s="78">
        <v>269642.29896799999</v>
      </c>
      <c r="P26" s="79">
        <v>0.37030000000000002</v>
      </c>
      <c r="Q26" s="59">
        <v>1227</v>
      </c>
      <c r="R26" s="61">
        <v>444544.868968</v>
      </c>
      <c r="S26" s="61">
        <v>997814.85896800004</v>
      </c>
      <c r="T26" s="59"/>
      <c r="U26" s="59"/>
    </row>
    <row r="27" spans="1:24" ht="12.5" hidden="1">
      <c r="A27" s="59">
        <v>207</v>
      </c>
      <c r="B27" s="59" t="s">
        <v>136</v>
      </c>
      <c r="C27" s="77">
        <v>45721</v>
      </c>
      <c r="D27" s="59" t="s">
        <v>91</v>
      </c>
      <c r="E27" s="61">
        <v>81</v>
      </c>
      <c r="F27" s="61">
        <v>81</v>
      </c>
      <c r="G27" s="61">
        <v>0</v>
      </c>
      <c r="H27" s="59"/>
      <c r="I27" s="62">
        <v>4</v>
      </c>
      <c r="J27" s="61" t="s">
        <v>83</v>
      </c>
      <c r="K27" s="59"/>
      <c r="L27" s="59"/>
      <c r="M27" s="61">
        <v>461417</v>
      </c>
      <c r="N27" s="61">
        <v>472011.18</v>
      </c>
      <c r="O27" s="78">
        <v>175824.16454999999</v>
      </c>
      <c r="P27" s="79">
        <v>0.3725</v>
      </c>
      <c r="Q27" s="59">
        <v>1227</v>
      </c>
      <c r="R27" s="61">
        <v>289636.31455000001</v>
      </c>
      <c r="S27" s="61">
        <v>647835.34455000004</v>
      </c>
      <c r="T27" s="59" t="s">
        <v>158</v>
      </c>
      <c r="U27" s="59"/>
    </row>
    <row r="28" spans="1:24" ht="13">
      <c r="A28" s="57"/>
      <c r="B28" s="59"/>
      <c r="C28" s="59"/>
      <c r="D28" s="59"/>
      <c r="E28" s="59"/>
      <c r="F28" s="59"/>
      <c r="G28" s="59"/>
      <c r="H28" s="59"/>
      <c r="I28" s="62"/>
      <c r="J28" s="59"/>
      <c r="K28" s="59"/>
      <c r="L28" s="57"/>
      <c r="M28" s="59"/>
      <c r="N28" s="59"/>
      <c r="O28" s="81"/>
      <c r="P28" s="59"/>
      <c r="Q28" s="59"/>
      <c r="R28" s="59"/>
      <c r="S28" s="61"/>
      <c r="T28" s="59"/>
      <c r="U28" s="59"/>
    </row>
    <row r="29" spans="1:24" ht="13">
      <c r="A29" s="57"/>
      <c r="B29" s="59"/>
      <c r="C29" s="59"/>
      <c r="D29" s="59"/>
      <c r="E29" s="59"/>
      <c r="F29" s="59"/>
      <c r="G29" s="59"/>
      <c r="H29" s="59"/>
      <c r="I29" s="62"/>
      <c r="J29" s="59"/>
      <c r="K29" s="59"/>
      <c r="L29" s="57"/>
      <c r="M29" s="59"/>
      <c r="N29" s="59"/>
      <c r="O29" s="81"/>
      <c r="P29" s="59"/>
      <c r="Q29" s="59"/>
      <c r="R29" s="59"/>
      <c r="S29" s="61"/>
      <c r="T29" s="59"/>
      <c r="U29" s="59"/>
    </row>
    <row r="30" spans="1:24" ht="15.75" customHeight="1">
      <c r="A30" s="82">
        <v>10</v>
      </c>
      <c r="B30" s="82" t="s">
        <v>144</v>
      </c>
      <c r="C30" s="77">
        <v>40030</v>
      </c>
      <c r="D30" s="59" t="s">
        <v>145</v>
      </c>
      <c r="E30" s="61" t="s">
        <v>198</v>
      </c>
      <c r="F30" s="59"/>
      <c r="G30" s="83" t="s">
        <v>199</v>
      </c>
      <c r="H30" s="59"/>
      <c r="I30" s="62"/>
      <c r="J30" s="59"/>
      <c r="K30" s="59"/>
      <c r="L30" s="59"/>
      <c r="M30" s="61">
        <v>1238919</v>
      </c>
      <c r="N30" s="61">
        <v>1316739.54</v>
      </c>
      <c r="O30" s="78">
        <v>396075.25363200001</v>
      </c>
      <c r="P30" s="79">
        <v>0.30080000000000001</v>
      </c>
      <c r="Q30" s="59">
        <v>1227</v>
      </c>
      <c r="R30" s="61">
        <v>663969.28363199998</v>
      </c>
      <c r="S30" s="61">
        <v>1712814.793632</v>
      </c>
      <c r="T30" s="59"/>
      <c r="U30" s="59"/>
    </row>
    <row r="31" spans="1:24" ht="15.75" customHeight="1">
      <c r="A31" s="82">
        <v>47</v>
      </c>
      <c r="B31" s="82" t="s">
        <v>149</v>
      </c>
      <c r="C31" s="77">
        <v>44295</v>
      </c>
      <c r="D31" s="59" t="s">
        <v>150</v>
      </c>
      <c r="E31" s="61" t="s">
        <v>198</v>
      </c>
      <c r="F31" s="59"/>
      <c r="G31" s="61" t="s">
        <v>199</v>
      </c>
      <c r="H31" s="59"/>
      <c r="I31" s="62"/>
      <c r="J31" s="59"/>
      <c r="K31" s="59"/>
      <c r="L31" s="59"/>
      <c r="M31" s="61">
        <v>1005833</v>
      </c>
      <c r="N31" s="61">
        <v>1066335.06</v>
      </c>
      <c r="O31" s="78">
        <v>320753.58604800003</v>
      </c>
      <c r="P31" s="79">
        <v>0.30080000000000001</v>
      </c>
      <c r="Q31" s="59">
        <v>1227</v>
      </c>
      <c r="R31" s="61">
        <v>538708.32604800002</v>
      </c>
      <c r="S31" s="61">
        <v>1387088.6460480001</v>
      </c>
      <c r="T31" s="59"/>
      <c r="U31" s="59"/>
    </row>
    <row r="32" spans="1:24" ht="15.75" customHeight="1">
      <c r="A32" s="82">
        <v>169</v>
      </c>
      <c r="B32" s="82" t="s">
        <v>200</v>
      </c>
      <c r="C32" s="77">
        <v>45341</v>
      </c>
      <c r="D32" s="59" t="s">
        <v>145</v>
      </c>
      <c r="E32" s="61" t="s">
        <v>198</v>
      </c>
      <c r="F32" s="61">
        <v>0</v>
      </c>
      <c r="G32" s="61">
        <v>0</v>
      </c>
      <c r="H32" s="61" t="s">
        <v>201</v>
      </c>
      <c r="I32" s="62"/>
      <c r="J32" s="61" t="s">
        <v>83</v>
      </c>
      <c r="K32" s="59"/>
      <c r="L32" s="59"/>
      <c r="M32" s="61">
        <v>657525</v>
      </c>
      <c r="N32" s="61">
        <v>868688.44</v>
      </c>
      <c r="O32" s="78">
        <v>261909.56465999901</v>
      </c>
      <c r="P32" s="79">
        <v>0.30149999999999999</v>
      </c>
      <c r="Q32" s="59">
        <v>1227</v>
      </c>
      <c r="R32" s="61">
        <v>441228.05465999898</v>
      </c>
      <c r="S32" s="61">
        <v>1130598.0046599901</v>
      </c>
      <c r="T32" s="59"/>
      <c r="U32" s="80"/>
    </row>
    <row r="33" spans="1:21" ht="15.75" customHeight="1">
      <c r="A33" s="59">
        <v>184</v>
      </c>
      <c r="B33" s="59" t="s">
        <v>126</v>
      </c>
      <c r="C33" s="77">
        <v>45569</v>
      </c>
      <c r="D33" s="59" t="s">
        <v>202</v>
      </c>
      <c r="E33" s="61">
        <v>53</v>
      </c>
      <c r="F33" s="61">
        <v>53</v>
      </c>
      <c r="G33" s="61">
        <v>0</v>
      </c>
      <c r="H33" s="61">
        <v>12</v>
      </c>
      <c r="I33" s="62">
        <v>48</v>
      </c>
      <c r="J33" s="61" t="s">
        <v>83</v>
      </c>
      <c r="K33" s="59"/>
      <c r="L33" s="61">
        <v>8111</v>
      </c>
      <c r="M33" s="61">
        <v>502486</v>
      </c>
      <c r="N33" s="61">
        <v>537375.31999999995</v>
      </c>
      <c r="O33" s="78">
        <v>200172.30669999999</v>
      </c>
      <c r="P33" s="79">
        <v>0.3725</v>
      </c>
      <c r="Q33" s="59">
        <v>1227</v>
      </c>
      <c r="R33" s="61">
        <v>329892.80669999903</v>
      </c>
      <c r="S33" s="61">
        <v>737547.62669999897</v>
      </c>
      <c r="T33" s="59" t="s">
        <v>203</v>
      </c>
      <c r="U33" s="80"/>
    </row>
    <row r="34" spans="1:21" ht="12.5">
      <c r="A34" s="59"/>
      <c r="B34" s="59"/>
      <c r="C34" s="59"/>
      <c r="D34" s="59"/>
      <c r="E34" s="59"/>
      <c r="F34" s="59"/>
      <c r="G34" s="59"/>
      <c r="H34" s="59"/>
      <c r="I34" s="62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ht="12.5">
      <c r="A35" s="59"/>
      <c r="B35" s="59"/>
      <c r="C35" s="59"/>
      <c r="D35" s="59"/>
      <c r="E35" s="59"/>
      <c r="F35" s="59"/>
      <c r="G35" s="59"/>
      <c r="H35" s="59"/>
      <c r="I35" s="62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</row>
    <row r="36" spans="1:21" ht="12.5">
      <c r="A36" s="59"/>
      <c r="B36" s="59"/>
      <c r="C36" s="59"/>
      <c r="D36" s="59" t="s">
        <v>161</v>
      </c>
      <c r="E36" s="59"/>
      <c r="F36" s="59"/>
      <c r="G36" s="59" t="s">
        <v>204</v>
      </c>
      <c r="H36" s="59" t="s">
        <v>205</v>
      </c>
      <c r="I36" s="62" t="s">
        <v>206</v>
      </c>
      <c r="J36" s="59" t="s">
        <v>207</v>
      </c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ht="12.5">
      <c r="A37" s="65">
        <v>500</v>
      </c>
      <c r="B37" s="65" t="s">
        <v>165</v>
      </c>
      <c r="C37" s="65"/>
      <c r="D37" s="65" t="s">
        <v>175</v>
      </c>
      <c r="E37" s="71">
        <v>39006</v>
      </c>
      <c r="F37" s="65"/>
      <c r="G37" s="84">
        <v>417931</v>
      </c>
      <c r="H37" s="84">
        <v>523950.96566350001</v>
      </c>
      <c r="I37" s="85">
        <v>681484.15966350003</v>
      </c>
      <c r="J37" s="86">
        <v>157533.19399999999</v>
      </c>
      <c r="K37" s="87"/>
      <c r="L37" s="87"/>
      <c r="M37" s="65"/>
      <c r="N37" s="65"/>
      <c r="O37" s="65"/>
      <c r="P37" s="65"/>
      <c r="Q37" s="65"/>
      <c r="R37" s="65"/>
      <c r="S37" s="65"/>
      <c r="T37" s="65"/>
      <c r="U37" s="88"/>
    </row>
    <row r="38" spans="1:21" ht="12.5">
      <c r="A38" s="65">
        <v>501</v>
      </c>
      <c r="B38" s="65" t="s">
        <v>170</v>
      </c>
      <c r="C38" s="65"/>
      <c r="D38" s="65" t="s">
        <v>177</v>
      </c>
      <c r="E38" s="71">
        <v>58306</v>
      </c>
      <c r="F38" s="65"/>
      <c r="G38" s="84">
        <v>624707</v>
      </c>
      <c r="H38" s="84">
        <v>783736.94849524996</v>
      </c>
      <c r="I38" s="89">
        <v>1018604.36649525</v>
      </c>
      <c r="J38" s="71">
        <v>234867.41800000001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88"/>
    </row>
    <row r="39" spans="1:21" ht="12.5">
      <c r="A39" s="65"/>
      <c r="B39" s="65"/>
      <c r="C39" s="65"/>
      <c r="D39" s="65"/>
      <c r="E39" s="65"/>
      <c r="F39" s="65"/>
      <c r="G39" s="65"/>
      <c r="H39" s="65"/>
      <c r="I39" s="89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88"/>
    </row>
    <row r="40" spans="1:21" ht="12.5">
      <c r="A40" s="65"/>
      <c r="B40" s="65"/>
      <c r="C40" s="65"/>
      <c r="D40" s="65"/>
      <c r="E40" s="65"/>
      <c r="F40" s="65"/>
      <c r="G40" s="65"/>
      <c r="H40" s="65"/>
      <c r="I40" s="89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88"/>
    </row>
    <row r="41" spans="1:21" ht="12.5">
      <c r="A41" s="59"/>
      <c r="B41" s="59"/>
      <c r="C41" s="59"/>
      <c r="D41" s="59"/>
      <c r="E41" s="59"/>
      <c r="F41" s="59"/>
      <c r="G41" s="59"/>
      <c r="H41" s="59"/>
      <c r="I41" s="62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80"/>
    </row>
    <row r="42" spans="1:21" ht="12.5">
      <c r="A42" s="59"/>
      <c r="B42" s="59"/>
      <c r="C42" s="59"/>
      <c r="D42" s="59"/>
      <c r="E42" s="59"/>
      <c r="F42" s="59"/>
      <c r="G42" s="59"/>
      <c r="H42" s="59"/>
      <c r="I42" s="62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80"/>
    </row>
    <row r="43" spans="1:21" ht="12.5">
      <c r="A43" s="59"/>
      <c r="B43" s="59"/>
      <c r="C43" s="59"/>
      <c r="D43" s="59"/>
      <c r="E43" s="59"/>
      <c r="F43" s="59"/>
      <c r="G43" s="59"/>
      <c r="H43" s="59"/>
      <c r="I43" s="62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80"/>
    </row>
    <row r="44" spans="1:21" ht="12.5">
      <c r="A44" s="59"/>
      <c r="B44" s="59"/>
      <c r="C44" s="59"/>
      <c r="D44" s="59"/>
      <c r="E44" s="59"/>
      <c r="F44" s="59"/>
      <c r="G44" s="59"/>
      <c r="H44" s="59"/>
      <c r="I44" s="62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80"/>
    </row>
    <row r="45" spans="1:21" ht="12.5">
      <c r="A45" s="59"/>
      <c r="B45" s="59"/>
      <c r="C45" s="59"/>
      <c r="D45" s="59"/>
      <c r="E45" s="59"/>
      <c r="F45" s="59"/>
      <c r="G45" s="59"/>
      <c r="H45" s="59"/>
      <c r="I45" s="62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80"/>
    </row>
    <row r="46" spans="1:21" ht="12.5">
      <c r="A46" s="59"/>
      <c r="B46" s="59"/>
      <c r="C46" s="59"/>
      <c r="D46" s="59"/>
      <c r="E46" s="59"/>
      <c r="F46" s="59"/>
      <c r="G46" s="59"/>
      <c r="H46" s="59"/>
      <c r="I46" s="62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80"/>
    </row>
    <row r="47" spans="1:21" ht="12.5">
      <c r="A47" s="59"/>
      <c r="B47" s="59"/>
      <c r="C47" s="59"/>
      <c r="D47" s="59"/>
      <c r="E47" s="59"/>
      <c r="F47" s="59"/>
      <c r="G47" s="59"/>
      <c r="H47" s="59"/>
      <c r="I47" s="62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80"/>
    </row>
    <row r="48" spans="1:21" ht="12.5">
      <c r="A48" s="59"/>
      <c r="B48" s="59"/>
      <c r="C48" s="59"/>
      <c r="D48" s="59"/>
      <c r="E48" s="59"/>
      <c r="F48" s="59"/>
      <c r="G48" s="59"/>
      <c r="H48" s="59"/>
      <c r="I48" s="62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80"/>
    </row>
    <row r="49" spans="1:21" ht="12.5">
      <c r="A49" s="59"/>
      <c r="B49" s="59"/>
      <c r="C49" s="59"/>
      <c r="D49" s="59"/>
      <c r="E49" s="59"/>
      <c r="F49" s="59"/>
      <c r="G49" s="59"/>
      <c r="H49" s="59"/>
      <c r="I49" s="62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80"/>
    </row>
    <row r="50" spans="1:21" ht="12.5">
      <c r="A50" s="59"/>
      <c r="B50" s="59"/>
      <c r="C50" s="59"/>
      <c r="D50" s="59"/>
      <c r="E50" s="59"/>
      <c r="F50" s="59"/>
      <c r="G50" s="59"/>
      <c r="H50" s="59"/>
      <c r="I50" s="62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80"/>
    </row>
    <row r="51" spans="1:21" ht="12.5">
      <c r="A51" s="59"/>
      <c r="B51" s="59"/>
      <c r="C51" s="59"/>
      <c r="D51" s="59"/>
      <c r="E51" s="59"/>
      <c r="F51" s="59"/>
      <c r="G51" s="59"/>
      <c r="H51" s="59"/>
      <c r="I51" s="62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80"/>
    </row>
    <row r="52" spans="1:21" ht="12.5">
      <c r="A52" s="59"/>
      <c r="B52" s="59"/>
      <c r="C52" s="59"/>
      <c r="D52" s="59"/>
      <c r="E52" s="59"/>
      <c r="F52" s="59"/>
      <c r="G52" s="59"/>
      <c r="H52" s="59"/>
      <c r="I52" s="62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80"/>
    </row>
    <row r="53" spans="1:21" ht="12.5">
      <c r="A53" s="59"/>
      <c r="B53" s="59"/>
      <c r="C53" s="59"/>
      <c r="D53" s="59"/>
      <c r="E53" s="59"/>
      <c r="F53" s="59"/>
      <c r="G53" s="59"/>
      <c r="H53" s="59"/>
      <c r="I53" s="62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80"/>
    </row>
    <row r="54" spans="1:21" ht="12.5">
      <c r="A54" s="59"/>
      <c r="B54" s="59"/>
      <c r="C54" s="59"/>
      <c r="D54" s="59"/>
      <c r="E54" s="59"/>
      <c r="F54" s="59"/>
      <c r="G54" s="59"/>
      <c r="H54" s="59"/>
      <c r="I54" s="62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80"/>
    </row>
    <row r="55" spans="1:21" ht="12.5">
      <c r="A55" s="59"/>
      <c r="B55" s="59"/>
      <c r="C55" s="59"/>
      <c r="D55" s="59"/>
      <c r="E55" s="59"/>
      <c r="F55" s="59"/>
      <c r="G55" s="59"/>
      <c r="H55" s="59"/>
      <c r="I55" s="62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ht="12.5">
      <c r="A56" s="59"/>
      <c r="B56" s="59"/>
      <c r="C56" s="59"/>
      <c r="D56" s="59"/>
      <c r="E56" s="59"/>
      <c r="F56" s="59"/>
      <c r="G56" s="59"/>
      <c r="H56" s="59"/>
      <c r="I56" s="62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ht="12.5">
      <c r="A57" s="59"/>
      <c r="B57" s="59"/>
      <c r="C57" s="59"/>
      <c r="D57" s="59"/>
      <c r="E57" s="59"/>
      <c r="F57" s="59"/>
      <c r="G57" s="59"/>
      <c r="H57" s="59"/>
      <c r="I57" s="62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ht="12.5">
      <c r="A58" s="59"/>
      <c r="B58" s="59"/>
      <c r="C58" s="59"/>
      <c r="D58" s="59"/>
      <c r="E58" s="59"/>
      <c r="F58" s="59"/>
      <c r="G58" s="59"/>
      <c r="H58" s="59"/>
      <c r="I58" s="62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2.5">
      <c r="A59" s="59"/>
      <c r="B59" s="59"/>
      <c r="C59" s="59"/>
      <c r="D59" s="59"/>
      <c r="E59" s="59"/>
      <c r="F59" s="59"/>
      <c r="G59" s="59"/>
      <c r="H59" s="59"/>
      <c r="I59" s="62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0" spans="1:21" ht="12.5">
      <c r="A60" s="59"/>
      <c r="B60" s="59"/>
      <c r="C60" s="59"/>
      <c r="D60" s="59"/>
      <c r="E60" s="59"/>
      <c r="F60" s="59"/>
      <c r="G60" s="59"/>
      <c r="H60" s="59"/>
      <c r="I60" s="62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</row>
    <row r="61" spans="1:21" ht="12.5">
      <c r="A61" s="59"/>
      <c r="B61" s="59"/>
      <c r="C61" s="59"/>
      <c r="D61" s="59"/>
      <c r="E61" s="59"/>
      <c r="F61" s="59"/>
      <c r="G61" s="59"/>
      <c r="H61" s="59"/>
      <c r="I61" s="62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</row>
    <row r="62" spans="1:21" ht="12.5">
      <c r="A62" s="59"/>
      <c r="B62" s="59"/>
      <c r="C62" s="59"/>
      <c r="D62" s="59"/>
      <c r="E62" s="59"/>
      <c r="F62" s="59"/>
      <c r="G62" s="59"/>
      <c r="H62" s="59"/>
      <c r="I62" s="62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</row>
    <row r="63" spans="1:21" ht="12.5">
      <c r="A63" s="59"/>
      <c r="B63" s="59"/>
      <c r="C63" s="59"/>
      <c r="D63" s="59"/>
      <c r="E63" s="59"/>
      <c r="F63" s="59"/>
      <c r="G63" s="59"/>
      <c r="H63" s="59"/>
      <c r="I63" s="62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80"/>
    </row>
    <row r="64" spans="1:21" ht="12.5">
      <c r="A64" s="59"/>
      <c r="B64" s="59"/>
      <c r="C64" s="59"/>
      <c r="D64" s="59"/>
      <c r="E64" s="59"/>
      <c r="F64" s="59"/>
      <c r="G64" s="59"/>
      <c r="H64" s="59"/>
      <c r="I64" s="62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80"/>
    </row>
    <row r="65" spans="1:21" ht="12.5">
      <c r="A65" s="59"/>
      <c r="B65" s="59"/>
      <c r="C65" s="59"/>
      <c r="D65" s="59"/>
      <c r="E65" s="59"/>
      <c r="F65" s="59"/>
      <c r="G65" s="59"/>
      <c r="H65" s="59"/>
      <c r="I65" s="62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80"/>
    </row>
    <row r="66" spans="1:21" ht="12.5">
      <c r="A66" s="59"/>
      <c r="B66" s="59"/>
      <c r="C66" s="59"/>
      <c r="D66" s="59"/>
      <c r="E66" s="59"/>
      <c r="F66" s="59"/>
      <c r="G66" s="59"/>
      <c r="H66" s="59"/>
      <c r="I66" s="62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80"/>
    </row>
    <row r="67" spans="1:21" ht="12.5">
      <c r="A67" s="59"/>
      <c r="B67" s="59"/>
      <c r="C67" s="59"/>
      <c r="D67" s="59"/>
      <c r="E67" s="59"/>
      <c r="F67" s="59"/>
      <c r="G67" s="59"/>
      <c r="H67" s="59"/>
      <c r="I67" s="62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80"/>
    </row>
    <row r="68" spans="1:21" ht="12.5">
      <c r="A68" s="59"/>
      <c r="B68" s="59"/>
      <c r="C68" s="59"/>
      <c r="D68" s="59"/>
      <c r="E68" s="59"/>
      <c r="F68" s="59"/>
      <c r="G68" s="59"/>
      <c r="H68" s="59"/>
      <c r="I68" s="62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80"/>
    </row>
    <row r="69" spans="1:21" ht="12.5">
      <c r="A69" s="59"/>
      <c r="B69" s="59"/>
      <c r="C69" s="59"/>
      <c r="D69" s="59"/>
      <c r="E69" s="59"/>
      <c r="F69" s="59"/>
      <c r="G69" s="59"/>
      <c r="H69" s="59"/>
      <c r="I69" s="62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80"/>
    </row>
    <row r="70" spans="1:21" ht="12.5">
      <c r="A70" s="59"/>
      <c r="B70" s="59"/>
      <c r="C70" s="59"/>
      <c r="D70" s="59"/>
      <c r="E70" s="59"/>
      <c r="F70" s="59"/>
      <c r="G70" s="59"/>
      <c r="H70" s="59"/>
      <c r="I70" s="62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80"/>
    </row>
    <row r="71" spans="1:21" ht="12.5">
      <c r="A71" s="59"/>
      <c r="B71" s="59"/>
      <c r="C71" s="59"/>
      <c r="D71" s="59"/>
      <c r="E71" s="59"/>
      <c r="F71" s="59"/>
      <c r="G71" s="59"/>
      <c r="H71" s="59"/>
      <c r="I71" s="62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80"/>
    </row>
    <row r="72" spans="1:21" ht="12.5">
      <c r="A72" s="59"/>
      <c r="B72" s="59"/>
      <c r="C72" s="59"/>
      <c r="D72" s="59"/>
      <c r="E72" s="59"/>
      <c r="F72" s="59"/>
      <c r="G72" s="59"/>
      <c r="H72" s="59"/>
      <c r="I72" s="62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80"/>
    </row>
    <row r="73" spans="1:21" ht="12.5">
      <c r="A73" s="59"/>
      <c r="B73" s="59"/>
      <c r="C73" s="59"/>
      <c r="D73" s="59"/>
      <c r="E73" s="59"/>
      <c r="F73" s="59"/>
      <c r="G73" s="59"/>
      <c r="H73" s="59"/>
      <c r="I73" s="62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80"/>
    </row>
    <row r="74" spans="1:21" ht="12.5">
      <c r="A74" s="59"/>
      <c r="B74" s="59"/>
      <c r="C74" s="59"/>
      <c r="D74" s="59"/>
      <c r="E74" s="59"/>
      <c r="F74" s="59"/>
      <c r="G74" s="59"/>
      <c r="H74" s="59"/>
      <c r="I74" s="62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80"/>
    </row>
    <row r="75" spans="1:21" ht="12.5">
      <c r="A75" s="59"/>
      <c r="B75" s="59"/>
      <c r="C75" s="59"/>
      <c r="D75" s="59"/>
      <c r="E75" s="59"/>
      <c r="F75" s="59"/>
      <c r="G75" s="59"/>
      <c r="H75" s="59"/>
      <c r="I75" s="62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80"/>
    </row>
    <row r="76" spans="1:21" ht="12.5">
      <c r="A76" s="59"/>
      <c r="B76" s="59"/>
      <c r="C76" s="59"/>
      <c r="D76" s="59"/>
      <c r="E76" s="59"/>
      <c r="F76" s="59"/>
      <c r="G76" s="59"/>
      <c r="H76" s="59"/>
      <c r="I76" s="62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80"/>
    </row>
    <row r="77" spans="1:21" ht="12.5">
      <c r="A77" s="59"/>
      <c r="B77" s="59"/>
      <c r="C77" s="59"/>
      <c r="D77" s="59"/>
      <c r="E77" s="59"/>
      <c r="F77" s="59"/>
      <c r="G77" s="59"/>
      <c r="H77" s="59"/>
      <c r="I77" s="62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80"/>
    </row>
    <row r="78" spans="1:21" ht="12.5">
      <c r="A78" s="59"/>
      <c r="B78" s="59"/>
      <c r="C78" s="59"/>
      <c r="D78" s="59"/>
      <c r="E78" s="59"/>
      <c r="F78" s="59"/>
      <c r="G78" s="59"/>
      <c r="H78" s="59"/>
      <c r="I78" s="62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80"/>
    </row>
    <row r="79" spans="1:21" ht="12.5">
      <c r="A79" s="59"/>
      <c r="B79" s="59"/>
      <c r="C79" s="59"/>
      <c r="D79" s="59"/>
      <c r="E79" s="59"/>
      <c r="F79" s="59"/>
      <c r="G79" s="59"/>
      <c r="H79" s="59"/>
      <c r="I79" s="62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80"/>
    </row>
    <row r="80" spans="1:21" ht="12.5">
      <c r="A80" s="59"/>
      <c r="B80" s="59"/>
      <c r="C80" s="59"/>
      <c r="D80" s="59"/>
      <c r="E80" s="59"/>
      <c r="F80" s="59"/>
      <c r="G80" s="59"/>
      <c r="H80" s="59"/>
      <c r="I80" s="62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80"/>
    </row>
    <row r="81" spans="1:21" ht="12.5">
      <c r="A81" s="59"/>
      <c r="B81" s="59"/>
      <c r="C81" s="59"/>
      <c r="D81" s="59"/>
      <c r="E81" s="59"/>
      <c r="F81" s="59"/>
      <c r="G81" s="59"/>
      <c r="H81" s="59"/>
      <c r="I81" s="62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80"/>
    </row>
    <row r="82" spans="1:21" ht="12.5">
      <c r="A82" s="59"/>
      <c r="B82" s="59"/>
      <c r="C82" s="59"/>
      <c r="D82" s="59"/>
      <c r="E82" s="59"/>
      <c r="F82" s="59"/>
      <c r="G82" s="59"/>
      <c r="H82" s="59"/>
      <c r="I82" s="62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80"/>
    </row>
    <row r="83" spans="1:21" ht="12.5">
      <c r="A83" s="59"/>
      <c r="B83" s="59"/>
      <c r="C83" s="59"/>
      <c r="D83" s="59"/>
      <c r="E83" s="59"/>
      <c r="F83" s="59"/>
      <c r="G83" s="59"/>
      <c r="H83" s="59"/>
      <c r="I83" s="62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80"/>
    </row>
    <row r="84" spans="1:21" ht="12.5">
      <c r="A84" s="59"/>
      <c r="B84" s="59"/>
      <c r="C84" s="59"/>
      <c r="D84" s="59"/>
      <c r="E84" s="59"/>
      <c r="F84" s="59"/>
      <c r="G84" s="59"/>
      <c r="H84" s="59"/>
      <c r="I84" s="62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80"/>
    </row>
    <row r="85" spans="1:21" ht="12.5">
      <c r="A85" s="59"/>
      <c r="B85" s="59"/>
      <c r="C85" s="59"/>
      <c r="D85" s="59"/>
      <c r="E85" s="59"/>
      <c r="F85" s="59"/>
      <c r="G85" s="59"/>
      <c r="H85" s="59"/>
      <c r="I85" s="62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</row>
    <row r="86" spans="1:21" ht="12.5">
      <c r="A86" s="59"/>
      <c r="B86" s="59"/>
      <c r="C86" s="59"/>
      <c r="D86" s="59"/>
      <c r="E86" s="59"/>
      <c r="F86" s="59"/>
      <c r="G86" s="59"/>
      <c r="H86" s="59"/>
      <c r="I86" s="62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</row>
    <row r="87" spans="1:21" ht="12.5">
      <c r="A87" s="59"/>
      <c r="B87" s="59"/>
      <c r="C87" s="59"/>
      <c r="D87" s="59"/>
      <c r="E87" s="59"/>
      <c r="F87" s="59"/>
      <c r="G87" s="59"/>
      <c r="H87" s="59"/>
      <c r="I87" s="62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</row>
    <row r="88" spans="1:21" ht="12.5">
      <c r="A88" s="59"/>
      <c r="B88" s="59"/>
      <c r="C88" s="59"/>
      <c r="D88" s="59"/>
      <c r="E88" s="59"/>
      <c r="F88" s="59"/>
      <c r="G88" s="59"/>
      <c r="H88" s="59"/>
      <c r="I88" s="62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</row>
    <row r="89" spans="1:21" ht="12.5">
      <c r="A89" s="59"/>
      <c r="B89" s="59"/>
      <c r="C89" s="59"/>
      <c r="D89" s="59"/>
      <c r="E89" s="59"/>
      <c r="F89" s="59"/>
      <c r="G89" s="59"/>
      <c r="H89" s="59"/>
      <c r="I89" s="62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</row>
    <row r="90" spans="1:21" ht="12.5">
      <c r="A90" s="59"/>
      <c r="B90" s="59"/>
      <c r="C90" s="59"/>
      <c r="D90" s="59"/>
      <c r="E90" s="59"/>
      <c r="F90" s="59"/>
      <c r="G90" s="59"/>
      <c r="H90" s="59"/>
      <c r="I90" s="62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</row>
    <row r="91" spans="1:21" ht="12.5">
      <c r="A91" s="59"/>
      <c r="B91" s="59"/>
      <c r="C91" s="59"/>
      <c r="D91" s="59"/>
      <c r="E91" s="59"/>
      <c r="F91" s="59"/>
      <c r="G91" s="59"/>
      <c r="H91" s="59"/>
      <c r="I91" s="62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</row>
    <row r="92" spans="1:21" ht="12.5">
      <c r="A92" s="59"/>
      <c r="B92" s="59"/>
      <c r="C92" s="59"/>
      <c r="D92" s="59"/>
      <c r="E92" s="59"/>
      <c r="F92" s="59"/>
      <c r="G92" s="59"/>
      <c r="H92" s="59"/>
      <c r="I92" s="62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</row>
    <row r="93" spans="1:21" ht="12.5">
      <c r="A93" s="59"/>
      <c r="B93" s="59"/>
      <c r="C93" s="59"/>
      <c r="D93" s="59"/>
      <c r="E93" s="59"/>
      <c r="F93" s="59"/>
      <c r="G93" s="59"/>
      <c r="H93" s="59"/>
      <c r="I93" s="62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</row>
    <row r="94" spans="1:21" ht="12.5">
      <c r="A94" s="59"/>
      <c r="B94" s="59"/>
      <c r="C94" s="59"/>
      <c r="D94" s="59"/>
      <c r="E94" s="59"/>
      <c r="F94" s="59"/>
      <c r="G94" s="59"/>
      <c r="H94" s="59"/>
      <c r="I94" s="62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</row>
    <row r="95" spans="1:21" ht="12.5">
      <c r="A95" s="59"/>
      <c r="B95" s="59"/>
      <c r="C95" s="59"/>
      <c r="D95" s="59"/>
      <c r="E95" s="59"/>
      <c r="F95" s="59"/>
      <c r="G95" s="59"/>
      <c r="H95" s="59"/>
      <c r="I95" s="62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</row>
    <row r="96" spans="1:21" ht="12.5">
      <c r="A96" s="59"/>
      <c r="B96" s="59"/>
      <c r="C96" s="59"/>
      <c r="D96" s="59"/>
      <c r="E96" s="59"/>
      <c r="F96" s="59"/>
      <c r="G96" s="59"/>
      <c r="H96" s="59"/>
      <c r="I96" s="62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</row>
    <row r="97" spans="1:21" ht="12.5">
      <c r="A97" s="59"/>
      <c r="B97" s="59"/>
      <c r="C97" s="59"/>
      <c r="D97" s="59"/>
      <c r="E97" s="59"/>
      <c r="F97" s="59"/>
      <c r="G97" s="59"/>
      <c r="H97" s="59"/>
      <c r="I97" s="62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</row>
    <row r="98" spans="1:21" ht="12.5">
      <c r="A98" s="59"/>
      <c r="B98" s="59"/>
      <c r="C98" s="59"/>
      <c r="D98" s="59"/>
      <c r="E98" s="59"/>
      <c r="F98" s="59"/>
      <c r="G98" s="59"/>
      <c r="H98" s="59"/>
      <c r="I98" s="62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</row>
    <row r="99" spans="1:21" ht="12.5">
      <c r="A99" s="59"/>
      <c r="B99" s="59"/>
      <c r="C99" s="59"/>
      <c r="D99" s="59"/>
      <c r="E99" s="59"/>
      <c r="F99" s="59"/>
      <c r="G99" s="59"/>
      <c r="H99" s="59"/>
      <c r="I99" s="62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</row>
    <row r="100" spans="1:21" ht="12.5">
      <c r="A100" s="59"/>
      <c r="B100" s="59"/>
      <c r="C100" s="59"/>
      <c r="D100" s="59"/>
      <c r="E100" s="59"/>
      <c r="F100" s="59"/>
      <c r="G100" s="59"/>
      <c r="H100" s="59"/>
      <c r="I100" s="62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</row>
    <row r="101" spans="1:21" ht="12.5">
      <c r="A101" s="59"/>
      <c r="B101" s="59"/>
      <c r="C101" s="59"/>
      <c r="D101" s="59"/>
      <c r="E101" s="59"/>
      <c r="F101" s="59"/>
      <c r="G101" s="59"/>
      <c r="H101" s="59"/>
      <c r="I101" s="62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</row>
    <row r="102" spans="1:21" ht="12.5">
      <c r="I102" s="62"/>
    </row>
    <row r="103" spans="1:21" ht="12.5">
      <c r="I103" s="62"/>
    </row>
    <row r="104" spans="1:21" ht="12.5">
      <c r="I104" s="62"/>
    </row>
    <row r="105" spans="1:21" ht="12.5">
      <c r="I105" s="62"/>
    </row>
    <row r="106" spans="1:21" ht="12.5">
      <c r="I106" s="62"/>
    </row>
    <row r="107" spans="1:21" ht="12.5">
      <c r="I107" s="62"/>
    </row>
    <row r="108" spans="1:21" ht="12.5">
      <c r="I108" s="62"/>
    </row>
    <row r="109" spans="1:21" ht="12.5">
      <c r="I109" s="62"/>
    </row>
    <row r="110" spans="1:21" ht="12.5">
      <c r="I110" s="62"/>
    </row>
    <row r="111" spans="1:21" ht="12.5">
      <c r="I111" s="62"/>
    </row>
    <row r="112" spans="1:21" ht="12.5">
      <c r="I112" s="62"/>
    </row>
    <row r="113" spans="9:9" ht="12.5">
      <c r="I113" s="62"/>
    </row>
    <row r="114" spans="9:9" ht="12.5">
      <c r="I114" s="62"/>
    </row>
    <row r="115" spans="9:9" ht="12.5">
      <c r="I115" s="62"/>
    </row>
    <row r="116" spans="9:9" ht="12.5">
      <c r="I116" s="62"/>
    </row>
    <row r="117" spans="9:9" ht="12.5">
      <c r="I117" s="62"/>
    </row>
    <row r="118" spans="9:9" ht="12.5">
      <c r="I118" s="62"/>
    </row>
    <row r="119" spans="9:9" ht="12.5">
      <c r="I119" s="62"/>
    </row>
    <row r="120" spans="9:9" ht="12.5">
      <c r="I120" s="62"/>
    </row>
    <row r="121" spans="9:9" ht="12.5">
      <c r="I121" s="62"/>
    </row>
    <row r="122" spans="9:9" ht="12.5">
      <c r="I122" s="62"/>
    </row>
    <row r="123" spans="9:9" ht="12.5">
      <c r="I123" s="62"/>
    </row>
    <row r="124" spans="9:9" ht="12.5">
      <c r="I124" s="62"/>
    </row>
    <row r="125" spans="9:9" ht="12.5">
      <c r="I125" s="62"/>
    </row>
    <row r="126" spans="9:9" ht="12.5">
      <c r="I126" s="62"/>
    </row>
    <row r="127" spans="9:9" ht="12.5">
      <c r="I127" s="62"/>
    </row>
    <row r="128" spans="9:9" ht="12.5">
      <c r="I128" s="62"/>
    </row>
    <row r="129" spans="9:9" ht="12.5">
      <c r="I129" s="62"/>
    </row>
    <row r="130" spans="9:9" ht="12.5">
      <c r="I130" s="62"/>
    </row>
    <row r="131" spans="9:9" ht="12.5">
      <c r="I131" s="62"/>
    </row>
    <row r="132" spans="9:9" ht="12.5">
      <c r="I132" s="62"/>
    </row>
    <row r="133" spans="9:9" ht="12.5">
      <c r="I133" s="62"/>
    </row>
    <row r="134" spans="9:9" ht="12.5">
      <c r="I134" s="62"/>
    </row>
    <row r="135" spans="9:9" ht="12.5">
      <c r="I135" s="62"/>
    </row>
    <row r="136" spans="9:9" ht="12.5">
      <c r="I136" s="62"/>
    </row>
    <row r="137" spans="9:9" ht="12.5">
      <c r="I137" s="62"/>
    </row>
    <row r="138" spans="9:9" ht="12.5">
      <c r="I138" s="62"/>
    </row>
    <row r="139" spans="9:9" ht="12.5">
      <c r="I139" s="62"/>
    </row>
    <row r="140" spans="9:9" ht="12.5">
      <c r="I140" s="62"/>
    </row>
    <row r="141" spans="9:9" ht="12.5">
      <c r="I141" s="62"/>
    </row>
    <row r="142" spans="9:9" ht="12.5">
      <c r="I142" s="62"/>
    </row>
    <row r="143" spans="9:9" ht="12.5">
      <c r="I143" s="62"/>
    </row>
    <row r="144" spans="9:9" ht="12.5">
      <c r="I144" s="62"/>
    </row>
    <row r="145" spans="9:9" ht="12.5">
      <c r="I145" s="62"/>
    </row>
    <row r="146" spans="9:9" ht="12.5">
      <c r="I146" s="62"/>
    </row>
    <row r="147" spans="9:9" ht="12.5">
      <c r="I147" s="62"/>
    </row>
    <row r="148" spans="9:9" ht="12.5">
      <c r="I148" s="62"/>
    </row>
    <row r="149" spans="9:9" ht="12.5">
      <c r="I149" s="62"/>
    </row>
    <row r="150" spans="9:9" ht="12.5">
      <c r="I150" s="62"/>
    </row>
    <row r="151" spans="9:9" ht="12.5">
      <c r="I151" s="62"/>
    </row>
    <row r="152" spans="9:9" ht="12.5">
      <c r="I152" s="62"/>
    </row>
    <row r="153" spans="9:9" ht="12.5">
      <c r="I153" s="62"/>
    </row>
    <row r="154" spans="9:9" ht="12.5">
      <c r="I154" s="62"/>
    </row>
    <row r="155" spans="9:9" ht="12.5">
      <c r="I155" s="62"/>
    </row>
    <row r="156" spans="9:9" ht="12.5">
      <c r="I156" s="62"/>
    </row>
    <row r="157" spans="9:9" ht="12.5">
      <c r="I157" s="62"/>
    </row>
    <row r="158" spans="9:9" ht="12.5">
      <c r="I158" s="62"/>
    </row>
    <row r="159" spans="9:9" ht="12.5">
      <c r="I159" s="62"/>
    </row>
    <row r="160" spans="9:9" ht="12.5">
      <c r="I160" s="62"/>
    </row>
    <row r="161" spans="9:9" ht="12.5">
      <c r="I161" s="62"/>
    </row>
    <row r="162" spans="9:9" ht="12.5">
      <c r="I162" s="62"/>
    </row>
    <row r="163" spans="9:9" ht="12.5">
      <c r="I163" s="62"/>
    </row>
    <row r="164" spans="9:9" ht="12.5">
      <c r="I164" s="62"/>
    </row>
    <row r="165" spans="9:9" ht="12.5">
      <c r="I165" s="62"/>
    </row>
    <row r="166" spans="9:9" ht="12.5">
      <c r="I166" s="62"/>
    </row>
    <row r="167" spans="9:9" ht="12.5">
      <c r="I167" s="62"/>
    </row>
    <row r="168" spans="9:9" ht="12.5">
      <c r="I168" s="62"/>
    </row>
    <row r="169" spans="9:9" ht="12.5">
      <c r="I169" s="62"/>
    </row>
    <row r="170" spans="9:9" ht="12.5">
      <c r="I170" s="62"/>
    </row>
    <row r="171" spans="9:9" ht="12.5">
      <c r="I171" s="62"/>
    </row>
    <row r="172" spans="9:9" ht="12.5">
      <c r="I172" s="62"/>
    </row>
    <row r="173" spans="9:9" ht="12.5">
      <c r="I173" s="62"/>
    </row>
    <row r="174" spans="9:9" ht="12.5">
      <c r="I174" s="62"/>
    </row>
    <row r="175" spans="9:9" ht="12.5">
      <c r="I175" s="62"/>
    </row>
    <row r="176" spans="9:9" ht="12.5">
      <c r="I176" s="62"/>
    </row>
    <row r="177" spans="9:9" ht="12.5">
      <c r="I177" s="62"/>
    </row>
    <row r="178" spans="9:9" ht="12.5">
      <c r="I178" s="62"/>
    </row>
    <row r="179" spans="9:9" ht="12.5">
      <c r="I179" s="62"/>
    </row>
    <row r="180" spans="9:9" ht="12.5">
      <c r="I180" s="62"/>
    </row>
    <row r="181" spans="9:9" ht="12.5">
      <c r="I181" s="62"/>
    </row>
    <row r="182" spans="9:9" ht="12.5">
      <c r="I182" s="62"/>
    </row>
    <row r="183" spans="9:9" ht="12.5">
      <c r="I183" s="62"/>
    </row>
    <row r="184" spans="9:9" ht="12.5">
      <c r="I184" s="62"/>
    </row>
    <row r="185" spans="9:9" ht="12.5">
      <c r="I185" s="62"/>
    </row>
    <row r="186" spans="9:9" ht="12.5">
      <c r="I186" s="62"/>
    </row>
    <row r="187" spans="9:9" ht="12.5">
      <c r="I187" s="62"/>
    </row>
    <row r="188" spans="9:9" ht="12.5">
      <c r="I188" s="62"/>
    </row>
    <row r="189" spans="9:9" ht="12.5">
      <c r="I189" s="62"/>
    </row>
    <row r="190" spans="9:9" ht="12.5">
      <c r="I190" s="62"/>
    </row>
    <row r="191" spans="9:9" ht="12.5">
      <c r="I191" s="62"/>
    </row>
    <row r="192" spans="9:9" ht="12.5">
      <c r="I192" s="62"/>
    </row>
    <row r="193" spans="9:9" ht="12.5">
      <c r="I193" s="62"/>
    </row>
    <row r="194" spans="9:9" ht="12.5">
      <c r="I194" s="62"/>
    </row>
    <row r="195" spans="9:9" ht="12.5">
      <c r="I195" s="62"/>
    </row>
    <row r="196" spans="9:9" ht="12.5">
      <c r="I196" s="62"/>
    </row>
    <row r="197" spans="9:9" ht="12.5">
      <c r="I197" s="62"/>
    </row>
    <row r="198" spans="9:9" ht="12.5">
      <c r="I198" s="62"/>
    </row>
    <row r="199" spans="9:9" ht="12.5">
      <c r="I199" s="62"/>
    </row>
    <row r="200" spans="9:9" ht="12.5">
      <c r="I200" s="62"/>
    </row>
    <row r="201" spans="9:9" ht="12.5">
      <c r="I201" s="62"/>
    </row>
    <row r="202" spans="9:9" ht="12.5">
      <c r="I202" s="62"/>
    </row>
    <row r="203" spans="9:9" ht="12.5">
      <c r="I203" s="62"/>
    </row>
    <row r="204" spans="9:9" ht="12.5">
      <c r="I204" s="62"/>
    </row>
    <row r="205" spans="9:9" ht="12.5">
      <c r="I205" s="62"/>
    </row>
    <row r="206" spans="9:9" ht="12.5">
      <c r="I206" s="62"/>
    </row>
    <row r="207" spans="9:9" ht="12.5">
      <c r="I207" s="62"/>
    </row>
    <row r="208" spans="9:9" ht="12.5">
      <c r="I208" s="62"/>
    </row>
    <row r="209" spans="9:9" ht="12.5">
      <c r="I209" s="62"/>
    </row>
    <row r="210" spans="9:9" ht="12.5">
      <c r="I210" s="62"/>
    </row>
    <row r="211" spans="9:9" ht="12.5">
      <c r="I211" s="62"/>
    </row>
    <row r="212" spans="9:9" ht="12.5">
      <c r="I212" s="62"/>
    </row>
    <row r="213" spans="9:9" ht="12.5">
      <c r="I213" s="62"/>
    </row>
    <row r="214" spans="9:9" ht="12.5">
      <c r="I214" s="62"/>
    </row>
    <row r="215" spans="9:9" ht="12.5">
      <c r="I215" s="62"/>
    </row>
    <row r="216" spans="9:9" ht="12.5">
      <c r="I216" s="62"/>
    </row>
    <row r="217" spans="9:9" ht="12.5">
      <c r="I217" s="62"/>
    </row>
    <row r="218" spans="9:9" ht="12.5">
      <c r="I218" s="62"/>
    </row>
    <row r="219" spans="9:9" ht="12.5">
      <c r="I219" s="62"/>
    </row>
    <row r="220" spans="9:9" ht="12.5">
      <c r="I220" s="62"/>
    </row>
    <row r="221" spans="9:9" ht="12.5">
      <c r="I221" s="62"/>
    </row>
    <row r="222" spans="9:9" ht="12.5">
      <c r="I222" s="62"/>
    </row>
    <row r="223" spans="9:9" ht="12.5">
      <c r="I223" s="62"/>
    </row>
    <row r="224" spans="9:9" ht="12.5">
      <c r="I224" s="62"/>
    </row>
    <row r="225" spans="9:9" ht="12.5">
      <c r="I225" s="62"/>
    </row>
    <row r="226" spans="9:9" ht="12.5">
      <c r="I226" s="62"/>
    </row>
    <row r="227" spans="9:9" ht="12.5">
      <c r="I227" s="62"/>
    </row>
    <row r="228" spans="9:9" ht="12.5">
      <c r="I228" s="62"/>
    </row>
    <row r="229" spans="9:9" ht="12.5">
      <c r="I229" s="62"/>
    </row>
    <row r="230" spans="9:9" ht="12.5">
      <c r="I230" s="62"/>
    </row>
    <row r="231" spans="9:9" ht="12.5">
      <c r="I231" s="62"/>
    </row>
    <row r="232" spans="9:9" ht="12.5">
      <c r="I232" s="62"/>
    </row>
    <row r="233" spans="9:9" ht="12.5">
      <c r="I233" s="62"/>
    </row>
    <row r="234" spans="9:9" ht="12.5">
      <c r="I234" s="62"/>
    </row>
    <row r="235" spans="9:9" ht="12.5">
      <c r="I235" s="62"/>
    </row>
    <row r="236" spans="9:9" ht="12.5">
      <c r="I236" s="62"/>
    </row>
    <row r="237" spans="9:9" ht="12.5">
      <c r="I237" s="62"/>
    </row>
    <row r="238" spans="9:9" ht="12.5">
      <c r="I238" s="62"/>
    </row>
    <row r="239" spans="9:9" ht="12.5">
      <c r="I239" s="62"/>
    </row>
    <row r="240" spans="9:9" ht="12.5">
      <c r="I240" s="62"/>
    </row>
    <row r="241" spans="9:9" ht="12.5">
      <c r="I241" s="62"/>
    </row>
    <row r="242" spans="9:9" ht="12.5">
      <c r="I242" s="62"/>
    </row>
    <row r="243" spans="9:9" ht="12.5">
      <c r="I243" s="62"/>
    </row>
    <row r="244" spans="9:9" ht="12.5">
      <c r="I244" s="62"/>
    </row>
    <row r="245" spans="9:9" ht="12.5">
      <c r="I245" s="62"/>
    </row>
    <row r="246" spans="9:9" ht="12.5">
      <c r="I246" s="62"/>
    </row>
    <row r="247" spans="9:9" ht="12.5">
      <c r="I247" s="62"/>
    </row>
    <row r="248" spans="9:9" ht="12.5">
      <c r="I248" s="62"/>
    </row>
    <row r="249" spans="9:9" ht="12.5">
      <c r="I249" s="62"/>
    </row>
    <row r="250" spans="9:9" ht="12.5">
      <c r="I250" s="62"/>
    </row>
    <row r="251" spans="9:9" ht="12.5">
      <c r="I251" s="62"/>
    </row>
    <row r="252" spans="9:9" ht="12.5">
      <c r="I252" s="62"/>
    </row>
    <row r="253" spans="9:9" ht="12.5">
      <c r="I253" s="62"/>
    </row>
    <row r="254" spans="9:9" ht="12.5">
      <c r="I254" s="62"/>
    </row>
    <row r="255" spans="9:9" ht="12.5">
      <c r="I255" s="62"/>
    </row>
    <row r="256" spans="9:9" ht="12.5">
      <c r="I256" s="62"/>
    </row>
    <row r="257" spans="9:9" ht="12.5">
      <c r="I257" s="62"/>
    </row>
    <row r="258" spans="9:9" ht="12.5">
      <c r="I258" s="62"/>
    </row>
    <row r="259" spans="9:9" ht="12.5">
      <c r="I259" s="62"/>
    </row>
    <row r="260" spans="9:9" ht="12.5">
      <c r="I260" s="62"/>
    </row>
    <row r="261" spans="9:9" ht="12.5">
      <c r="I261" s="62"/>
    </row>
    <row r="262" spans="9:9" ht="12.5">
      <c r="I262" s="62"/>
    </row>
    <row r="263" spans="9:9" ht="12.5">
      <c r="I263" s="62"/>
    </row>
    <row r="264" spans="9:9" ht="12.5">
      <c r="I264" s="62"/>
    </row>
    <row r="265" spans="9:9" ht="12.5">
      <c r="I265" s="62"/>
    </row>
    <row r="266" spans="9:9" ht="12.5">
      <c r="I266" s="62"/>
    </row>
    <row r="267" spans="9:9" ht="12.5">
      <c r="I267" s="62"/>
    </row>
    <row r="268" spans="9:9" ht="12.5">
      <c r="I268" s="62"/>
    </row>
    <row r="269" spans="9:9" ht="12.5">
      <c r="I269" s="62"/>
    </row>
    <row r="270" spans="9:9" ht="12.5">
      <c r="I270" s="62"/>
    </row>
    <row r="271" spans="9:9" ht="12.5">
      <c r="I271" s="62"/>
    </row>
    <row r="272" spans="9:9" ht="12.5">
      <c r="I272" s="62"/>
    </row>
    <row r="273" spans="9:9" ht="12.5">
      <c r="I273" s="62"/>
    </row>
    <row r="274" spans="9:9" ht="12.5">
      <c r="I274" s="62"/>
    </row>
    <row r="275" spans="9:9" ht="12.5">
      <c r="I275" s="62"/>
    </row>
    <row r="276" spans="9:9" ht="12.5">
      <c r="I276" s="62"/>
    </row>
    <row r="277" spans="9:9" ht="12.5">
      <c r="I277" s="62"/>
    </row>
    <row r="278" spans="9:9" ht="12.5">
      <c r="I278" s="62"/>
    </row>
    <row r="279" spans="9:9" ht="12.5">
      <c r="I279" s="62"/>
    </row>
    <row r="280" spans="9:9" ht="12.5">
      <c r="I280" s="62"/>
    </row>
    <row r="281" spans="9:9" ht="12.5">
      <c r="I281" s="62"/>
    </row>
    <row r="282" spans="9:9" ht="12.5">
      <c r="I282" s="62"/>
    </row>
    <row r="283" spans="9:9" ht="12.5">
      <c r="I283" s="62"/>
    </row>
    <row r="284" spans="9:9" ht="12.5">
      <c r="I284" s="62"/>
    </row>
    <row r="285" spans="9:9" ht="12.5">
      <c r="I285" s="62"/>
    </row>
    <row r="286" spans="9:9" ht="12.5">
      <c r="I286" s="62"/>
    </row>
    <row r="287" spans="9:9" ht="12.5">
      <c r="I287" s="62"/>
    </row>
    <row r="288" spans="9:9" ht="12.5">
      <c r="I288" s="62"/>
    </row>
    <row r="289" spans="9:9" ht="12.5">
      <c r="I289" s="62"/>
    </row>
    <row r="290" spans="9:9" ht="12.5">
      <c r="I290" s="62"/>
    </row>
    <row r="291" spans="9:9" ht="12.5">
      <c r="I291" s="62"/>
    </row>
    <row r="292" spans="9:9" ht="12.5">
      <c r="I292" s="62"/>
    </row>
    <row r="293" spans="9:9" ht="12.5">
      <c r="I293" s="62"/>
    </row>
    <row r="294" spans="9:9" ht="12.5">
      <c r="I294" s="62"/>
    </row>
    <row r="295" spans="9:9" ht="12.5">
      <c r="I295" s="62"/>
    </row>
    <row r="296" spans="9:9" ht="12.5">
      <c r="I296" s="62"/>
    </row>
    <row r="297" spans="9:9" ht="12.5">
      <c r="I297" s="62"/>
    </row>
    <row r="298" spans="9:9" ht="12.5">
      <c r="I298" s="62"/>
    </row>
    <row r="299" spans="9:9" ht="12.5">
      <c r="I299" s="62"/>
    </row>
    <row r="300" spans="9:9" ht="12.5">
      <c r="I300" s="62"/>
    </row>
    <row r="301" spans="9:9" ht="12.5">
      <c r="I301" s="62"/>
    </row>
    <row r="302" spans="9:9" ht="12.5">
      <c r="I302" s="62"/>
    </row>
    <row r="303" spans="9:9" ht="12.5">
      <c r="I303" s="62"/>
    </row>
    <row r="304" spans="9:9" ht="12.5">
      <c r="I304" s="62"/>
    </row>
    <row r="305" spans="9:9" ht="12.5">
      <c r="I305" s="62"/>
    </row>
    <row r="306" spans="9:9" ht="12.5">
      <c r="I306" s="62"/>
    </row>
    <row r="307" spans="9:9" ht="12.5">
      <c r="I307" s="62"/>
    </row>
    <row r="308" spans="9:9" ht="12.5">
      <c r="I308" s="62"/>
    </row>
    <row r="309" spans="9:9" ht="12.5">
      <c r="I309" s="62"/>
    </row>
    <row r="310" spans="9:9" ht="12.5">
      <c r="I310" s="62"/>
    </row>
    <row r="311" spans="9:9" ht="12.5">
      <c r="I311" s="62"/>
    </row>
    <row r="312" spans="9:9" ht="12.5">
      <c r="I312" s="62"/>
    </row>
    <row r="313" spans="9:9" ht="12.5">
      <c r="I313" s="62"/>
    </row>
    <row r="314" spans="9:9" ht="12.5">
      <c r="I314" s="62"/>
    </row>
    <row r="315" spans="9:9" ht="12.5">
      <c r="I315" s="62"/>
    </row>
    <row r="316" spans="9:9" ht="12.5">
      <c r="I316" s="62"/>
    </row>
    <row r="317" spans="9:9" ht="12.5">
      <c r="I317" s="62"/>
    </row>
    <row r="318" spans="9:9" ht="12.5">
      <c r="I318" s="62"/>
    </row>
    <row r="319" spans="9:9" ht="12.5">
      <c r="I319" s="62"/>
    </row>
    <row r="320" spans="9:9" ht="12.5">
      <c r="I320" s="62"/>
    </row>
    <row r="321" spans="9:9" ht="12.5">
      <c r="I321" s="62"/>
    </row>
    <row r="322" spans="9:9" ht="12.5">
      <c r="I322" s="62"/>
    </row>
    <row r="323" spans="9:9" ht="12.5">
      <c r="I323" s="62"/>
    </row>
    <row r="324" spans="9:9" ht="12.5">
      <c r="I324" s="62"/>
    </row>
    <row r="325" spans="9:9" ht="12.5">
      <c r="I325" s="62"/>
    </row>
    <row r="326" spans="9:9" ht="12.5">
      <c r="I326" s="62"/>
    </row>
    <row r="327" spans="9:9" ht="12.5">
      <c r="I327" s="62"/>
    </row>
    <row r="328" spans="9:9" ht="12.5">
      <c r="I328" s="62"/>
    </row>
    <row r="329" spans="9:9" ht="12.5">
      <c r="I329" s="62"/>
    </row>
    <row r="330" spans="9:9" ht="12.5">
      <c r="I330" s="62"/>
    </row>
    <row r="331" spans="9:9" ht="12.5">
      <c r="I331" s="62"/>
    </row>
    <row r="332" spans="9:9" ht="12.5">
      <c r="I332" s="62"/>
    </row>
    <row r="333" spans="9:9" ht="12.5">
      <c r="I333" s="62"/>
    </row>
    <row r="334" spans="9:9" ht="12.5">
      <c r="I334" s="62"/>
    </row>
    <row r="335" spans="9:9" ht="12.5">
      <c r="I335" s="62"/>
    </row>
    <row r="336" spans="9:9" ht="12.5">
      <c r="I336" s="62"/>
    </row>
    <row r="337" spans="9:9" ht="12.5">
      <c r="I337" s="62"/>
    </row>
    <row r="338" spans="9:9" ht="12.5">
      <c r="I338" s="62"/>
    </row>
    <row r="339" spans="9:9" ht="12.5">
      <c r="I339" s="62"/>
    </row>
    <row r="340" spans="9:9" ht="12.5">
      <c r="I340" s="62"/>
    </row>
    <row r="341" spans="9:9" ht="12.5">
      <c r="I341" s="62"/>
    </row>
    <row r="342" spans="9:9" ht="12.5">
      <c r="I342" s="62"/>
    </row>
    <row r="343" spans="9:9" ht="12.5">
      <c r="I343" s="62"/>
    </row>
    <row r="344" spans="9:9" ht="12.5">
      <c r="I344" s="62"/>
    </row>
    <row r="345" spans="9:9" ht="12.5">
      <c r="I345" s="62"/>
    </row>
    <row r="346" spans="9:9" ht="12.5">
      <c r="I346" s="62"/>
    </row>
    <row r="347" spans="9:9" ht="12.5">
      <c r="I347" s="62"/>
    </row>
    <row r="348" spans="9:9" ht="12.5">
      <c r="I348" s="62"/>
    </row>
    <row r="349" spans="9:9" ht="12.5">
      <c r="I349" s="62"/>
    </row>
    <row r="350" spans="9:9" ht="12.5">
      <c r="I350" s="62"/>
    </row>
    <row r="351" spans="9:9" ht="12.5">
      <c r="I351" s="62"/>
    </row>
    <row r="352" spans="9:9" ht="12.5">
      <c r="I352" s="62"/>
    </row>
    <row r="353" spans="9:9" ht="12.5">
      <c r="I353" s="62"/>
    </row>
    <row r="354" spans="9:9" ht="12.5">
      <c r="I354" s="62"/>
    </row>
    <row r="355" spans="9:9" ht="12.5">
      <c r="I355" s="62"/>
    </row>
    <row r="356" spans="9:9" ht="12.5">
      <c r="I356" s="62"/>
    </row>
    <row r="357" spans="9:9" ht="12.5">
      <c r="I357" s="62"/>
    </row>
    <row r="358" spans="9:9" ht="12.5">
      <c r="I358" s="62"/>
    </row>
    <row r="359" spans="9:9" ht="12.5">
      <c r="I359" s="62"/>
    </row>
    <row r="360" spans="9:9" ht="12.5">
      <c r="I360" s="62"/>
    </row>
    <row r="361" spans="9:9" ht="12.5">
      <c r="I361" s="62"/>
    </row>
    <row r="362" spans="9:9" ht="12.5">
      <c r="I362" s="62"/>
    </row>
    <row r="363" spans="9:9" ht="12.5">
      <c r="I363" s="62"/>
    </row>
    <row r="364" spans="9:9" ht="12.5">
      <c r="I364" s="62"/>
    </row>
    <row r="365" spans="9:9" ht="12.5">
      <c r="I365" s="62"/>
    </row>
    <row r="366" spans="9:9" ht="12.5">
      <c r="I366" s="62"/>
    </row>
    <row r="367" spans="9:9" ht="12.5">
      <c r="I367" s="62"/>
    </row>
    <row r="368" spans="9:9" ht="12.5">
      <c r="I368" s="62"/>
    </row>
    <row r="369" spans="9:9" ht="12.5">
      <c r="I369" s="62"/>
    </row>
    <row r="370" spans="9:9" ht="12.5">
      <c r="I370" s="62"/>
    </row>
    <row r="371" spans="9:9" ht="12.5">
      <c r="I371" s="62"/>
    </row>
    <row r="372" spans="9:9" ht="12.5">
      <c r="I372" s="62"/>
    </row>
    <row r="373" spans="9:9" ht="12.5">
      <c r="I373" s="62"/>
    </row>
    <row r="374" spans="9:9" ht="12.5">
      <c r="I374" s="62"/>
    </row>
    <row r="375" spans="9:9" ht="12.5">
      <c r="I375" s="62"/>
    </row>
    <row r="376" spans="9:9" ht="12.5">
      <c r="I376" s="62"/>
    </row>
    <row r="377" spans="9:9" ht="12.5">
      <c r="I377" s="62"/>
    </row>
    <row r="378" spans="9:9" ht="12.5">
      <c r="I378" s="62"/>
    </row>
    <row r="379" spans="9:9" ht="12.5">
      <c r="I379" s="62"/>
    </row>
    <row r="380" spans="9:9" ht="12.5">
      <c r="I380" s="62"/>
    </row>
    <row r="381" spans="9:9" ht="12.5">
      <c r="I381" s="62"/>
    </row>
    <row r="382" spans="9:9" ht="12.5">
      <c r="I382" s="62"/>
    </row>
    <row r="383" spans="9:9" ht="12.5">
      <c r="I383" s="62"/>
    </row>
    <row r="384" spans="9:9" ht="12.5">
      <c r="I384" s="62"/>
    </row>
    <row r="385" spans="9:9" ht="12.5">
      <c r="I385" s="62"/>
    </row>
    <row r="386" spans="9:9" ht="12.5">
      <c r="I386" s="62"/>
    </row>
    <row r="387" spans="9:9" ht="12.5">
      <c r="I387" s="62"/>
    </row>
    <row r="388" spans="9:9" ht="12.5">
      <c r="I388" s="62"/>
    </row>
    <row r="389" spans="9:9" ht="12.5">
      <c r="I389" s="62"/>
    </row>
    <row r="390" spans="9:9" ht="12.5">
      <c r="I390" s="62"/>
    </row>
    <row r="391" spans="9:9" ht="12.5">
      <c r="I391" s="62"/>
    </row>
    <row r="392" spans="9:9" ht="12.5">
      <c r="I392" s="62"/>
    </row>
    <row r="393" spans="9:9" ht="12.5">
      <c r="I393" s="62"/>
    </row>
    <row r="394" spans="9:9" ht="12.5">
      <c r="I394" s="62"/>
    </row>
    <row r="395" spans="9:9" ht="12.5">
      <c r="I395" s="62"/>
    </row>
    <row r="396" spans="9:9" ht="12.5">
      <c r="I396" s="62"/>
    </row>
    <row r="397" spans="9:9" ht="12.5">
      <c r="I397" s="62"/>
    </row>
    <row r="398" spans="9:9" ht="12.5">
      <c r="I398" s="62"/>
    </row>
    <row r="399" spans="9:9" ht="12.5">
      <c r="I399" s="62"/>
    </row>
    <row r="400" spans="9:9" ht="12.5">
      <c r="I400" s="62"/>
    </row>
    <row r="401" spans="9:9" ht="12.5">
      <c r="I401" s="62"/>
    </row>
    <row r="402" spans="9:9" ht="12.5">
      <c r="I402" s="62"/>
    </row>
    <row r="403" spans="9:9" ht="12.5">
      <c r="I403" s="62"/>
    </row>
    <row r="404" spans="9:9" ht="12.5">
      <c r="I404" s="62"/>
    </row>
    <row r="405" spans="9:9" ht="12.5">
      <c r="I405" s="62"/>
    </row>
    <row r="406" spans="9:9" ht="12.5">
      <c r="I406" s="62"/>
    </row>
    <row r="407" spans="9:9" ht="12.5">
      <c r="I407" s="62"/>
    </row>
    <row r="408" spans="9:9" ht="12.5">
      <c r="I408" s="62"/>
    </row>
    <row r="409" spans="9:9" ht="12.5">
      <c r="I409" s="62"/>
    </row>
    <row r="410" spans="9:9" ht="12.5">
      <c r="I410" s="62"/>
    </row>
    <row r="411" spans="9:9" ht="12.5">
      <c r="I411" s="62"/>
    </row>
    <row r="412" spans="9:9" ht="12.5">
      <c r="I412" s="62"/>
    </row>
    <row r="413" spans="9:9" ht="12.5">
      <c r="I413" s="62"/>
    </row>
    <row r="414" spans="9:9" ht="12.5">
      <c r="I414" s="62"/>
    </row>
    <row r="415" spans="9:9" ht="12.5">
      <c r="I415" s="62"/>
    </row>
    <row r="416" spans="9:9" ht="12.5">
      <c r="I416" s="62"/>
    </row>
    <row r="417" spans="9:9" ht="12.5">
      <c r="I417" s="62"/>
    </row>
    <row r="418" spans="9:9" ht="12.5">
      <c r="I418" s="62"/>
    </row>
    <row r="419" spans="9:9" ht="12.5">
      <c r="I419" s="62"/>
    </row>
    <row r="420" spans="9:9" ht="12.5">
      <c r="I420" s="62"/>
    </row>
    <row r="421" spans="9:9" ht="12.5">
      <c r="I421" s="62"/>
    </row>
    <row r="422" spans="9:9" ht="12.5">
      <c r="I422" s="62"/>
    </row>
    <row r="423" spans="9:9" ht="12.5">
      <c r="I423" s="62"/>
    </row>
    <row r="424" spans="9:9" ht="12.5">
      <c r="I424" s="62"/>
    </row>
    <row r="425" spans="9:9" ht="12.5">
      <c r="I425" s="62"/>
    </row>
    <row r="426" spans="9:9" ht="12.5">
      <c r="I426" s="62"/>
    </row>
    <row r="427" spans="9:9" ht="12.5">
      <c r="I427" s="62"/>
    </row>
    <row r="428" spans="9:9" ht="12.5">
      <c r="I428" s="62"/>
    </row>
    <row r="429" spans="9:9" ht="12.5">
      <c r="I429" s="62"/>
    </row>
    <row r="430" spans="9:9" ht="12.5">
      <c r="I430" s="62"/>
    </row>
    <row r="431" spans="9:9" ht="12.5">
      <c r="I431" s="62"/>
    </row>
    <row r="432" spans="9:9" ht="12.5">
      <c r="I432" s="62"/>
    </row>
    <row r="433" spans="9:9" ht="12.5">
      <c r="I433" s="62"/>
    </row>
    <row r="434" spans="9:9" ht="12.5">
      <c r="I434" s="62"/>
    </row>
    <row r="435" spans="9:9" ht="12.5">
      <c r="I435" s="62"/>
    </row>
    <row r="436" spans="9:9" ht="12.5">
      <c r="I436" s="62"/>
    </row>
    <row r="437" spans="9:9" ht="12.5">
      <c r="I437" s="62"/>
    </row>
    <row r="438" spans="9:9" ht="12.5">
      <c r="I438" s="62"/>
    </row>
    <row r="439" spans="9:9" ht="12.5">
      <c r="I439" s="62"/>
    </row>
    <row r="440" spans="9:9" ht="12.5">
      <c r="I440" s="62"/>
    </row>
    <row r="441" spans="9:9" ht="12.5">
      <c r="I441" s="62"/>
    </row>
    <row r="442" spans="9:9" ht="12.5">
      <c r="I442" s="62"/>
    </row>
    <row r="443" spans="9:9" ht="12.5">
      <c r="I443" s="62"/>
    </row>
    <row r="444" spans="9:9" ht="12.5">
      <c r="I444" s="62"/>
    </row>
    <row r="445" spans="9:9" ht="12.5">
      <c r="I445" s="62"/>
    </row>
    <row r="446" spans="9:9" ht="12.5">
      <c r="I446" s="62"/>
    </row>
    <row r="447" spans="9:9" ht="12.5">
      <c r="I447" s="62"/>
    </row>
    <row r="448" spans="9:9" ht="12.5">
      <c r="I448" s="62"/>
    </row>
    <row r="449" spans="9:9" ht="12.5">
      <c r="I449" s="62"/>
    </row>
    <row r="450" spans="9:9" ht="12.5">
      <c r="I450" s="62"/>
    </row>
    <row r="451" spans="9:9" ht="12.5">
      <c r="I451" s="62"/>
    </row>
    <row r="452" spans="9:9" ht="12.5">
      <c r="I452" s="62"/>
    </row>
    <row r="453" spans="9:9" ht="12.5">
      <c r="I453" s="62"/>
    </row>
    <row r="454" spans="9:9" ht="12.5">
      <c r="I454" s="62"/>
    </row>
    <row r="455" spans="9:9" ht="12.5">
      <c r="I455" s="62"/>
    </row>
    <row r="456" spans="9:9" ht="12.5">
      <c r="I456" s="62"/>
    </row>
    <row r="457" spans="9:9" ht="12.5">
      <c r="I457" s="62"/>
    </row>
    <row r="458" spans="9:9" ht="12.5">
      <c r="I458" s="62"/>
    </row>
    <row r="459" spans="9:9" ht="12.5">
      <c r="I459" s="62"/>
    </row>
    <row r="460" spans="9:9" ht="12.5">
      <c r="I460" s="62"/>
    </row>
    <row r="461" spans="9:9" ht="12.5">
      <c r="I461" s="62"/>
    </row>
    <row r="462" spans="9:9" ht="12.5">
      <c r="I462" s="62"/>
    </row>
    <row r="463" spans="9:9" ht="12.5">
      <c r="I463" s="62"/>
    </row>
    <row r="464" spans="9:9" ht="12.5">
      <c r="I464" s="62"/>
    </row>
    <row r="465" spans="9:9" ht="12.5">
      <c r="I465" s="62"/>
    </row>
    <row r="466" spans="9:9" ht="12.5">
      <c r="I466" s="62"/>
    </row>
    <row r="467" spans="9:9" ht="12.5">
      <c r="I467" s="62"/>
    </row>
    <row r="468" spans="9:9" ht="12.5">
      <c r="I468" s="62"/>
    </row>
    <row r="469" spans="9:9" ht="12.5">
      <c r="I469" s="62"/>
    </row>
    <row r="470" spans="9:9" ht="12.5">
      <c r="I470" s="62"/>
    </row>
    <row r="471" spans="9:9" ht="12.5">
      <c r="I471" s="62"/>
    </row>
    <row r="472" spans="9:9" ht="12.5">
      <c r="I472" s="62"/>
    </row>
    <row r="473" spans="9:9" ht="12.5">
      <c r="I473" s="62"/>
    </row>
    <row r="474" spans="9:9" ht="12.5">
      <c r="I474" s="62"/>
    </row>
    <row r="475" spans="9:9" ht="12.5">
      <c r="I475" s="62"/>
    </row>
    <row r="476" spans="9:9" ht="12.5">
      <c r="I476" s="62"/>
    </row>
    <row r="477" spans="9:9" ht="12.5">
      <c r="I477" s="62"/>
    </row>
    <row r="478" spans="9:9" ht="12.5">
      <c r="I478" s="62"/>
    </row>
    <row r="479" spans="9:9" ht="12.5">
      <c r="I479" s="62"/>
    </row>
    <row r="480" spans="9:9" ht="12.5">
      <c r="I480" s="62"/>
    </row>
    <row r="481" spans="9:9" ht="12.5">
      <c r="I481" s="62"/>
    </row>
    <row r="482" spans="9:9" ht="12.5">
      <c r="I482" s="62"/>
    </row>
    <row r="483" spans="9:9" ht="12.5">
      <c r="I483" s="62"/>
    </row>
    <row r="484" spans="9:9" ht="12.5">
      <c r="I484" s="62"/>
    </row>
    <row r="485" spans="9:9" ht="12.5">
      <c r="I485" s="62"/>
    </row>
    <row r="486" spans="9:9" ht="12.5">
      <c r="I486" s="62"/>
    </row>
    <row r="487" spans="9:9" ht="12.5">
      <c r="I487" s="62"/>
    </row>
    <row r="488" spans="9:9" ht="12.5">
      <c r="I488" s="62"/>
    </row>
    <row r="489" spans="9:9" ht="12.5">
      <c r="I489" s="62"/>
    </row>
    <row r="490" spans="9:9" ht="12.5">
      <c r="I490" s="62"/>
    </row>
    <row r="491" spans="9:9" ht="12.5">
      <c r="I491" s="62"/>
    </row>
    <row r="492" spans="9:9" ht="12.5">
      <c r="I492" s="62"/>
    </row>
    <row r="493" spans="9:9" ht="12.5">
      <c r="I493" s="62"/>
    </row>
    <row r="494" spans="9:9" ht="12.5">
      <c r="I494" s="62"/>
    </row>
    <row r="495" spans="9:9" ht="12.5">
      <c r="I495" s="62"/>
    </row>
    <row r="496" spans="9:9" ht="12.5">
      <c r="I496" s="62"/>
    </row>
    <row r="497" spans="9:9" ht="12.5">
      <c r="I497" s="62"/>
    </row>
    <row r="498" spans="9:9" ht="12.5">
      <c r="I498" s="62"/>
    </row>
    <row r="499" spans="9:9" ht="12.5">
      <c r="I499" s="62"/>
    </row>
    <row r="500" spans="9:9" ht="12.5">
      <c r="I500" s="62"/>
    </row>
    <row r="501" spans="9:9" ht="12.5">
      <c r="I501" s="62"/>
    </row>
    <row r="502" spans="9:9" ht="12.5">
      <c r="I502" s="62"/>
    </row>
    <row r="503" spans="9:9" ht="12.5">
      <c r="I503" s="62"/>
    </row>
    <row r="504" spans="9:9" ht="12.5">
      <c r="I504" s="62"/>
    </row>
    <row r="505" spans="9:9" ht="12.5">
      <c r="I505" s="62"/>
    </row>
    <row r="506" spans="9:9" ht="12.5">
      <c r="I506" s="62"/>
    </row>
    <row r="507" spans="9:9" ht="12.5">
      <c r="I507" s="62"/>
    </row>
    <row r="508" spans="9:9" ht="12.5">
      <c r="I508" s="62"/>
    </row>
    <row r="509" spans="9:9" ht="12.5">
      <c r="I509" s="62"/>
    </row>
    <row r="510" spans="9:9" ht="12.5">
      <c r="I510" s="62"/>
    </row>
    <row r="511" spans="9:9" ht="12.5">
      <c r="I511" s="62"/>
    </row>
    <row r="512" spans="9:9" ht="12.5">
      <c r="I512" s="62"/>
    </row>
    <row r="513" spans="9:9" ht="12.5">
      <c r="I513" s="62"/>
    </row>
    <row r="514" spans="9:9" ht="12.5">
      <c r="I514" s="62"/>
    </row>
    <row r="515" spans="9:9" ht="12.5">
      <c r="I515" s="62"/>
    </row>
    <row r="516" spans="9:9" ht="12.5">
      <c r="I516" s="62"/>
    </row>
    <row r="517" spans="9:9" ht="12.5">
      <c r="I517" s="62"/>
    </row>
    <row r="518" spans="9:9" ht="12.5">
      <c r="I518" s="62"/>
    </row>
    <row r="519" spans="9:9" ht="12.5">
      <c r="I519" s="62"/>
    </row>
    <row r="520" spans="9:9" ht="12.5">
      <c r="I520" s="62"/>
    </row>
    <row r="521" spans="9:9" ht="12.5">
      <c r="I521" s="62"/>
    </row>
    <row r="522" spans="9:9" ht="12.5">
      <c r="I522" s="62"/>
    </row>
    <row r="523" spans="9:9" ht="12.5">
      <c r="I523" s="62"/>
    </row>
    <row r="524" spans="9:9" ht="12.5">
      <c r="I524" s="62"/>
    </row>
    <row r="525" spans="9:9" ht="12.5">
      <c r="I525" s="62"/>
    </row>
    <row r="526" spans="9:9" ht="12.5">
      <c r="I526" s="62"/>
    </row>
    <row r="527" spans="9:9" ht="12.5">
      <c r="I527" s="62"/>
    </row>
    <row r="528" spans="9:9" ht="12.5">
      <c r="I528" s="62"/>
    </row>
    <row r="529" spans="9:9" ht="12.5">
      <c r="I529" s="62"/>
    </row>
    <row r="530" spans="9:9" ht="12.5">
      <c r="I530" s="62"/>
    </row>
    <row r="531" spans="9:9" ht="12.5">
      <c r="I531" s="62"/>
    </row>
    <row r="532" spans="9:9" ht="12.5">
      <c r="I532" s="62"/>
    </row>
    <row r="533" spans="9:9" ht="12.5">
      <c r="I533" s="62"/>
    </row>
    <row r="534" spans="9:9" ht="12.5">
      <c r="I534" s="62"/>
    </row>
    <row r="535" spans="9:9" ht="12.5">
      <c r="I535" s="62"/>
    </row>
    <row r="536" spans="9:9" ht="12.5">
      <c r="I536" s="62"/>
    </row>
    <row r="537" spans="9:9" ht="12.5">
      <c r="I537" s="62"/>
    </row>
    <row r="538" spans="9:9" ht="12.5">
      <c r="I538" s="62"/>
    </row>
    <row r="539" spans="9:9" ht="12.5">
      <c r="I539" s="62"/>
    </row>
    <row r="540" spans="9:9" ht="12.5">
      <c r="I540" s="62"/>
    </row>
    <row r="541" spans="9:9" ht="12.5">
      <c r="I541" s="62"/>
    </row>
    <row r="542" spans="9:9" ht="12.5">
      <c r="I542" s="62"/>
    </row>
    <row r="543" spans="9:9" ht="12.5">
      <c r="I543" s="62"/>
    </row>
    <row r="544" spans="9:9" ht="12.5">
      <c r="I544" s="62"/>
    </row>
    <row r="545" spans="9:9" ht="12.5">
      <c r="I545" s="62"/>
    </row>
    <row r="546" spans="9:9" ht="12.5">
      <c r="I546" s="62"/>
    </row>
    <row r="547" spans="9:9" ht="12.5">
      <c r="I547" s="62"/>
    </row>
    <row r="548" spans="9:9" ht="12.5">
      <c r="I548" s="62"/>
    </row>
    <row r="549" spans="9:9" ht="12.5">
      <c r="I549" s="62"/>
    </row>
    <row r="550" spans="9:9" ht="12.5">
      <c r="I550" s="62"/>
    </row>
    <row r="551" spans="9:9" ht="12.5">
      <c r="I551" s="62"/>
    </row>
    <row r="552" spans="9:9" ht="12.5">
      <c r="I552" s="62"/>
    </row>
    <row r="553" spans="9:9" ht="12.5">
      <c r="I553" s="62"/>
    </row>
    <row r="554" spans="9:9" ht="12.5">
      <c r="I554" s="62"/>
    </row>
    <row r="555" spans="9:9" ht="12.5">
      <c r="I555" s="62"/>
    </row>
    <row r="556" spans="9:9" ht="12.5">
      <c r="I556" s="62"/>
    </row>
    <row r="557" spans="9:9" ht="12.5">
      <c r="I557" s="62"/>
    </row>
    <row r="558" spans="9:9" ht="12.5">
      <c r="I558" s="62"/>
    </row>
    <row r="559" spans="9:9" ht="12.5">
      <c r="I559" s="62"/>
    </row>
    <row r="560" spans="9:9" ht="12.5">
      <c r="I560" s="62"/>
    </row>
    <row r="561" spans="9:9" ht="12.5">
      <c r="I561" s="62"/>
    </row>
    <row r="562" spans="9:9" ht="12.5">
      <c r="I562" s="62"/>
    </row>
    <row r="563" spans="9:9" ht="12.5">
      <c r="I563" s="62"/>
    </row>
    <row r="564" spans="9:9" ht="12.5">
      <c r="I564" s="62"/>
    </row>
    <row r="565" spans="9:9" ht="12.5">
      <c r="I565" s="62"/>
    </row>
    <row r="566" spans="9:9" ht="12.5">
      <c r="I566" s="62"/>
    </row>
    <row r="567" spans="9:9" ht="12.5">
      <c r="I567" s="62"/>
    </row>
    <row r="568" spans="9:9" ht="12.5">
      <c r="I568" s="62"/>
    </row>
    <row r="569" spans="9:9" ht="12.5">
      <c r="I569" s="62"/>
    </row>
    <row r="570" spans="9:9" ht="12.5">
      <c r="I570" s="62"/>
    </row>
    <row r="571" spans="9:9" ht="12.5">
      <c r="I571" s="62"/>
    </row>
    <row r="572" spans="9:9" ht="12.5">
      <c r="I572" s="62"/>
    </row>
    <row r="573" spans="9:9" ht="12.5">
      <c r="I573" s="62"/>
    </row>
    <row r="574" spans="9:9" ht="12.5">
      <c r="I574" s="62"/>
    </row>
    <row r="575" spans="9:9" ht="12.5">
      <c r="I575" s="62"/>
    </row>
    <row r="576" spans="9:9" ht="12.5">
      <c r="I576" s="62"/>
    </row>
    <row r="577" spans="9:9" ht="12.5">
      <c r="I577" s="62"/>
    </row>
    <row r="578" spans="9:9" ht="12.5">
      <c r="I578" s="62"/>
    </row>
    <row r="579" spans="9:9" ht="12.5">
      <c r="I579" s="62"/>
    </row>
    <row r="580" spans="9:9" ht="12.5">
      <c r="I580" s="62"/>
    </row>
    <row r="581" spans="9:9" ht="12.5">
      <c r="I581" s="62"/>
    </row>
    <row r="582" spans="9:9" ht="12.5">
      <c r="I582" s="62"/>
    </row>
    <row r="583" spans="9:9" ht="12.5">
      <c r="I583" s="62"/>
    </row>
    <row r="584" spans="9:9" ht="12.5">
      <c r="I584" s="62"/>
    </row>
    <row r="585" spans="9:9" ht="12.5">
      <c r="I585" s="62"/>
    </row>
    <row r="586" spans="9:9" ht="12.5">
      <c r="I586" s="62"/>
    </row>
    <row r="587" spans="9:9" ht="12.5">
      <c r="I587" s="62"/>
    </row>
    <row r="588" spans="9:9" ht="12.5">
      <c r="I588" s="62"/>
    </row>
    <row r="589" spans="9:9" ht="12.5">
      <c r="I589" s="62"/>
    </row>
    <row r="590" spans="9:9" ht="12.5">
      <c r="I590" s="62"/>
    </row>
    <row r="591" spans="9:9" ht="12.5">
      <c r="I591" s="62"/>
    </row>
    <row r="592" spans="9:9" ht="12.5">
      <c r="I592" s="62"/>
    </row>
    <row r="593" spans="9:9" ht="12.5">
      <c r="I593" s="62"/>
    </row>
    <row r="594" spans="9:9" ht="12.5">
      <c r="I594" s="62"/>
    </row>
    <row r="595" spans="9:9" ht="12.5">
      <c r="I595" s="62"/>
    </row>
    <row r="596" spans="9:9" ht="12.5">
      <c r="I596" s="62"/>
    </row>
    <row r="597" spans="9:9" ht="12.5">
      <c r="I597" s="62"/>
    </row>
    <row r="598" spans="9:9" ht="12.5">
      <c r="I598" s="62"/>
    </row>
    <row r="599" spans="9:9" ht="12.5">
      <c r="I599" s="62"/>
    </row>
    <row r="600" spans="9:9" ht="12.5">
      <c r="I600" s="62"/>
    </row>
    <row r="601" spans="9:9" ht="12.5">
      <c r="I601" s="62"/>
    </row>
    <row r="602" spans="9:9" ht="12.5">
      <c r="I602" s="62"/>
    </row>
    <row r="603" spans="9:9" ht="12.5">
      <c r="I603" s="62"/>
    </row>
    <row r="604" spans="9:9" ht="12.5">
      <c r="I604" s="62"/>
    </row>
    <row r="605" spans="9:9" ht="12.5">
      <c r="I605" s="62"/>
    </row>
    <row r="606" spans="9:9" ht="12.5">
      <c r="I606" s="62"/>
    </row>
    <row r="607" spans="9:9" ht="12.5">
      <c r="I607" s="62"/>
    </row>
    <row r="608" spans="9:9" ht="12.5">
      <c r="I608" s="62"/>
    </row>
    <row r="609" spans="9:9" ht="12.5">
      <c r="I609" s="62"/>
    </row>
    <row r="610" spans="9:9" ht="12.5">
      <c r="I610" s="62"/>
    </row>
    <row r="611" spans="9:9" ht="12.5">
      <c r="I611" s="62"/>
    </row>
    <row r="612" spans="9:9" ht="12.5">
      <c r="I612" s="62"/>
    </row>
    <row r="613" spans="9:9" ht="12.5">
      <c r="I613" s="62"/>
    </row>
    <row r="614" spans="9:9" ht="12.5">
      <c r="I614" s="62"/>
    </row>
    <row r="615" spans="9:9" ht="12.5">
      <c r="I615" s="62"/>
    </row>
    <row r="616" spans="9:9" ht="12.5">
      <c r="I616" s="62"/>
    </row>
    <row r="617" spans="9:9" ht="12.5">
      <c r="I617" s="62"/>
    </row>
    <row r="618" spans="9:9" ht="12.5">
      <c r="I618" s="62"/>
    </row>
    <row r="619" spans="9:9" ht="12.5">
      <c r="I619" s="62"/>
    </row>
    <row r="620" spans="9:9" ht="12.5">
      <c r="I620" s="62"/>
    </row>
    <row r="621" spans="9:9" ht="12.5">
      <c r="I621" s="62"/>
    </row>
    <row r="622" spans="9:9" ht="12.5">
      <c r="I622" s="62"/>
    </row>
    <row r="623" spans="9:9" ht="12.5">
      <c r="I623" s="62"/>
    </row>
    <row r="624" spans="9:9" ht="12.5">
      <c r="I624" s="62"/>
    </row>
    <row r="625" spans="9:9" ht="12.5">
      <c r="I625" s="62"/>
    </row>
    <row r="626" spans="9:9" ht="12.5">
      <c r="I626" s="62"/>
    </row>
    <row r="627" spans="9:9" ht="12.5">
      <c r="I627" s="62"/>
    </row>
    <row r="628" spans="9:9" ht="12.5">
      <c r="I628" s="62"/>
    </row>
    <row r="629" spans="9:9" ht="12.5">
      <c r="I629" s="62"/>
    </row>
    <row r="630" spans="9:9" ht="12.5">
      <c r="I630" s="62"/>
    </row>
    <row r="631" spans="9:9" ht="12.5">
      <c r="I631" s="62"/>
    </row>
    <row r="632" spans="9:9" ht="12.5">
      <c r="I632" s="62"/>
    </row>
    <row r="633" spans="9:9" ht="12.5">
      <c r="I633" s="62"/>
    </row>
    <row r="634" spans="9:9" ht="12.5">
      <c r="I634" s="62"/>
    </row>
    <row r="635" spans="9:9" ht="12.5">
      <c r="I635" s="62"/>
    </row>
    <row r="636" spans="9:9" ht="12.5">
      <c r="I636" s="62"/>
    </row>
    <row r="637" spans="9:9" ht="12.5">
      <c r="I637" s="62"/>
    </row>
    <row r="638" spans="9:9" ht="12.5">
      <c r="I638" s="62"/>
    </row>
    <row r="639" spans="9:9" ht="12.5">
      <c r="I639" s="62"/>
    </row>
    <row r="640" spans="9:9" ht="12.5">
      <c r="I640" s="62"/>
    </row>
    <row r="641" spans="9:9" ht="12.5">
      <c r="I641" s="62"/>
    </row>
    <row r="642" spans="9:9" ht="12.5">
      <c r="I642" s="62"/>
    </row>
    <row r="643" spans="9:9" ht="12.5">
      <c r="I643" s="62"/>
    </row>
    <row r="644" spans="9:9" ht="12.5">
      <c r="I644" s="62"/>
    </row>
    <row r="645" spans="9:9" ht="12.5">
      <c r="I645" s="62"/>
    </row>
    <row r="646" spans="9:9" ht="12.5">
      <c r="I646" s="62"/>
    </row>
    <row r="647" spans="9:9" ht="12.5">
      <c r="I647" s="62"/>
    </row>
    <row r="648" spans="9:9" ht="12.5">
      <c r="I648" s="62"/>
    </row>
    <row r="649" spans="9:9" ht="12.5">
      <c r="I649" s="62"/>
    </row>
    <row r="650" spans="9:9" ht="12.5">
      <c r="I650" s="62"/>
    </row>
    <row r="651" spans="9:9" ht="12.5">
      <c r="I651" s="62"/>
    </row>
    <row r="652" spans="9:9" ht="12.5">
      <c r="I652" s="62"/>
    </row>
    <row r="653" spans="9:9" ht="12.5">
      <c r="I653" s="62"/>
    </row>
    <row r="654" spans="9:9" ht="12.5">
      <c r="I654" s="62"/>
    </row>
    <row r="655" spans="9:9" ht="12.5">
      <c r="I655" s="62"/>
    </row>
    <row r="656" spans="9:9" ht="12.5">
      <c r="I656" s="62"/>
    </row>
    <row r="657" spans="9:9" ht="12.5">
      <c r="I657" s="62"/>
    </row>
    <row r="658" spans="9:9" ht="12.5">
      <c r="I658" s="62"/>
    </row>
    <row r="659" spans="9:9" ht="12.5">
      <c r="I659" s="62"/>
    </row>
    <row r="660" spans="9:9" ht="12.5">
      <c r="I660" s="62"/>
    </row>
    <row r="661" spans="9:9" ht="12.5">
      <c r="I661" s="62"/>
    </row>
    <row r="662" spans="9:9" ht="12.5">
      <c r="I662" s="62"/>
    </row>
    <row r="663" spans="9:9" ht="12.5">
      <c r="I663" s="62"/>
    </row>
    <row r="664" spans="9:9" ht="12.5">
      <c r="I664" s="62"/>
    </row>
    <row r="665" spans="9:9" ht="12.5">
      <c r="I665" s="62"/>
    </row>
    <row r="666" spans="9:9" ht="12.5">
      <c r="I666" s="62"/>
    </row>
    <row r="667" spans="9:9" ht="12.5">
      <c r="I667" s="62"/>
    </row>
    <row r="668" spans="9:9" ht="12.5">
      <c r="I668" s="62"/>
    </row>
    <row r="669" spans="9:9" ht="12.5">
      <c r="I669" s="62"/>
    </row>
    <row r="670" spans="9:9" ht="12.5">
      <c r="I670" s="62"/>
    </row>
    <row r="671" spans="9:9" ht="12.5">
      <c r="I671" s="62"/>
    </row>
    <row r="672" spans="9:9" ht="12.5">
      <c r="I672" s="62"/>
    </row>
    <row r="673" spans="9:9" ht="12.5">
      <c r="I673" s="62"/>
    </row>
    <row r="674" spans="9:9" ht="12.5">
      <c r="I674" s="62"/>
    </row>
    <row r="675" spans="9:9" ht="12.5">
      <c r="I675" s="62"/>
    </row>
    <row r="676" spans="9:9" ht="12.5">
      <c r="I676" s="62"/>
    </row>
    <row r="677" spans="9:9" ht="12.5">
      <c r="I677" s="62"/>
    </row>
    <row r="678" spans="9:9" ht="12.5">
      <c r="I678" s="62"/>
    </row>
    <row r="679" spans="9:9" ht="12.5">
      <c r="I679" s="62"/>
    </row>
    <row r="680" spans="9:9" ht="12.5">
      <c r="I680" s="62"/>
    </row>
    <row r="681" spans="9:9" ht="12.5">
      <c r="I681" s="62"/>
    </row>
    <row r="682" spans="9:9" ht="12.5">
      <c r="I682" s="62"/>
    </row>
    <row r="683" spans="9:9" ht="12.5">
      <c r="I683" s="62"/>
    </row>
    <row r="684" spans="9:9" ht="12.5">
      <c r="I684" s="62"/>
    </row>
    <row r="685" spans="9:9" ht="12.5">
      <c r="I685" s="62"/>
    </row>
    <row r="686" spans="9:9" ht="12.5">
      <c r="I686" s="62"/>
    </row>
    <row r="687" spans="9:9" ht="12.5">
      <c r="I687" s="62"/>
    </row>
    <row r="688" spans="9:9" ht="12.5">
      <c r="I688" s="62"/>
    </row>
    <row r="689" spans="9:9" ht="12.5">
      <c r="I689" s="62"/>
    </row>
    <row r="690" spans="9:9" ht="12.5">
      <c r="I690" s="62"/>
    </row>
    <row r="691" spans="9:9" ht="12.5">
      <c r="I691" s="62"/>
    </row>
    <row r="692" spans="9:9" ht="12.5">
      <c r="I692" s="62"/>
    </row>
    <row r="693" spans="9:9" ht="12.5">
      <c r="I693" s="62"/>
    </row>
    <row r="694" spans="9:9" ht="12.5">
      <c r="I694" s="62"/>
    </row>
    <row r="695" spans="9:9" ht="12.5">
      <c r="I695" s="62"/>
    </row>
    <row r="696" spans="9:9" ht="12.5">
      <c r="I696" s="62"/>
    </row>
    <row r="697" spans="9:9" ht="12.5">
      <c r="I697" s="62"/>
    </row>
    <row r="698" spans="9:9" ht="12.5">
      <c r="I698" s="62"/>
    </row>
    <row r="699" spans="9:9" ht="12.5">
      <c r="I699" s="62"/>
    </row>
    <row r="700" spans="9:9" ht="12.5">
      <c r="I700" s="62"/>
    </row>
    <row r="701" spans="9:9" ht="12.5">
      <c r="I701" s="62"/>
    </row>
    <row r="702" spans="9:9" ht="12.5">
      <c r="I702" s="62"/>
    </row>
    <row r="703" spans="9:9" ht="12.5">
      <c r="I703" s="62"/>
    </row>
    <row r="704" spans="9:9" ht="12.5">
      <c r="I704" s="62"/>
    </row>
    <row r="705" spans="9:9" ht="12.5">
      <c r="I705" s="62"/>
    </row>
    <row r="706" spans="9:9" ht="12.5">
      <c r="I706" s="62"/>
    </row>
    <row r="707" spans="9:9" ht="12.5">
      <c r="I707" s="62"/>
    </row>
    <row r="708" spans="9:9" ht="12.5">
      <c r="I708" s="62"/>
    </row>
    <row r="709" spans="9:9" ht="12.5">
      <c r="I709" s="62"/>
    </row>
    <row r="710" spans="9:9" ht="12.5">
      <c r="I710" s="62"/>
    </row>
    <row r="711" spans="9:9" ht="12.5">
      <c r="I711" s="62"/>
    </row>
    <row r="712" spans="9:9" ht="12.5">
      <c r="I712" s="62"/>
    </row>
    <row r="713" spans="9:9" ht="12.5">
      <c r="I713" s="62"/>
    </row>
    <row r="714" spans="9:9" ht="12.5">
      <c r="I714" s="62"/>
    </row>
    <row r="715" spans="9:9" ht="12.5">
      <c r="I715" s="62"/>
    </row>
    <row r="716" spans="9:9" ht="12.5">
      <c r="I716" s="62"/>
    </row>
    <row r="717" spans="9:9" ht="12.5">
      <c r="I717" s="62"/>
    </row>
    <row r="718" spans="9:9" ht="12.5">
      <c r="I718" s="62"/>
    </row>
    <row r="719" spans="9:9" ht="12.5">
      <c r="I719" s="62"/>
    </row>
    <row r="720" spans="9:9" ht="12.5">
      <c r="I720" s="62"/>
    </row>
    <row r="721" spans="9:9" ht="12.5">
      <c r="I721" s="62"/>
    </row>
    <row r="722" spans="9:9" ht="12.5">
      <c r="I722" s="62"/>
    </row>
    <row r="723" spans="9:9" ht="12.5">
      <c r="I723" s="62"/>
    </row>
    <row r="724" spans="9:9" ht="12.5">
      <c r="I724" s="62"/>
    </row>
    <row r="725" spans="9:9" ht="12.5">
      <c r="I725" s="62"/>
    </row>
    <row r="726" spans="9:9" ht="12.5">
      <c r="I726" s="62"/>
    </row>
    <row r="727" spans="9:9" ht="12.5">
      <c r="I727" s="62"/>
    </row>
    <row r="728" spans="9:9" ht="12.5">
      <c r="I728" s="62"/>
    </row>
    <row r="729" spans="9:9" ht="12.5">
      <c r="I729" s="62"/>
    </row>
    <row r="730" spans="9:9" ht="12.5">
      <c r="I730" s="62"/>
    </row>
    <row r="731" spans="9:9" ht="12.5">
      <c r="I731" s="62"/>
    </row>
    <row r="732" spans="9:9" ht="12.5">
      <c r="I732" s="62"/>
    </row>
    <row r="733" spans="9:9" ht="12.5">
      <c r="I733" s="62"/>
    </row>
    <row r="734" spans="9:9" ht="12.5">
      <c r="I734" s="62"/>
    </row>
    <row r="735" spans="9:9" ht="12.5">
      <c r="I735" s="62"/>
    </row>
    <row r="736" spans="9:9" ht="12.5">
      <c r="I736" s="62"/>
    </row>
    <row r="737" spans="9:9" ht="12.5">
      <c r="I737" s="62"/>
    </row>
    <row r="738" spans="9:9" ht="12.5">
      <c r="I738" s="62"/>
    </row>
    <row r="739" spans="9:9" ht="12.5">
      <c r="I739" s="62"/>
    </row>
    <row r="740" spans="9:9" ht="12.5">
      <c r="I740" s="62"/>
    </row>
    <row r="741" spans="9:9" ht="12.5">
      <c r="I741" s="62"/>
    </row>
    <row r="742" spans="9:9" ht="12.5">
      <c r="I742" s="62"/>
    </row>
    <row r="743" spans="9:9" ht="12.5">
      <c r="I743" s="62"/>
    </row>
    <row r="744" spans="9:9" ht="12.5">
      <c r="I744" s="62"/>
    </row>
    <row r="745" spans="9:9" ht="12.5">
      <c r="I745" s="62"/>
    </row>
    <row r="746" spans="9:9" ht="12.5">
      <c r="I746" s="62"/>
    </row>
    <row r="747" spans="9:9" ht="12.5">
      <c r="I747" s="62"/>
    </row>
    <row r="748" spans="9:9" ht="12.5">
      <c r="I748" s="62"/>
    </row>
    <row r="749" spans="9:9" ht="12.5">
      <c r="I749" s="62"/>
    </row>
    <row r="750" spans="9:9" ht="12.5">
      <c r="I750" s="62"/>
    </row>
    <row r="751" spans="9:9" ht="12.5">
      <c r="I751" s="62"/>
    </row>
    <row r="752" spans="9:9" ht="12.5">
      <c r="I752" s="62"/>
    </row>
    <row r="753" spans="9:9" ht="12.5">
      <c r="I753" s="62"/>
    </row>
    <row r="754" spans="9:9" ht="12.5">
      <c r="I754" s="62"/>
    </row>
    <row r="755" spans="9:9" ht="12.5">
      <c r="I755" s="62"/>
    </row>
    <row r="756" spans="9:9" ht="12.5">
      <c r="I756" s="62"/>
    </row>
    <row r="757" spans="9:9" ht="12.5">
      <c r="I757" s="62"/>
    </row>
    <row r="758" spans="9:9" ht="12.5">
      <c r="I758" s="62"/>
    </row>
    <row r="759" spans="9:9" ht="12.5">
      <c r="I759" s="62"/>
    </row>
    <row r="760" spans="9:9" ht="12.5">
      <c r="I760" s="62"/>
    </row>
    <row r="761" spans="9:9" ht="12.5">
      <c r="I761" s="62"/>
    </row>
    <row r="762" spans="9:9" ht="12.5">
      <c r="I762" s="62"/>
    </row>
    <row r="763" spans="9:9" ht="12.5">
      <c r="I763" s="62"/>
    </row>
    <row r="764" spans="9:9" ht="12.5">
      <c r="I764" s="62"/>
    </row>
    <row r="765" spans="9:9" ht="12.5">
      <c r="I765" s="62"/>
    </row>
    <row r="766" spans="9:9" ht="12.5">
      <c r="I766" s="62"/>
    </row>
    <row r="767" spans="9:9" ht="12.5">
      <c r="I767" s="62"/>
    </row>
    <row r="768" spans="9:9" ht="12.5">
      <c r="I768" s="62"/>
    </row>
    <row r="769" spans="9:9" ht="12.5">
      <c r="I769" s="62"/>
    </row>
    <row r="770" spans="9:9" ht="12.5">
      <c r="I770" s="62"/>
    </row>
    <row r="771" spans="9:9" ht="12.5">
      <c r="I771" s="62"/>
    </row>
    <row r="772" spans="9:9" ht="12.5">
      <c r="I772" s="62"/>
    </row>
    <row r="773" spans="9:9" ht="12.5">
      <c r="I773" s="62"/>
    </row>
    <row r="774" spans="9:9" ht="12.5">
      <c r="I774" s="62"/>
    </row>
    <row r="775" spans="9:9" ht="12.5">
      <c r="I775" s="62"/>
    </row>
    <row r="776" spans="9:9" ht="12.5">
      <c r="I776" s="62"/>
    </row>
    <row r="777" spans="9:9" ht="12.5">
      <c r="I777" s="62"/>
    </row>
    <row r="778" spans="9:9" ht="12.5">
      <c r="I778" s="62"/>
    </row>
    <row r="779" spans="9:9" ht="12.5">
      <c r="I779" s="62"/>
    </row>
    <row r="780" spans="9:9" ht="12.5">
      <c r="I780" s="62"/>
    </row>
    <row r="781" spans="9:9" ht="12.5">
      <c r="I781" s="62"/>
    </row>
    <row r="782" spans="9:9" ht="12.5">
      <c r="I782" s="62"/>
    </row>
    <row r="783" spans="9:9" ht="12.5">
      <c r="I783" s="62"/>
    </row>
    <row r="784" spans="9:9" ht="12.5">
      <c r="I784" s="62"/>
    </row>
    <row r="785" spans="9:9" ht="12.5">
      <c r="I785" s="62"/>
    </row>
    <row r="786" spans="9:9" ht="12.5">
      <c r="I786" s="62"/>
    </row>
    <row r="787" spans="9:9" ht="12.5">
      <c r="I787" s="62"/>
    </row>
    <row r="788" spans="9:9" ht="12.5">
      <c r="I788" s="62"/>
    </row>
    <row r="789" spans="9:9" ht="12.5">
      <c r="I789" s="62"/>
    </row>
    <row r="790" spans="9:9" ht="12.5">
      <c r="I790" s="62"/>
    </row>
    <row r="791" spans="9:9" ht="12.5">
      <c r="I791" s="62"/>
    </row>
    <row r="792" spans="9:9" ht="12.5">
      <c r="I792" s="62"/>
    </row>
    <row r="793" spans="9:9" ht="12.5">
      <c r="I793" s="62"/>
    </row>
    <row r="794" spans="9:9" ht="12.5">
      <c r="I794" s="62"/>
    </row>
    <row r="795" spans="9:9" ht="12.5">
      <c r="I795" s="62"/>
    </row>
    <row r="796" spans="9:9" ht="12.5">
      <c r="I796" s="62"/>
    </row>
    <row r="797" spans="9:9" ht="12.5">
      <c r="I797" s="62"/>
    </row>
    <row r="798" spans="9:9" ht="12.5">
      <c r="I798" s="62"/>
    </row>
    <row r="799" spans="9:9" ht="12.5">
      <c r="I799" s="62"/>
    </row>
    <row r="800" spans="9:9" ht="12.5">
      <c r="I800" s="62"/>
    </row>
    <row r="801" spans="9:9" ht="12.5">
      <c r="I801" s="62"/>
    </row>
    <row r="802" spans="9:9" ht="12.5">
      <c r="I802" s="62"/>
    </row>
    <row r="803" spans="9:9" ht="12.5">
      <c r="I803" s="62"/>
    </row>
    <row r="804" spans="9:9" ht="12.5">
      <c r="I804" s="62"/>
    </row>
    <row r="805" spans="9:9" ht="12.5">
      <c r="I805" s="62"/>
    </row>
    <row r="806" spans="9:9" ht="12.5">
      <c r="I806" s="62"/>
    </row>
    <row r="807" spans="9:9" ht="12.5">
      <c r="I807" s="62"/>
    </row>
    <row r="808" spans="9:9" ht="12.5">
      <c r="I808" s="62"/>
    </row>
    <row r="809" spans="9:9" ht="12.5">
      <c r="I809" s="62"/>
    </row>
    <row r="810" spans="9:9" ht="12.5">
      <c r="I810" s="62"/>
    </row>
    <row r="811" spans="9:9" ht="12.5">
      <c r="I811" s="62"/>
    </row>
    <row r="812" spans="9:9" ht="12.5">
      <c r="I812" s="62"/>
    </row>
    <row r="813" spans="9:9" ht="12.5">
      <c r="I813" s="62"/>
    </row>
    <row r="814" spans="9:9" ht="12.5">
      <c r="I814" s="62"/>
    </row>
    <row r="815" spans="9:9" ht="12.5">
      <c r="I815" s="62"/>
    </row>
    <row r="816" spans="9:9" ht="12.5">
      <c r="I816" s="62"/>
    </row>
    <row r="817" spans="9:9" ht="12.5">
      <c r="I817" s="62"/>
    </row>
    <row r="818" spans="9:9" ht="12.5">
      <c r="I818" s="62"/>
    </row>
    <row r="819" spans="9:9" ht="12.5">
      <c r="I819" s="62"/>
    </row>
    <row r="820" spans="9:9" ht="12.5">
      <c r="I820" s="62"/>
    </row>
    <row r="821" spans="9:9" ht="12.5">
      <c r="I821" s="62"/>
    </row>
    <row r="822" spans="9:9" ht="12.5">
      <c r="I822" s="62"/>
    </row>
    <row r="823" spans="9:9" ht="12.5">
      <c r="I823" s="62"/>
    </row>
    <row r="824" spans="9:9" ht="12.5">
      <c r="I824" s="62"/>
    </row>
    <row r="825" spans="9:9" ht="12.5">
      <c r="I825" s="62"/>
    </row>
    <row r="826" spans="9:9" ht="12.5">
      <c r="I826" s="62"/>
    </row>
    <row r="827" spans="9:9" ht="12.5">
      <c r="I827" s="62"/>
    </row>
    <row r="828" spans="9:9" ht="12.5">
      <c r="I828" s="62"/>
    </row>
    <row r="829" spans="9:9" ht="12.5">
      <c r="I829" s="62"/>
    </row>
    <row r="830" spans="9:9" ht="12.5">
      <c r="I830" s="62"/>
    </row>
    <row r="831" spans="9:9" ht="12.5">
      <c r="I831" s="62"/>
    </row>
    <row r="832" spans="9:9" ht="12.5">
      <c r="I832" s="62"/>
    </row>
    <row r="833" spans="9:9" ht="12.5">
      <c r="I833" s="62"/>
    </row>
    <row r="834" spans="9:9" ht="12.5">
      <c r="I834" s="62"/>
    </row>
    <row r="835" spans="9:9" ht="12.5">
      <c r="I835" s="62"/>
    </row>
    <row r="836" spans="9:9" ht="12.5">
      <c r="I836" s="62"/>
    </row>
    <row r="837" spans="9:9" ht="12.5">
      <c r="I837" s="62"/>
    </row>
    <row r="838" spans="9:9" ht="12.5">
      <c r="I838" s="62"/>
    </row>
    <row r="839" spans="9:9" ht="12.5">
      <c r="I839" s="62"/>
    </row>
    <row r="840" spans="9:9" ht="12.5">
      <c r="I840" s="62"/>
    </row>
    <row r="841" spans="9:9" ht="12.5">
      <c r="I841" s="62"/>
    </row>
    <row r="842" spans="9:9" ht="12.5">
      <c r="I842" s="62"/>
    </row>
    <row r="843" spans="9:9" ht="12.5">
      <c r="I843" s="62"/>
    </row>
    <row r="844" spans="9:9" ht="12.5">
      <c r="I844" s="62"/>
    </row>
    <row r="845" spans="9:9" ht="12.5">
      <c r="I845" s="62"/>
    </row>
    <row r="846" spans="9:9" ht="12.5">
      <c r="I846" s="62"/>
    </row>
    <row r="847" spans="9:9" ht="12.5">
      <c r="I847" s="62"/>
    </row>
    <row r="848" spans="9:9" ht="12.5">
      <c r="I848" s="62"/>
    </row>
    <row r="849" spans="9:9" ht="12.5">
      <c r="I849" s="62"/>
    </row>
    <row r="850" spans="9:9" ht="12.5">
      <c r="I850" s="62"/>
    </row>
    <row r="851" spans="9:9" ht="12.5">
      <c r="I851" s="62"/>
    </row>
    <row r="852" spans="9:9" ht="12.5">
      <c r="I852" s="62"/>
    </row>
    <row r="853" spans="9:9" ht="12.5">
      <c r="I853" s="62"/>
    </row>
    <row r="854" spans="9:9" ht="12.5">
      <c r="I854" s="62"/>
    </row>
    <row r="855" spans="9:9" ht="12.5">
      <c r="I855" s="62"/>
    </row>
    <row r="856" spans="9:9" ht="12.5">
      <c r="I856" s="62"/>
    </row>
    <row r="857" spans="9:9" ht="12.5">
      <c r="I857" s="62"/>
    </row>
    <row r="858" spans="9:9" ht="12.5">
      <c r="I858" s="62"/>
    </row>
    <row r="859" spans="9:9" ht="12.5">
      <c r="I859" s="62"/>
    </row>
    <row r="860" spans="9:9" ht="12.5">
      <c r="I860" s="62"/>
    </row>
    <row r="861" spans="9:9" ht="12.5">
      <c r="I861" s="62"/>
    </row>
    <row r="862" spans="9:9" ht="12.5">
      <c r="I862" s="62"/>
    </row>
    <row r="863" spans="9:9" ht="12.5">
      <c r="I863" s="62"/>
    </row>
    <row r="864" spans="9:9" ht="12.5">
      <c r="I864" s="62"/>
    </row>
    <row r="865" spans="9:9" ht="12.5">
      <c r="I865" s="62"/>
    </row>
    <row r="866" spans="9:9" ht="12.5">
      <c r="I866" s="62"/>
    </row>
    <row r="867" spans="9:9" ht="12.5">
      <c r="I867" s="62"/>
    </row>
    <row r="868" spans="9:9" ht="12.5">
      <c r="I868" s="62"/>
    </row>
    <row r="869" spans="9:9" ht="12.5">
      <c r="I869" s="62"/>
    </row>
    <row r="870" spans="9:9" ht="12.5">
      <c r="I870" s="62"/>
    </row>
    <row r="871" spans="9:9" ht="12.5">
      <c r="I871" s="62"/>
    </row>
    <row r="872" spans="9:9" ht="12.5">
      <c r="I872" s="62"/>
    </row>
    <row r="873" spans="9:9" ht="12.5">
      <c r="I873" s="62"/>
    </row>
    <row r="874" spans="9:9" ht="12.5">
      <c r="I874" s="62"/>
    </row>
    <row r="875" spans="9:9" ht="12.5">
      <c r="I875" s="62"/>
    </row>
    <row r="876" spans="9:9" ht="12.5">
      <c r="I876" s="62"/>
    </row>
    <row r="877" spans="9:9" ht="12.5">
      <c r="I877" s="62"/>
    </row>
    <row r="878" spans="9:9" ht="12.5">
      <c r="I878" s="62"/>
    </row>
    <row r="879" spans="9:9" ht="12.5">
      <c r="I879" s="62"/>
    </row>
    <row r="880" spans="9:9" ht="12.5">
      <c r="I880" s="62"/>
    </row>
    <row r="881" spans="9:9" ht="12.5">
      <c r="I881" s="62"/>
    </row>
    <row r="882" spans="9:9" ht="12.5">
      <c r="I882" s="62"/>
    </row>
    <row r="883" spans="9:9" ht="12.5">
      <c r="I883" s="62"/>
    </row>
    <row r="884" spans="9:9" ht="12.5">
      <c r="I884" s="62"/>
    </row>
    <row r="885" spans="9:9" ht="12.5">
      <c r="I885" s="62"/>
    </row>
    <row r="886" spans="9:9" ht="12.5">
      <c r="I886" s="62"/>
    </row>
    <row r="887" spans="9:9" ht="12.5">
      <c r="I887" s="62"/>
    </row>
    <row r="888" spans="9:9" ht="12.5">
      <c r="I888" s="62"/>
    </row>
    <row r="889" spans="9:9" ht="12.5">
      <c r="I889" s="62"/>
    </row>
    <row r="890" spans="9:9" ht="12.5">
      <c r="I890" s="62"/>
    </row>
    <row r="891" spans="9:9" ht="12.5">
      <c r="I891" s="62"/>
    </row>
    <row r="892" spans="9:9" ht="12.5">
      <c r="I892" s="62"/>
    </row>
    <row r="893" spans="9:9" ht="12.5">
      <c r="I893" s="62"/>
    </row>
    <row r="894" spans="9:9" ht="12.5">
      <c r="I894" s="62"/>
    </row>
    <row r="895" spans="9:9" ht="12.5">
      <c r="I895" s="62"/>
    </row>
    <row r="896" spans="9:9" ht="12.5">
      <c r="I896" s="62"/>
    </row>
    <row r="897" spans="9:9" ht="12.5">
      <c r="I897" s="62"/>
    </row>
    <row r="898" spans="9:9" ht="12.5">
      <c r="I898" s="62"/>
    </row>
    <row r="899" spans="9:9" ht="12.5">
      <c r="I899" s="62"/>
    </row>
    <row r="900" spans="9:9" ht="12.5">
      <c r="I900" s="62"/>
    </row>
    <row r="901" spans="9:9" ht="12.5">
      <c r="I901" s="62"/>
    </row>
    <row r="902" spans="9:9" ht="12.5">
      <c r="I902" s="62"/>
    </row>
    <row r="903" spans="9:9" ht="12.5">
      <c r="I903" s="62"/>
    </row>
    <row r="904" spans="9:9" ht="12.5">
      <c r="I904" s="62"/>
    </row>
    <row r="905" spans="9:9" ht="12.5">
      <c r="I905" s="62"/>
    </row>
    <row r="906" spans="9:9" ht="12.5">
      <c r="I906" s="62"/>
    </row>
    <row r="907" spans="9:9" ht="12.5">
      <c r="I907" s="62"/>
    </row>
    <row r="908" spans="9:9" ht="12.5">
      <c r="I908" s="62"/>
    </row>
    <row r="909" spans="9:9" ht="12.5">
      <c r="I909" s="62"/>
    </row>
    <row r="910" spans="9:9" ht="12.5">
      <c r="I910" s="62"/>
    </row>
    <row r="911" spans="9:9" ht="12.5">
      <c r="I911" s="62"/>
    </row>
    <row r="912" spans="9:9" ht="12.5">
      <c r="I912" s="62"/>
    </row>
    <row r="913" spans="9:9" ht="12.5">
      <c r="I913" s="62"/>
    </row>
    <row r="914" spans="9:9" ht="12.5">
      <c r="I914" s="62"/>
    </row>
    <row r="915" spans="9:9" ht="12.5">
      <c r="I915" s="62"/>
    </row>
    <row r="916" spans="9:9" ht="12.5">
      <c r="I916" s="62"/>
    </row>
    <row r="917" spans="9:9" ht="12.5">
      <c r="I917" s="62"/>
    </row>
    <row r="918" spans="9:9" ht="12.5">
      <c r="I918" s="62"/>
    </row>
    <row r="919" spans="9:9" ht="12.5">
      <c r="I919" s="62"/>
    </row>
    <row r="920" spans="9:9" ht="12.5">
      <c r="I920" s="62"/>
    </row>
    <row r="921" spans="9:9" ht="12.5">
      <c r="I921" s="62"/>
    </row>
    <row r="922" spans="9:9" ht="12.5">
      <c r="I922" s="62"/>
    </row>
    <row r="923" spans="9:9" ht="12.5">
      <c r="I923" s="62"/>
    </row>
    <row r="924" spans="9:9" ht="12.5">
      <c r="I924" s="62"/>
    </row>
    <row r="925" spans="9:9" ht="12.5">
      <c r="I925" s="62"/>
    </row>
    <row r="926" spans="9:9" ht="12.5">
      <c r="I926" s="62"/>
    </row>
    <row r="927" spans="9:9" ht="12.5">
      <c r="I927" s="62"/>
    </row>
    <row r="928" spans="9:9" ht="12.5">
      <c r="I928" s="62"/>
    </row>
    <row r="929" spans="9:9" ht="12.5">
      <c r="I929" s="62"/>
    </row>
    <row r="930" spans="9:9" ht="12.5">
      <c r="I930" s="62"/>
    </row>
    <row r="931" spans="9:9" ht="12.5">
      <c r="I931" s="62"/>
    </row>
    <row r="932" spans="9:9" ht="12.5">
      <c r="I932" s="62"/>
    </row>
    <row r="933" spans="9:9" ht="12.5">
      <c r="I933" s="62"/>
    </row>
    <row r="934" spans="9:9" ht="12.5">
      <c r="I934" s="62"/>
    </row>
    <row r="935" spans="9:9" ht="12.5">
      <c r="I935" s="62"/>
    </row>
    <row r="936" spans="9:9" ht="12.5">
      <c r="I936" s="62"/>
    </row>
    <row r="937" spans="9:9" ht="12.5">
      <c r="I937" s="62"/>
    </row>
    <row r="938" spans="9:9" ht="12.5">
      <c r="I938" s="62"/>
    </row>
    <row r="939" spans="9:9" ht="12.5">
      <c r="I939" s="62"/>
    </row>
    <row r="940" spans="9:9" ht="12.5">
      <c r="I940" s="62"/>
    </row>
    <row r="941" spans="9:9" ht="12.5">
      <c r="I941" s="62"/>
    </row>
    <row r="942" spans="9:9" ht="12.5">
      <c r="I942" s="62"/>
    </row>
    <row r="943" spans="9:9" ht="12.5">
      <c r="I943" s="62"/>
    </row>
    <row r="944" spans="9:9" ht="12.5">
      <c r="I944" s="62"/>
    </row>
    <row r="945" spans="9:9" ht="12.5">
      <c r="I945" s="62"/>
    </row>
    <row r="946" spans="9:9" ht="12.5">
      <c r="I946" s="62"/>
    </row>
    <row r="947" spans="9:9" ht="12.5">
      <c r="I947" s="62"/>
    </row>
    <row r="948" spans="9:9" ht="12.5">
      <c r="I948" s="62"/>
    </row>
    <row r="949" spans="9:9" ht="12.5">
      <c r="I949" s="62"/>
    </row>
    <row r="950" spans="9:9" ht="12.5">
      <c r="I950" s="62"/>
    </row>
    <row r="951" spans="9:9" ht="12.5">
      <c r="I951" s="62"/>
    </row>
    <row r="952" spans="9:9" ht="12.5">
      <c r="I952" s="62"/>
    </row>
    <row r="953" spans="9:9" ht="12.5">
      <c r="I953" s="62"/>
    </row>
    <row r="954" spans="9:9" ht="12.5">
      <c r="I954" s="62"/>
    </row>
    <row r="955" spans="9:9" ht="12.5">
      <c r="I955" s="62"/>
    </row>
    <row r="956" spans="9:9" ht="12.5">
      <c r="I956" s="62"/>
    </row>
    <row r="957" spans="9:9" ht="12.5">
      <c r="I957" s="62"/>
    </row>
    <row r="958" spans="9:9" ht="12.5">
      <c r="I958" s="62"/>
    </row>
    <row r="959" spans="9:9" ht="12.5">
      <c r="I959" s="62"/>
    </row>
    <row r="960" spans="9:9" ht="12.5">
      <c r="I960" s="62"/>
    </row>
    <row r="961" spans="9:9" ht="12.5">
      <c r="I961" s="62"/>
    </row>
    <row r="962" spans="9:9" ht="12.5">
      <c r="I962" s="62"/>
    </row>
    <row r="963" spans="9:9" ht="12.5">
      <c r="I963" s="62"/>
    </row>
    <row r="964" spans="9:9" ht="12.5">
      <c r="I964" s="62"/>
    </row>
    <row r="965" spans="9:9" ht="12.5">
      <c r="I965" s="62"/>
    </row>
    <row r="966" spans="9:9" ht="12.5">
      <c r="I966" s="62"/>
    </row>
    <row r="967" spans="9:9" ht="12.5">
      <c r="I967" s="62"/>
    </row>
    <row r="968" spans="9:9" ht="12.5">
      <c r="I968" s="62"/>
    </row>
    <row r="969" spans="9:9" ht="12.5">
      <c r="I969" s="62"/>
    </row>
    <row r="970" spans="9:9" ht="12.5">
      <c r="I970" s="62"/>
    </row>
    <row r="971" spans="9:9" ht="12.5">
      <c r="I971" s="62"/>
    </row>
    <row r="972" spans="9:9" ht="12.5">
      <c r="I972" s="62"/>
    </row>
    <row r="973" spans="9:9" ht="12.5">
      <c r="I973" s="62"/>
    </row>
    <row r="974" spans="9:9" ht="12.5">
      <c r="I974" s="62"/>
    </row>
    <row r="975" spans="9:9" ht="12.5">
      <c r="I975" s="62"/>
    </row>
    <row r="976" spans="9:9" ht="12.5">
      <c r="I976" s="62"/>
    </row>
    <row r="977" spans="9:9" ht="12.5">
      <c r="I977" s="62"/>
    </row>
    <row r="978" spans="9:9" ht="12.5">
      <c r="I978" s="62"/>
    </row>
    <row r="979" spans="9:9" ht="12.5">
      <c r="I979" s="62"/>
    </row>
    <row r="980" spans="9:9" ht="12.5">
      <c r="I980" s="62"/>
    </row>
    <row r="981" spans="9:9" ht="12.5">
      <c r="I981" s="62"/>
    </row>
    <row r="982" spans="9:9" ht="12.5">
      <c r="I982" s="62"/>
    </row>
    <row r="983" spans="9:9" ht="12.5">
      <c r="I983" s="62"/>
    </row>
    <row r="984" spans="9:9" ht="12.5">
      <c r="I984" s="62"/>
    </row>
    <row r="985" spans="9:9" ht="12.5">
      <c r="I985" s="62"/>
    </row>
    <row r="986" spans="9:9" ht="12.5">
      <c r="I986" s="62"/>
    </row>
    <row r="987" spans="9:9" ht="12.5">
      <c r="I987" s="62"/>
    </row>
    <row r="988" spans="9:9" ht="12.5">
      <c r="I988" s="62"/>
    </row>
    <row r="989" spans="9:9" ht="12.5">
      <c r="I989" s="62"/>
    </row>
    <row r="990" spans="9:9" ht="12.5">
      <c r="I990" s="62"/>
    </row>
    <row r="991" spans="9:9" ht="12.5">
      <c r="I991" s="62"/>
    </row>
    <row r="992" spans="9:9" ht="12.5">
      <c r="I992" s="62"/>
    </row>
    <row r="993" spans="9:9" ht="12.5">
      <c r="I993" s="62"/>
    </row>
    <row r="994" spans="9:9" ht="12.5">
      <c r="I994" s="62"/>
    </row>
    <row r="995" spans="9:9" ht="12.5">
      <c r="I995" s="62"/>
    </row>
    <row r="996" spans="9:9" ht="12.5">
      <c r="I996" s="62"/>
    </row>
    <row r="997" spans="9:9" ht="12.5">
      <c r="I997" s="62"/>
    </row>
    <row r="998" spans="9:9" ht="12.5">
      <c r="I998" s="62"/>
    </row>
    <row r="999" spans="9:9" ht="12.5">
      <c r="I999" s="62"/>
    </row>
    <row r="1000" spans="9:9" ht="12.5">
      <c r="I1000" s="62"/>
    </row>
    <row r="1001" spans="9:9" ht="12.5">
      <c r="I1001" s="62"/>
    </row>
  </sheetData>
  <autoFilter ref="A1:T27">
    <filterColumn colId="3">
      <filters>
        <filter val="Lucero Florid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X97"/>
  <sheetViews>
    <sheetView topLeftCell="J1" workbookViewId="0">
      <selection activeCell="P3" sqref="P3"/>
    </sheetView>
  </sheetViews>
  <sheetFormatPr baseColWidth="10" defaultColWidth="11.58203125" defaultRowHeight="15.75" customHeight="1"/>
  <cols>
    <col min="1" max="1" width="11.58203125" style="58"/>
    <col min="2" max="2" width="20.1640625" style="58" customWidth="1"/>
    <col min="3" max="3" width="11.1640625" style="58" customWidth="1"/>
    <col min="4" max="4" width="16.6640625" style="58" customWidth="1"/>
    <col min="5" max="5" width="12.83203125" style="58" customWidth="1"/>
    <col min="6" max="18" width="11.58203125" style="58"/>
    <col min="19" max="19" width="17.08203125" style="58" bestFit="1" customWidth="1"/>
    <col min="20" max="20" width="18.08203125" style="58" bestFit="1" customWidth="1"/>
    <col min="21" max="21" width="11.58203125" style="58"/>
    <col min="22" max="22" width="17.08203125" style="58" customWidth="1"/>
    <col min="23" max="23" width="24.6640625" style="58" bestFit="1" customWidth="1"/>
    <col min="24" max="16384" width="11.58203125" style="58"/>
  </cols>
  <sheetData>
    <row r="1" spans="1:24" ht="13">
      <c r="A1" s="57" t="s">
        <v>40</v>
      </c>
      <c r="B1" s="57" t="s">
        <v>41</v>
      </c>
      <c r="C1" s="57" t="s">
        <v>100</v>
      </c>
      <c r="D1" s="57" t="s">
        <v>101</v>
      </c>
      <c r="E1" s="57" t="s">
        <v>117</v>
      </c>
      <c r="F1" s="57" t="s">
        <v>104</v>
      </c>
      <c r="G1" s="57" t="s">
        <v>103</v>
      </c>
      <c r="H1" s="57" t="s">
        <v>139</v>
      </c>
      <c r="I1" s="57" t="s">
        <v>140</v>
      </c>
      <c r="J1" s="57" t="s">
        <v>105</v>
      </c>
      <c r="K1" s="57" t="s">
        <v>141</v>
      </c>
      <c r="L1" s="57" t="s">
        <v>142</v>
      </c>
      <c r="M1" s="57" t="s">
        <v>43</v>
      </c>
      <c r="N1" s="57" t="s">
        <v>44</v>
      </c>
      <c r="O1" s="57" t="s">
        <v>106</v>
      </c>
      <c r="P1" s="57" t="s">
        <v>107</v>
      </c>
      <c r="Q1" s="57" t="s">
        <v>143</v>
      </c>
      <c r="R1" s="57"/>
      <c r="S1" s="57"/>
      <c r="T1" s="57"/>
      <c r="U1" s="57"/>
      <c r="V1" s="57"/>
      <c r="W1" s="57"/>
      <c r="X1" s="57"/>
    </row>
    <row r="2" spans="1:24" ht="15.75" hidden="1" customHeight="1">
      <c r="A2" s="59">
        <v>55</v>
      </c>
      <c r="B2" s="59" t="s">
        <v>118</v>
      </c>
      <c r="C2" s="60">
        <v>44414</v>
      </c>
      <c r="D2" s="59" t="s">
        <v>91</v>
      </c>
      <c r="E2" s="62">
        <v>132</v>
      </c>
      <c r="F2" s="62">
        <v>122</v>
      </c>
      <c r="G2" s="59">
        <v>10</v>
      </c>
      <c r="H2" s="59"/>
      <c r="I2" s="59"/>
      <c r="J2" s="59" t="s">
        <v>83</v>
      </c>
      <c r="K2" s="59"/>
      <c r="L2" s="61">
        <v>24035</v>
      </c>
      <c r="M2" s="61">
        <v>748018</v>
      </c>
      <c r="N2" s="61">
        <v>944319.79</v>
      </c>
      <c r="O2" s="61">
        <v>306781.80534999899</v>
      </c>
      <c r="P2" s="61">
        <v>1251101.5953500001</v>
      </c>
      <c r="Q2" s="59"/>
      <c r="R2" s="59"/>
      <c r="S2" s="59"/>
      <c r="T2" s="59"/>
      <c r="U2" s="59"/>
      <c r="V2" s="59"/>
      <c r="W2" s="59"/>
      <c r="X2" s="59"/>
    </row>
    <row r="3" spans="1:24" ht="15.75" hidden="1" customHeight="1">
      <c r="A3" s="59">
        <v>103</v>
      </c>
      <c r="B3" s="59" t="s">
        <v>48</v>
      </c>
      <c r="C3" s="63">
        <v>44854</v>
      </c>
      <c r="D3" s="59" t="s">
        <v>110</v>
      </c>
      <c r="E3" s="62">
        <v>129</v>
      </c>
      <c r="F3" s="62">
        <v>91</v>
      </c>
      <c r="G3" s="59">
        <v>6</v>
      </c>
      <c r="H3" s="59">
        <v>4</v>
      </c>
      <c r="I3" s="59"/>
      <c r="J3" s="59" t="s">
        <v>108</v>
      </c>
      <c r="K3" s="59"/>
      <c r="L3" s="61">
        <v>29352</v>
      </c>
      <c r="M3" s="61">
        <v>544266</v>
      </c>
      <c r="N3" s="61">
        <v>682045.2</v>
      </c>
      <c r="O3" s="61">
        <v>216926.035</v>
      </c>
      <c r="P3" s="61">
        <v>898971.23499999999</v>
      </c>
      <c r="Q3" s="59"/>
      <c r="R3" s="59"/>
      <c r="S3" s="10" t="s">
        <v>28</v>
      </c>
      <c r="T3" t="s">
        <v>109</v>
      </c>
      <c r="U3"/>
      <c r="V3" s="10" t="s">
        <v>28</v>
      </c>
      <c r="W3" t="s">
        <v>116</v>
      </c>
      <c r="X3"/>
    </row>
    <row r="4" spans="1:24" ht="15.75" hidden="1" customHeight="1">
      <c r="A4" s="59">
        <v>120</v>
      </c>
      <c r="B4" s="59" t="s">
        <v>49</v>
      </c>
      <c r="C4" s="60">
        <v>45020</v>
      </c>
      <c r="D4" s="59" t="s">
        <v>111</v>
      </c>
      <c r="E4" s="62">
        <v>128</v>
      </c>
      <c r="F4" s="62">
        <v>119</v>
      </c>
      <c r="G4" s="59">
        <v>9</v>
      </c>
      <c r="H4" s="59"/>
      <c r="I4" s="59"/>
      <c r="J4" s="59" t="s">
        <v>83</v>
      </c>
      <c r="K4" s="59"/>
      <c r="L4" s="61">
        <v>28820</v>
      </c>
      <c r="M4" s="61">
        <v>720514</v>
      </c>
      <c r="N4" s="61">
        <v>909608.85</v>
      </c>
      <c r="O4" s="61">
        <v>295581.89544999902</v>
      </c>
      <c r="P4" s="61">
        <v>1205190.74544999</v>
      </c>
      <c r="Q4" s="59"/>
      <c r="R4" s="59"/>
      <c r="S4" s="12" t="s">
        <v>91</v>
      </c>
      <c r="T4" s="13">
        <v>4520864.4537000004</v>
      </c>
      <c r="U4"/>
      <c r="V4" s="12" t="s">
        <v>91</v>
      </c>
      <c r="W4" s="39">
        <v>4</v>
      </c>
      <c r="X4"/>
    </row>
    <row r="5" spans="1:24" ht="15.75" hidden="1" customHeight="1">
      <c r="A5" s="59">
        <v>126</v>
      </c>
      <c r="B5" s="59" t="s">
        <v>50</v>
      </c>
      <c r="C5" s="60">
        <v>45057</v>
      </c>
      <c r="D5" s="59" t="s">
        <v>113</v>
      </c>
      <c r="E5" s="62">
        <v>120</v>
      </c>
      <c r="F5" s="62">
        <v>111</v>
      </c>
      <c r="G5" s="59">
        <v>9</v>
      </c>
      <c r="H5" s="59"/>
      <c r="I5" s="59"/>
      <c r="J5" s="59" t="s">
        <v>83</v>
      </c>
      <c r="K5" s="59"/>
      <c r="L5" s="61">
        <v>29882</v>
      </c>
      <c r="M5" s="61">
        <v>673751</v>
      </c>
      <c r="N5" s="61">
        <v>850618.43</v>
      </c>
      <c r="O5" s="61">
        <v>276574.29115</v>
      </c>
      <c r="P5" s="61">
        <v>1127192.7211500001</v>
      </c>
      <c r="Q5" s="59"/>
      <c r="R5" s="59"/>
      <c r="S5" s="12" t="s">
        <v>112</v>
      </c>
      <c r="T5" s="13">
        <v>7019683.5124999909</v>
      </c>
      <c r="U5"/>
      <c r="V5" s="12" t="s">
        <v>112</v>
      </c>
      <c r="W5" s="39">
        <v>7</v>
      </c>
      <c r="X5"/>
    </row>
    <row r="6" spans="1:24" ht="15.75" hidden="1" customHeight="1">
      <c r="A6" s="59">
        <v>131</v>
      </c>
      <c r="B6" s="59" t="s">
        <v>119</v>
      </c>
      <c r="C6" s="60">
        <v>45085</v>
      </c>
      <c r="D6" s="59" t="s">
        <v>114</v>
      </c>
      <c r="E6" s="62">
        <v>122</v>
      </c>
      <c r="F6" s="62">
        <v>118</v>
      </c>
      <c r="G6" s="59">
        <v>0</v>
      </c>
      <c r="H6" s="59">
        <v>8</v>
      </c>
      <c r="I6" s="59">
        <v>4</v>
      </c>
      <c r="J6" s="59" t="s">
        <v>83</v>
      </c>
      <c r="K6" s="59"/>
      <c r="L6" s="61">
        <v>8744</v>
      </c>
      <c r="M6" s="61">
        <v>636686</v>
      </c>
      <c r="N6" s="61">
        <v>802501.66</v>
      </c>
      <c r="O6" s="61">
        <v>259684.01289999901</v>
      </c>
      <c r="P6" s="61">
        <v>1062185.6728999999</v>
      </c>
      <c r="Q6" s="59"/>
      <c r="R6" s="59"/>
      <c r="S6" s="12" t="s">
        <v>111</v>
      </c>
      <c r="T6" s="13">
        <v>3429207.3599999901</v>
      </c>
      <c r="U6"/>
      <c r="V6" s="12" t="s">
        <v>111</v>
      </c>
      <c r="W6" s="39">
        <v>3</v>
      </c>
      <c r="X6"/>
    </row>
    <row r="7" spans="1:24" ht="15.75" hidden="1" customHeight="1">
      <c r="A7" s="59">
        <v>138</v>
      </c>
      <c r="B7" s="59" t="s">
        <v>120</v>
      </c>
      <c r="C7" s="60">
        <v>45139</v>
      </c>
      <c r="D7" s="59" t="s">
        <v>110</v>
      </c>
      <c r="E7" s="62">
        <v>121</v>
      </c>
      <c r="F7" s="62">
        <v>105</v>
      </c>
      <c r="G7" s="59">
        <v>8</v>
      </c>
      <c r="H7" s="59"/>
      <c r="I7" s="59">
        <v>8</v>
      </c>
      <c r="J7" s="59" t="s">
        <v>83</v>
      </c>
      <c r="K7" s="59"/>
      <c r="L7" s="61">
        <v>34194</v>
      </c>
      <c r="M7" s="61">
        <v>678666</v>
      </c>
      <c r="N7" s="61">
        <v>856814.76</v>
      </c>
      <c r="O7" s="61">
        <v>278566.95399999898</v>
      </c>
      <c r="P7" s="61">
        <v>1135381.7139999999</v>
      </c>
      <c r="Q7" s="59"/>
      <c r="R7" s="59"/>
      <c r="S7" s="12" t="s">
        <v>114</v>
      </c>
      <c r="T7" s="13">
        <v>2296399.7143999999</v>
      </c>
      <c r="U7"/>
      <c r="V7" s="12" t="s">
        <v>114</v>
      </c>
      <c r="W7" s="39">
        <v>2</v>
      </c>
      <c r="X7"/>
    </row>
    <row r="8" spans="1:24" ht="15.75" customHeight="1">
      <c r="A8" s="59">
        <v>139</v>
      </c>
      <c r="B8" s="59" t="s">
        <v>53</v>
      </c>
      <c r="C8" s="60">
        <v>45139</v>
      </c>
      <c r="D8" s="59" t="s">
        <v>112</v>
      </c>
      <c r="E8" s="62">
        <v>122</v>
      </c>
      <c r="F8" s="62">
        <v>112</v>
      </c>
      <c r="G8" s="59">
        <v>10</v>
      </c>
      <c r="H8" s="59"/>
      <c r="I8" s="59"/>
      <c r="J8" s="59" t="s">
        <v>83</v>
      </c>
      <c r="K8" s="59"/>
      <c r="L8" s="61">
        <v>39514</v>
      </c>
      <c r="M8" s="61">
        <v>695901</v>
      </c>
      <c r="N8" s="61">
        <v>878907.97</v>
      </c>
      <c r="O8" s="61">
        <v>286044.11424999998</v>
      </c>
      <c r="P8" s="61">
        <v>1164952.0842499901</v>
      </c>
      <c r="Q8" s="59"/>
      <c r="R8" s="59"/>
      <c r="S8" s="12" t="s">
        <v>113</v>
      </c>
      <c r="T8" s="13">
        <v>3434634.9756</v>
      </c>
      <c r="U8"/>
      <c r="V8" s="12" t="s">
        <v>113</v>
      </c>
      <c r="W8" s="39">
        <v>3</v>
      </c>
      <c r="X8"/>
    </row>
    <row r="9" spans="1:24" ht="15.75" hidden="1" customHeight="1">
      <c r="A9" s="59">
        <v>143</v>
      </c>
      <c r="B9" s="59" t="s">
        <v>54</v>
      </c>
      <c r="C9" s="60">
        <v>45184</v>
      </c>
      <c r="D9" s="59" t="s">
        <v>91</v>
      </c>
      <c r="E9" s="62">
        <v>126</v>
      </c>
      <c r="F9" s="62">
        <v>116</v>
      </c>
      <c r="G9" s="59">
        <v>10</v>
      </c>
      <c r="H9" s="59"/>
      <c r="I9" s="59"/>
      <c r="J9" s="59" t="s">
        <v>83</v>
      </c>
      <c r="K9" s="59"/>
      <c r="L9" s="61">
        <v>22943</v>
      </c>
      <c r="M9" s="61">
        <v>702171</v>
      </c>
      <c r="N9" s="61">
        <v>886416.02</v>
      </c>
      <c r="O9" s="61">
        <v>288054.22449999902</v>
      </c>
      <c r="P9" s="61">
        <v>1174470.2445</v>
      </c>
      <c r="Q9" s="59"/>
      <c r="R9" s="59"/>
      <c r="S9" s="12" t="s">
        <v>110</v>
      </c>
      <c r="T9" s="13">
        <v>4232892.9722999902</v>
      </c>
      <c r="U9"/>
      <c r="V9" s="12" t="s">
        <v>110</v>
      </c>
      <c r="W9" s="39">
        <v>4</v>
      </c>
      <c r="X9"/>
    </row>
    <row r="10" spans="1:24" ht="15.75" hidden="1" customHeight="1">
      <c r="A10" s="59">
        <v>151</v>
      </c>
      <c r="B10" s="59" t="s">
        <v>121</v>
      </c>
      <c r="C10" s="60">
        <v>45201</v>
      </c>
      <c r="D10" s="59" t="s">
        <v>91</v>
      </c>
      <c r="E10" s="62">
        <v>127</v>
      </c>
      <c r="F10" s="62">
        <v>122</v>
      </c>
      <c r="G10" s="59">
        <v>5</v>
      </c>
      <c r="H10" s="59">
        <v>4</v>
      </c>
      <c r="I10" s="59"/>
      <c r="J10" s="59" t="s">
        <v>83</v>
      </c>
      <c r="K10" s="59"/>
      <c r="L10" s="61">
        <v>23195</v>
      </c>
      <c r="M10" s="61">
        <v>690903</v>
      </c>
      <c r="N10" s="61">
        <v>871731.26</v>
      </c>
      <c r="O10" s="61">
        <v>282843.03009999997</v>
      </c>
      <c r="P10" s="61">
        <v>1154574.2901000001</v>
      </c>
      <c r="Q10" s="59"/>
      <c r="R10" s="59"/>
      <c r="S10" s="12" t="s">
        <v>115</v>
      </c>
      <c r="T10" s="13">
        <v>2341500.4999499898</v>
      </c>
      <c r="U10"/>
      <c r="V10" s="12" t="s">
        <v>115</v>
      </c>
      <c r="W10" s="39">
        <v>2</v>
      </c>
      <c r="X10"/>
    </row>
    <row r="11" spans="1:24" ht="15.75" hidden="1" customHeight="1">
      <c r="A11" s="59">
        <v>161</v>
      </c>
      <c r="B11" s="59" t="s">
        <v>122</v>
      </c>
      <c r="C11" s="63">
        <v>45272</v>
      </c>
      <c r="D11" s="59" t="s">
        <v>91</v>
      </c>
      <c r="E11" s="62">
        <v>126</v>
      </c>
      <c r="F11" s="62">
        <v>93</v>
      </c>
      <c r="G11" s="59">
        <v>5</v>
      </c>
      <c r="H11" s="59">
        <v>4</v>
      </c>
      <c r="I11" s="59"/>
      <c r="J11" s="59" t="s">
        <v>108</v>
      </c>
      <c r="K11" s="59"/>
      <c r="L11" s="61">
        <v>17845</v>
      </c>
      <c r="M11" s="61">
        <v>567481</v>
      </c>
      <c r="N11" s="61">
        <v>712622.67</v>
      </c>
      <c r="O11" s="61">
        <v>228095.65375</v>
      </c>
      <c r="P11" s="61">
        <v>940718.32374999998</v>
      </c>
      <c r="Q11" s="59"/>
      <c r="R11" s="59"/>
      <c r="S11" s="12" t="s">
        <v>26</v>
      </c>
      <c r="T11" s="13">
        <v>27275183.488449953</v>
      </c>
      <c r="U11"/>
      <c r="V11" s="12" t="s">
        <v>26</v>
      </c>
      <c r="W11" s="39">
        <v>25</v>
      </c>
      <c r="X11"/>
    </row>
    <row r="12" spans="1:24" ht="15.75" hidden="1" customHeight="1">
      <c r="A12" s="59">
        <v>165</v>
      </c>
      <c r="B12" s="59" t="s">
        <v>123</v>
      </c>
      <c r="C12" s="60">
        <v>45311</v>
      </c>
      <c r="D12" s="59" t="s">
        <v>114</v>
      </c>
      <c r="E12" s="62">
        <v>123</v>
      </c>
      <c r="F12" s="62">
        <v>123</v>
      </c>
      <c r="G12" s="59">
        <v>0</v>
      </c>
      <c r="H12" s="59">
        <v>8</v>
      </c>
      <c r="I12" s="59"/>
      <c r="J12" s="59" t="s">
        <v>83</v>
      </c>
      <c r="K12" s="59"/>
      <c r="L12" s="61">
        <v>9114</v>
      </c>
      <c r="M12" s="61">
        <v>769679</v>
      </c>
      <c r="N12" s="61">
        <v>973959.74</v>
      </c>
      <c r="O12" s="61">
        <v>260254.3015</v>
      </c>
      <c r="P12" s="61">
        <v>1234214.0415000001</v>
      </c>
      <c r="Q12" s="59"/>
      <c r="R12" s="59"/>
      <c r="S12"/>
      <c r="T12"/>
      <c r="U12"/>
      <c r="V12"/>
      <c r="W12"/>
      <c r="X12"/>
    </row>
    <row r="13" spans="1:24" ht="15.75" customHeight="1">
      <c r="A13" s="59">
        <v>170</v>
      </c>
      <c r="B13" s="59" t="s">
        <v>58</v>
      </c>
      <c r="C13" s="60">
        <v>45345</v>
      </c>
      <c r="D13" s="59" t="s">
        <v>112</v>
      </c>
      <c r="E13" s="62">
        <v>125</v>
      </c>
      <c r="F13" s="62">
        <v>115</v>
      </c>
      <c r="G13" s="59">
        <v>10</v>
      </c>
      <c r="H13" s="59"/>
      <c r="I13" s="59"/>
      <c r="J13" s="59" t="s">
        <v>83</v>
      </c>
      <c r="K13" s="59"/>
      <c r="L13" s="61">
        <v>40486</v>
      </c>
      <c r="M13" s="61">
        <v>711966</v>
      </c>
      <c r="N13" s="61">
        <v>899200.38</v>
      </c>
      <c r="O13" s="61">
        <v>292609.92310000001</v>
      </c>
      <c r="P13" s="61">
        <v>1191810.3030999999</v>
      </c>
      <c r="Q13" s="59"/>
      <c r="R13" s="59"/>
      <c r="S13"/>
      <c r="T13" s="13">
        <f>SUM(T5:T10)</f>
        <v>22754319.034749962</v>
      </c>
      <c r="U13"/>
      <c r="V13"/>
      <c r="W13"/>
      <c r="X13"/>
    </row>
    <row r="14" spans="1:24" ht="15.75" hidden="1" customHeight="1">
      <c r="A14" s="59">
        <v>171</v>
      </c>
      <c r="B14" s="59" t="s">
        <v>124</v>
      </c>
      <c r="C14" s="60">
        <v>45771</v>
      </c>
      <c r="D14" s="59" t="s">
        <v>113</v>
      </c>
      <c r="E14" s="62">
        <v>127</v>
      </c>
      <c r="F14" s="62">
        <v>117</v>
      </c>
      <c r="G14" s="59">
        <v>10</v>
      </c>
      <c r="H14" s="59"/>
      <c r="I14" s="59"/>
      <c r="J14" s="59" t="s">
        <v>83</v>
      </c>
      <c r="K14" s="59"/>
      <c r="L14" s="61">
        <v>31625</v>
      </c>
      <c r="M14" s="61">
        <v>714613</v>
      </c>
      <c r="N14" s="61">
        <v>902324.75</v>
      </c>
      <c r="O14" s="61">
        <v>293397.74095000001</v>
      </c>
      <c r="P14" s="61">
        <v>1195722.49095</v>
      </c>
      <c r="Q14" s="59"/>
      <c r="R14" s="59"/>
      <c r="S14"/>
      <c r="T14"/>
      <c r="U14"/>
      <c r="V14"/>
      <c r="W14"/>
      <c r="X14"/>
    </row>
    <row r="15" spans="1:24" ht="15.75" customHeight="1">
      <c r="A15" s="59">
        <v>173</v>
      </c>
      <c r="B15" s="59" t="s">
        <v>60</v>
      </c>
      <c r="C15" s="60">
        <v>45447</v>
      </c>
      <c r="D15" s="59" t="s">
        <v>112</v>
      </c>
      <c r="E15" s="62">
        <v>132</v>
      </c>
      <c r="F15" s="62">
        <v>120</v>
      </c>
      <c r="G15" s="59">
        <v>12</v>
      </c>
      <c r="H15" s="59"/>
      <c r="I15" s="59"/>
      <c r="J15" s="59" t="s">
        <v>83</v>
      </c>
      <c r="K15" s="59"/>
      <c r="L15" s="61">
        <v>42753</v>
      </c>
      <c r="M15" s="61">
        <v>749642</v>
      </c>
      <c r="N15" s="61">
        <v>946985.8</v>
      </c>
      <c r="O15" s="61">
        <v>308270.14120000001</v>
      </c>
      <c r="P15" s="61">
        <v>1255255.9412</v>
      </c>
      <c r="Q15" s="59"/>
      <c r="R15" s="59"/>
      <c r="S15"/>
      <c r="T15"/>
      <c r="U15"/>
      <c r="V15"/>
      <c r="W15"/>
      <c r="X15"/>
    </row>
    <row r="16" spans="1:24" ht="15.75" hidden="1" customHeight="1">
      <c r="A16" s="59">
        <v>174</v>
      </c>
      <c r="B16" s="59" t="s">
        <v>125</v>
      </c>
      <c r="C16" s="60">
        <v>45477</v>
      </c>
      <c r="D16" s="59" t="s">
        <v>111</v>
      </c>
      <c r="E16" s="62">
        <v>121</v>
      </c>
      <c r="F16" s="62">
        <v>112</v>
      </c>
      <c r="G16" s="59">
        <v>9</v>
      </c>
      <c r="H16" s="59"/>
      <c r="I16" s="59"/>
      <c r="J16" s="59" t="s">
        <v>83</v>
      </c>
      <c r="K16" s="59"/>
      <c r="L16" s="61">
        <v>27244</v>
      </c>
      <c r="M16" s="61">
        <v>669939</v>
      </c>
      <c r="N16" s="61">
        <v>845728.49</v>
      </c>
      <c r="O16" s="61">
        <v>274915.94485000003</v>
      </c>
      <c r="P16" s="61">
        <v>1120644.4348500001</v>
      </c>
      <c r="Q16" s="59"/>
      <c r="R16" s="59"/>
      <c r="S16"/>
      <c r="T16"/>
      <c r="U16"/>
      <c r="V16"/>
      <c r="W16"/>
      <c r="X16"/>
    </row>
    <row r="17" spans="1:24" ht="15.75" customHeight="1">
      <c r="A17" s="59">
        <v>186</v>
      </c>
      <c r="B17" s="59" t="s">
        <v>127</v>
      </c>
      <c r="C17" s="63">
        <v>45587</v>
      </c>
      <c r="D17" s="59" t="s">
        <v>112</v>
      </c>
      <c r="E17" s="62">
        <v>113</v>
      </c>
      <c r="F17" s="62">
        <v>104</v>
      </c>
      <c r="G17" s="59">
        <v>9</v>
      </c>
      <c r="H17" s="59"/>
      <c r="I17" s="59"/>
      <c r="J17" s="59" t="s">
        <v>83</v>
      </c>
      <c r="K17" s="59"/>
      <c r="L17" s="61">
        <v>30246</v>
      </c>
      <c r="M17" s="61">
        <v>632219</v>
      </c>
      <c r="N17" s="61">
        <v>798210.54</v>
      </c>
      <c r="O17" s="61">
        <v>259671.07329999999</v>
      </c>
      <c r="P17" s="61">
        <v>1057881.6133000001</v>
      </c>
      <c r="Q17" s="59"/>
      <c r="R17" s="59"/>
      <c r="S17"/>
      <c r="T17"/>
      <c r="U17"/>
      <c r="V17"/>
      <c r="W17"/>
      <c r="X17"/>
    </row>
    <row r="18" spans="1:24" ht="14" hidden="1">
      <c r="A18" s="59">
        <v>189</v>
      </c>
      <c r="B18" s="59" t="s">
        <v>128</v>
      </c>
      <c r="C18" s="60">
        <v>45597</v>
      </c>
      <c r="D18" s="59" t="s">
        <v>113</v>
      </c>
      <c r="E18" s="62">
        <v>118</v>
      </c>
      <c r="F18" s="62">
        <v>107</v>
      </c>
      <c r="G18" s="59">
        <v>11</v>
      </c>
      <c r="H18" s="59"/>
      <c r="I18" s="59"/>
      <c r="J18" s="59" t="s">
        <v>83</v>
      </c>
      <c r="K18" s="59"/>
      <c r="L18" s="61">
        <v>29384</v>
      </c>
      <c r="M18" s="61">
        <v>664213</v>
      </c>
      <c r="N18" s="61">
        <v>838772.66</v>
      </c>
      <c r="O18" s="61">
        <v>272947.10349999898</v>
      </c>
      <c r="P18" s="61">
        <v>1111719.7634999999</v>
      </c>
      <c r="Q18" s="59"/>
      <c r="R18" s="59"/>
      <c r="S18"/>
      <c r="T18"/>
      <c r="U18"/>
      <c r="V18"/>
      <c r="W18"/>
      <c r="X18"/>
    </row>
    <row r="19" spans="1:24" ht="14" hidden="1">
      <c r="A19" s="59">
        <v>190</v>
      </c>
      <c r="B19" s="59" t="s">
        <v>68</v>
      </c>
      <c r="C19" s="60">
        <v>45597</v>
      </c>
      <c r="D19" s="59" t="s">
        <v>115</v>
      </c>
      <c r="E19" s="62">
        <v>129</v>
      </c>
      <c r="F19" s="62">
        <v>119</v>
      </c>
      <c r="G19" s="59">
        <v>10</v>
      </c>
      <c r="H19" s="59"/>
      <c r="I19" s="59"/>
      <c r="J19" s="59" t="s">
        <v>83</v>
      </c>
      <c r="K19" s="59"/>
      <c r="L19" s="61">
        <v>33616</v>
      </c>
      <c r="M19" s="61">
        <v>718261</v>
      </c>
      <c r="N19" s="61">
        <v>906926.69</v>
      </c>
      <c r="O19" s="61">
        <v>294880.61605000001</v>
      </c>
      <c r="P19" s="61">
        <v>1201807.30605</v>
      </c>
      <c r="Q19" s="59" t="s">
        <v>190</v>
      </c>
      <c r="R19" s="59"/>
      <c r="S19"/>
      <c r="T19"/>
      <c r="U19"/>
      <c r="V19"/>
      <c r="W19"/>
      <c r="X19"/>
    </row>
    <row r="20" spans="1:24" ht="14" hidden="1">
      <c r="A20" s="59">
        <v>192</v>
      </c>
      <c r="B20" s="59" t="s">
        <v>129</v>
      </c>
      <c r="C20" s="60">
        <v>45597</v>
      </c>
      <c r="D20" s="59" t="s">
        <v>110</v>
      </c>
      <c r="E20" s="62">
        <v>119</v>
      </c>
      <c r="F20" s="62">
        <v>111</v>
      </c>
      <c r="G20" s="59">
        <v>8</v>
      </c>
      <c r="H20" s="59"/>
      <c r="I20" s="59"/>
      <c r="J20" s="59" t="s">
        <v>83</v>
      </c>
      <c r="K20" s="59"/>
      <c r="L20" s="61">
        <v>58967</v>
      </c>
      <c r="M20" s="61">
        <v>681246</v>
      </c>
      <c r="N20" s="61">
        <v>860606.43</v>
      </c>
      <c r="O20" s="61">
        <v>280336.04574999999</v>
      </c>
      <c r="P20" s="61">
        <v>1140942.47575</v>
      </c>
      <c r="Q20" s="59" t="s">
        <v>190</v>
      </c>
      <c r="R20" s="59"/>
      <c r="S20" s="59"/>
      <c r="T20" s="59"/>
      <c r="U20" s="59"/>
      <c r="V20"/>
      <c r="W20"/>
      <c r="X20"/>
    </row>
    <row r="21" spans="1:24" ht="12.5" hidden="1">
      <c r="A21" s="59">
        <v>194</v>
      </c>
      <c r="B21" s="59" t="s">
        <v>130</v>
      </c>
      <c r="C21" s="63">
        <v>45639</v>
      </c>
      <c r="D21" s="59" t="s">
        <v>111</v>
      </c>
      <c r="E21" s="62">
        <v>122</v>
      </c>
      <c r="F21" s="62">
        <v>117</v>
      </c>
      <c r="G21" s="59">
        <v>5</v>
      </c>
      <c r="H21" s="59">
        <v>4</v>
      </c>
      <c r="I21" s="59"/>
      <c r="J21" s="59" t="s">
        <v>83</v>
      </c>
      <c r="K21" s="59"/>
      <c r="L21" s="61">
        <v>24654</v>
      </c>
      <c r="M21" s="61">
        <v>660181</v>
      </c>
      <c r="N21" s="61">
        <v>832993.42</v>
      </c>
      <c r="O21" s="61">
        <v>270378.7597</v>
      </c>
      <c r="P21" s="61">
        <v>1103372.1797</v>
      </c>
      <c r="Q21" s="59"/>
      <c r="R21" s="59"/>
      <c r="S21" s="59"/>
      <c r="T21" s="59"/>
      <c r="U21" s="59"/>
      <c r="V21" s="59"/>
      <c r="W21" s="59"/>
      <c r="X21" s="59"/>
    </row>
    <row r="22" spans="1:24" ht="12.5">
      <c r="A22" s="59">
        <v>197</v>
      </c>
      <c r="B22" s="59" t="s">
        <v>71</v>
      </c>
      <c r="C22" s="60">
        <v>45659</v>
      </c>
      <c r="D22" s="59" t="s">
        <v>112</v>
      </c>
      <c r="E22" s="59">
        <v>30</v>
      </c>
      <c r="F22" s="59"/>
      <c r="G22" s="59">
        <v>0</v>
      </c>
      <c r="H22" s="59">
        <v>4</v>
      </c>
      <c r="I22" s="59"/>
      <c r="J22" s="59" t="s">
        <v>83</v>
      </c>
      <c r="K22" s="59"/>
      <c r="L22" s="61" t="s">
        <v>191</v>
      </c>
      <c r="M22" s="61">
        <v>631496</v>
      </c>
      <c r="N22" s="61">
        <v>770333.3</v>
      </c>
      <c r="O22" s="61">
        <v>237675.6949</v>
      </c>
      <c r="P22" s="61">
        <v>1008008.9949</v>
      </c>
      <c r="Q22" s="59" t="s">
        <v>158</v>
      </c>
      <c r="R22" s="59"/>
      <c r="S22" s="59"/>
      <c r="T22" s="59"/>
      <c r="U22" s="59"/>
      <c r="V22" s="59"/>
      <c r="W22" s="59"/>
      <c r="X22" s="59"/>
    </row>
    <row r="23" spans="1:24" ht="12.5">
      <c r="A23" s="59">
        <v>202</v>
      </c>
      <c r="B23" s="59" t="s">
        <v>131</v>
      </c>
      <c r="C23" s="60">
        <v>45666</v>
      </c>
      <c r="D23" s="59" t="s">
        <v>112</v>
      </c>
      <c r="E23" s="59">
        <v>45</v>
      </c>
      <c r="F23" s="59"/>
      <c r="G23" s="59">
        <v>0</v>
      </c>
      <c r="H23" s="59">
        <v>4</v>
      </c>
      <c r="I23" s="59"/>
      <c r="J23" s="59" t="s">
        <v>83</v>
      </c>
      <c r="K23" s="59"/>
      <c r="L23" s="61" t="s">
        <v>191</v>
      </c>
      <c r="M23" s="61">
        <v>386912</v>
      </c>
      <c r="N23" s="61">
        <v>462356.36</v>
      </c>
      <c r="O23" s="61">
        <v>135244.04800000001</v>
      </c>
      <c r="P23" s="61">
        <v>597600.40800000005</v>
      </c>
      <c r="Q23" s="59" t="s">
        <v>158</v>
      </c>
      <c r="R23" s="59"/>
      <c r="S23" s="59"/>
      <c r="T23" s="59"/>
      <c r="U23" s="59"/>
      <c r="V23" s="59"/>
      <c r="W23" s="59"/>
      <c r="X23" s="59"/>
    </row>
    <row r="24" spans="1:24" ht="12.5" hidden="1">
      <c r="A24" s="59">
        <v>205</v>
      </c>
      <c r="B24" s="59" t="s">
        <v>132</v>
      </c>
      <c r="C24" s="60">
        <v>45713</v>
      </c>
      <c r="D24" s="59" t="s">
        <v>115</v>
      </c>
      <c r="E24" s="62">
        <v>128</v>
      </c>
      <c r="F24" s="62">
        <v>119</v>
      </c>
      <c r="G24" s="59">
        <v>9</v>
      </c>
      <c r="H24" s="59"/>
      <c r="I24" s="59"/>
      <c r="J24" s="59" t="s">
        <v>83</v>
      </c>
      <c r="K24" s="59"/>
      <c r="L24" s="61">
        <v>0</v>
      </c>
      <c r="M24" s="61">
        <v>682276</v>
      </c>
      <c r="N24" s="61">
        <v>860638.46</v>
      </c>
      <c r="O24" s="61">
        <v>279054.73389999999</v>
      </c>
      <c r="P24" s="61">
        <v>1139693.1938999901</v>
      </c>
      <c r="Q24" s="59"/>
      <c r="R24" s="59"/>
      <c r="S24" s="59"/>
      <c r="T24" s="59"/>
      <c r="U24" s="59"/>
      <c r="V24" s="59"/>
      <c r="W24" s="59"/>
      <c r="X24" s="59"/>
    </row>
    <row r="25" spans="1:24" ht="12.5" hidden="1">
      <c r="A25" s="59">
        <v>206</v>
      </c>
      <c r="B25" s="59" t="s">
        <v>133</v>
      </c>
      <c r="C25" s="60">
        <v>45713</v>
      </c>
      <c r="D25" s="59" t="s">
        <v>110</v>
      </c>
      <c r="E25" s="62">
        <v>119</v>
      </c>
      <c r="F25" s="62">
        <v>111</v>
      </c>
      <c r="G25" s="59">
        <v>8</v>
      </c>
      <c r="H25" s="59"/>
      <c r="I25" s="59"/>
      <c r="J25" s="59" t="s">
        <v>83</v>
      </c>
      <c r="K25" s="59"/>
      <c r="L25" s="61">
        <v>0</v>
      </c>
      <c r="M25" s="61">
        <v>633222</v>
      </c>
      <c r="N25" s="61">
        <v>798639.95</v>
      </c>
      <c r="O25" s="61">
        <v>258957.59754999899</v>
      </c>
      <c r="P25" s="61">
        <v>1057597.54754999</v>
      </c>
      <c r="Q25" s="59"/>
      <c r="R25" s="59"/>
      <c r="S25" s="59"/>
      <c r="T25" s="59"/>
      <c r="U25" s="59"/>
      <c r="V25" s="59"/>
      <c r="W25" s="59"/>
      <c r="X25" s="59"/>
    </row>
    <row r="26" spans="1:24" ht="12.5">
      <c r="A26" s="59">
        <v>210</v>
      </c>
      <c r="B26" s="59" t="s">
        <v>74</v>
      </c>
      <c r="C26" s="60">
        <v>45759</v>
      </c>
      <c r="D26" s="59" t="s">
        <v>112</v>
      </c>
      <c r="E26" s="59">
        <v>84</v>
      </c>
      <c r="F26" s="59">
        <v>79</v>
      </c>
      <c r="G26" s="59">
        <v>5</v>
      </c>
      <c r="H26" s="59"/>
      <c r="I26" s="59"/>
      <c r="J26" s="59" t="s">
        <v>83</v>
      </c>
      <c r="K26" s="59"/>
      <c r="L26" s="61">
        <v>0</v>
      </c>
      <c r="M26" s="61">
        <v>445820</v>
      </c>
      <c r="N26" s="61">
        <v>561874.75</v>
      </c>
      <c r="O26" s="61">
        <v>182299.41774999999</v>
      </c>
      <c r="P26" s="61">
        <v>744174.16775000002</v>
      </c>
      <c r="Q26" s="59" t="s">
        <v>160</v>
      </c>
      <c r="R26" s="59"/>
      <c r="S26" s="59"/>
      <c r="T26" s="59"/>
      <c r="U26" s="59"/>
      <c r="V26" s="59"/>
      <c r="W26" s="59"/>
      <c r="X26" s="59"/>
    </row>
    <row r="27" spans="1:24" ht="12.5" hidden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1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spans="1:24" ht="15.75" hidden="1" customHeight="1">
      <c r="A28" s="59">
        <v>184</v>
      </c>
      <c r="B28" s="59" t="s">
        <v>126</v>
      </c>
      <c r="C28" s="60">
        <v>45569</v>
      </c>
      <c r="D28" s="59" t="s">
        <v>91</v>
      </c>
      <c r="E28" s="62" t="s">
        <v>189</v>
      </c>
      <c r="F28" s="59"/>
      <c r="G28" s="59">
        <v>0</v>
      </c>
      <c r="H28" s="59">
        <v>8</v>
      </c>
      <c r="I28" s="59"/>
      <c r="J28" s="59" t="s">
        <v>83</v>
      </c>
      <c r="K28" s="59"/>
      <c r="L28" s="61">
        <v>0</v>
      </c>
      <c r="M28" s="61">
        <v>452065</v>
      </c>
      <c r="N28" s="61">
        <v>569356.43000000005</v>
      </c>
      <c r="O28" s="61">
        <v>184306.24075</v>
      </c>
      <c r="P28" s="61"/>
      <c r="Q28" s="59" t="s">
        <v>192</v>
      </c>
      <c r="R28" s="59"/>
      <c r="S28"/>
      <c r="T28"/>
      <c r="U28"/>
      <c r="V28" s="59"/>
      <c r="W28" s="59"/>
      <c r="X28" s="59"/>
    </row>
    <row r="29" spans="1:24" ht="12.5" hidden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spans="1:24" ht="12.5" hidden="1">
      <c r="A30" s="59" t="s">
        <v>161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spans="1:24" ht="13" hidden="1">
      <c r="A31" s="64"/>
      <c r="B31" s="65"/>
      <c r="C31" s="65" t="s">
        <v>162</v>
      </c>
      <c r="D31" s="65" t="s">
        <v>163</v>
      </c>
      <c r="E31" s="65" t="s">
        <v>184</v>
      </c>
      <c r="F31" s="65" t="s">
        <v>164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  <row r="32" spans="1:24" ht="13" hidden="1">
      <c r="A32" s="65">
        <v>500</v>
      </c>
      <c r="B32" s="65" t="s">
        <v>165</v>
      </c>
      <c r="C32" s="66">
        <v>447020</v>
      </c>
      <c r="D32" s="67">
        <v>562846.63397307496</v>
      </c>
      <c r="E32" s="67">
        <v>209556.25457003701</v>
      </c>
      <c r="F32" s="68">
        <v>772402.88854311197</v>
      </c>
      <c r="G32" s="69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</row>
    <row r="33" spans="1:24" ht="13" hidden="1">
      <c r="A33" s="65">
        <v>501</v>
      </c>
      <c r="B33" s="64" t="s">
        <v>170</v>
      </c>
      <c r="C33" s="70">
        <v>668339</v>
      </c>
      <c r="D33" s="71">
        <v>842078.95095961203</v>
      </c>
      <c r="E33" s="71">
        <v>312872.211855056</v>
      </c>
      <c r="F33" s="71">
        <v>1154951.16281466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</row>
    <row r="34" spans="1:24" ht="13">
      <c r="A34" s="65"/>
      <c r="B34" s="64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</row>
    <row r="35" spans="1:24" ht="12.5">
      <c r="A35" s="65"/>
      <c r="B35" s="65" t="s">
        <v>175</v>
      </c>
      <c r="C35" s="70">
        <v>41721.866666666603</v>
      </c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</row>
    <row r="36" spans="1:24" ht="12.5">
      <c r="A36" s="65"/>
      <c r="B36" s="65" t="s">
        <v>177</v>
      </c>
      <c r="C36" s="70">
        <v>62378.3066666667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</row>
    <row r="37" spans="1:24" ht="12.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</row>
    <row r="38" spans="1:24" ht="12.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spans="1:24" ht="12.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spans="1:24" ht="12.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spans="1:24" ht="12.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spans="1:24" ht="12.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spans="1:24" ht="12.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spans="1:24" ht="12.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 ht="12.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spans="1:24" ht="12.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spans="1:24" ht="12.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spans="1:24" ht="12.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spans="1:24" ht="12.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spans="1:24" ht="12.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spans="1:24" ht="12.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spans="1:24" ht="12.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spans="1:24" ht="12.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spans="1:24" ht="12.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spans="1:24" ht="12.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spans="1:24" ht="12.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spans="1:24" ht="12.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spans="1:24" ht="12.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spans="1:24" ht="12.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spans="1:24" ht="12.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spans="1:24" ht="12.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spans="1:24" ht="12.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spans="1:24" ht="12.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spans="1:24" ht="12.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spans="1:24" ht="12.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spans="1:24" ht="12.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spans="1:24" ht="12.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spans="1:24" ht="12.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spans="1:24" ht="12.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spans="1:24" ht="12.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spans="1:24" ht="12.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spans="1:24" ht="12.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spans="1:24" ht="12.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spans="1:24" ht="12.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spans="1:24" ht="12.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spans="1:24" ht="12.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spans="1:24" ht="12.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spans="1:24" ht="12.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spans="1:24" ht="12.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spans="1:24" ht="12.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spans="1:24" ht="12.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spans="1:24" ht="12.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spans="1:24" ht="12.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spans="1:24" ht="12.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spans="1:24" ht="12.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spans="1:24" ht="12.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spans="1:24" ht="12.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spans="1:24" ht="12.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spans="1:24" ht="12.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spans="1:24" ht="12.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spans="1:24" ht="12.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spans="1:24" ht="12.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spans="1:24" ht="12.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spans="1:24" ht="12.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spans="1:24" ht="12.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spans="1:24" ht="12.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spans="1:24" ht="12.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</sheetData>
  <autoFilter ref="A1:Q33">
    <filterColumn colId="3">
      <filters>
        <filter val="Lucero Florida"/>
      </filters>
    </filterColumn>
  </autoFilter>
  <conditionalFormatting sqref="A1:B104857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topLeftCell="L1" workbookViewId="0">
      <selection activeCell="S2" sqref="S2:S30"/>
    </sheetView>
  </sheetViews>
  <sheetFormatPr baseColWidth="10" defaultRowHeight="14"/>
  <cols>
    <col min="2" max="2" width="22.4140625" customWidth="1"/>
    <col min="4" max="4" width="21.4140625" bestFit="1" customWidth="1"/>
    <col min="12" max="12" width="10.6640625" bestFit="1" customWidth="1"/>
    <col min="13" max="13" width="11.4140625" bestFit="1" customWidth="1"/>
    <col min="14" max="15" width="10.6640625" bestFit="1" customWidth="1"/>
    <col min="16" max="16" width="11.4140625" bestFit="1" customWidth="1"/>
    <col min="17" max="17" width="12.6640625" customWidth="1"/>
    <col min="20" max="20" width="17.08203125" bestFit="1" customWidth="1"/>
    <col min="21" max="21" width="18.08203125" bestFit="1" customWidth="1"/>
  </cols>
  <sheetData>
    <row r="1" spans="1:21" ht="91.5" thickBot="1">
      <c r="A1" s="44" t="s">
        <v>40</v>
      </c>
      <c r="B1" s="44" t="s">
        <v>41</v>
      </c>
      <c r="C1" s="44" t="s">
        <v>100</v>
      </c>
      <c r="D1" s="44" t="s">
        <v>101</v>
      </c>
      <c r="E1" s="44" t="s">
        <v>102</v>
      </c>
      <c r="F1" s="44" t="s">
        <v>137</v>
      </c>
      <c r="G1" s="44" t="s">
        <v>138</v>
      </c>
      <c r="H1" s="44" t="s">
        <v>139</v>
      </c>
      <c r="I1" s="44" t="s">
        <v>140</v>
      </c>
      <c r="J1" s="44" t="s">
        <v>105</v>
      </c>
      <c r="K1" s="44" t="s">
        <v>141</v>
      </c>
      <c r="L1" s="44" t="s">
        <v>142</v>
      </c>
      <c r="M1" s="44" t="s">
        <v>43</v>
      </c>
      <c r="N1" s="44" t="s">
        <v>44</v>
      </c>
      <c r="O1" s="44" t="s">
        <v>106</v>
      </c>
      <c r="P1" s="44" t="s">
        <v>107</v>
      </c>
      <c r="Q1" s="44" t="s">
        <v>143</v>
      </c>
      <c r="R1" s="92" t="s">
        <v>209</v>
      </c>
      <c r="S1" s="106" t="s">
        <v>208</v>
      </c>
    </row>
    <row r="2" spans="1:21" ht="14.5" thickBot="1">
      <c r="A2" s="45">
        <v>55</v>
      </c>
      <c r="B2" s="46" t="s">
        <v>118</v>
      </c>
      <c r="C2" s="47">
        <v>44414</v>
      </c>
      <c r="D2" s="46" t="s">
        <v>91</v>
      </c>
      <c r="E2" s="45">
        <v>132</v>
      </c>
      <c r="F2" s="45">
        <v>126</v>
      </c>
      <c r="G2" s="45">
        <v>6</v>
      </c>
      <c r="H2" s="45">
        <v>4</v>
      </c>
      <c r="I2" s="46"/>
      <c r="J2" s="46" t="s">
        <v>83</v>
      </c>
      <c r="K2" s="46"/>
      <c r="L2" s="55">
        <v>17916</v>
      </c>
      <c r="M2" s="55">
        <v>745721</v>
      </c>
      <c r="N2" s="55">
        <v>942309.32</v>
      </c>
      <c r="O2" s="55">
        <v>307038.17</v>
      </c>
      <c r="P2" s="55">
        <v>1249347.49</v>
      </c>
      <c r="Q2" s="46"/>
      <c r="R2" s="93">
        <f>O2/N2</f>
        <v>0.32583586247454288</v>
      </c>
      <c r="S2" s="107">
        <f>P2/E2</f>
        <v>9464.7537121212117</v>
      </c>
    </row>
    <row r="3" spans="1:21" ht="14.5" thickBot="1">
      <c r="A3" s="45">
        <v>103</v>
      </c>
      <c r="B3" s="46" t="s">
        <v>48</v>
      </c>
      <c r="C3" s="47">
        <v>44854</v>
      </c>
      <c r="D3" s="46" t="s">
        <v>110</v>
      </c>
      <c r="E3" s="45">
        <v>132</v>
      </c>
      <c r="F3" s="45">
        <v>123</v>
      </c>
      <c r="G3" s="45">
        <v>5</v>
      </c>
      <c r="H3" s="45">
        <v>4</v>
      </c>
      <c r="I3" s="45" t="s">
        <v>152</v>
      </c>
      <c r="J3" s="46" t="s">
        <v>83</v>
      </c>
      <c r="K3" s="46"/>
      <c r="L3" s="55">
        <v>32828</v>
      </c>
      <c r="M3" s="55">
        <v>747302</v>
      </c>
      <c r="N3" s="55">
        <v>944530.32</v>
      </c>
      <c r="O3" s="55">
        <v>307984.75</v>
      </c>
      <c r="P3" s="55">
        <v>1252515.07</v>
      </c>
      <c r="Q3" s="46"/>
      <c r="R3" s="93">
        <f t="shared" ref="R3:R29" si="0">O3/N3</f>
        <v>0.32607185124560112</v>
      </c>
      <c r="S3" s="107">
        <f t="shared" ref="S3:S30" si="1">P3/E3</f>
        <v>9488.7505303030302</v>
      </c>
      <c r="T3" s="10" t="s">
        <v>28</v>
      </c>
      <c r="U3" t="s">
        <v>109</v>
      </c>
    </row>
    <row r="4" spans="1:21" ht="14.5" thickBot="1">
      <c r="A4" s="45">
        <v>120</v>
      </c>
      <c r="B4" s="46" t="s">
        <v>49</v>
      </c>
      <c r="C4" s="47">
        <v>45020</v>
      </c>
      <c r="D4" s="46" t="s">
        <v>111</v>
      </c>
      <c r="E4" s="45">
        <v>124</v>
      </c>
      <c r="F4" s="45">
        <v>120</v>
      </c>
      <c r="G4" s="45">
        <v>4</v>
      </c>
      <c r="H4" s="45">
        <v>4</v>
      </c>
      <c r="I4" s="46"/>
      <c r="J4" s="46" t="s">
        <v>83</v>
      </c>
      <c r="K4" s="46"/>
      <c r="L4" s="55">
        <v>27138</v>
      </c>
      <c r="M4" s="55">
        <v>696487</v>
      </c>
      <c r="N4" s="55">
        <v>880081.31</v>
      </c>
      <c r="O4" s="55">
        <v>286864.55</v>
      </c>
      <c r="P4" s="55">
        <v>1166945.8600000001</v>
      </c>
      <c r="Q4" s="46"/>
      <c r="R4" s="93">
        <f t="shared" si="0"/>
        <v>0.32595232592770318</v>
      </c>
      <c r="S4" s="107">
        <f t="shared" si="1"/>
        <v>9410.8537096774198</v>
      </c>
      <c r="T4" s="12" t="s">
        <v>91</v>
      </c>
      <c r="U4" s="13">
        <v>4711699.51</v>
      </c>
    </row>
    <row r="5" spans="1:21" ht="14.5" thickBot="1">
      <c r="A5" s="45">
        <v>126</v>
      </c>
      <c r="B5" s="46" t="s">
        <v>50</v>
      </c>
      <c r="C5" s="47">
        <v>45057</v>
      </c>
      <c r="D5" s="46" t="s">
        <v>113</v>
      </c>
      <c r="E5" s="45">
        <v>126</v>
      </c>
      <c r="F5" s="45">
        <v>122</v>
      </c>
      <c r="G5" s="45">
        <v>4</v>
      </c>
      <c r="H5" s="45">
        <v>4</v>
      </c>
      <c r="I5" s="46"/>
      <c r="J5" s="46" t="s">
        <v>83</v>
      </c>
      <c r="K5" s="46"/>
      <c r="L5" s="55">
        <v>27576</v>
      </c>
      <c r="M5" s="55">
        <v>707350</v>
      </c>
      <c r="N5" s="55">
        <v>893818.36</v>
      </c>
      <c r="O5" s="55">
        <v>291325.13</v>
      </c>
      <c r="P5" s="55">
        <v>1185143.49</v>
      </c>
      <c r="Q5" s="46"/>
      <c r="R5" s="93">
        <f t="shared" si="0"/>
        <v>0.32593325784894372</v>
      </c>
      <c r="S5" s="107">
        <f t="shared" si="1"/>
        <v>9405.9007142857135</v>
      </c>
      <c r="T5" s="12" t="s">
        <v>112</v>
      </c>
      <c r="U5" s="13">
        <v>5916115.2399999993</v>
      </c>
    </row>
    <row r="6" spans="1:21" ht="14.5" thickBot="1">
      <c r="A6" s="45">
        <v>131</v>
      </c>
      <c r="B6" s="46" t="s">
        <v>119</v>
      </c>
      <c r="C6" s="47">
        <v>45085</v>
      </c>
      <c r="D6" s="46" t="s">
        <v>114</v>
      </c>
      <c r="E6" s="45">
        <v>130</v>
      </c>
      <c r="F6" s="45">
        <v>130</v>
      </c>
      <c r="G6" s="46"/>
      <c r="H6" s="45">
        <v>8</v>
      </c>
      <c r="I6" s="46"/>
      <c r="J6" s="46" t="s">
        <v>83</v>
      </c>
      <c r="K6" s="46"/>
      <c r="L6" s="55">
        <v>9245</v>
      </c>
      <c r="M6" s="55">
        <v>692511</v>
      </c>
      <c r="N6" s="55">
        <v>874289.91</v>
      </c>
      <c r="O6" s="55">
        <v>284207.92</v>
      </c>
      <c r="P6" s="55">
        <v>1158497.83</v>
      </c>
      <c r="Q6" s="46"/>
      <c r="R6" s="93">
        <f t="shared" si="0"/>
        <v>0.32507285826963273</v>
      </c>
      <c r="S6" s="107">
        <f t="shared" si="1"/>
        <v>8911.5217692307706</v>
      </c>
      <c r="T6" s="12" t="s">
        <v>111</v>
      </c>
      <c r="U6" s="13">
        <v>3409856.4400000004</v>
      </c>
    </row>
    <row r="7" spans="1:21" ht="14.5" thickBot="1">
      <c r="A7" s="45">
        <v>138</v>
      </c>
      <c r="B7" s="46" t="s">
        <v>120</v>
      </c>
      <c r="C7" s="47">
        <v>45139</v>
      </c>
      <c r="D7" s="46" t="s">
        <v>110</v>
      </c>
      <c r="E7" s="45">
        <v>123</v>
      </c>
      <c r="F7" s="45">
        <v>114</v>
      </c>
      <c r="G7" s="45">
        <v>5</v>
      </c>
      <c r="H7" s="45">
        <v>4</v>
      </c>
      <c r="I7" s="45" t="s">
        <v>152</v>
      </c>
      <c r="J7" s="46" t="s">
        <v>83</v>
      </c>
      <c r="K7" s="46"/>
      <c r="L7" s="55">
        <v>30520</v>
      </c>
      <c r="M7" s="55">
        <v>691330</v>
      </c>
      <c r="N7" s="55">
        <v>873735.31</v>
      </c>
      <c r="O7" s="55">
        <v>284982.40000000002</v>
      </c>
      <c r="P7" s="55">
        <v>1158717.71</v>
      </c>
      <c r="Q7" s="46"/>
      <c r="R7" s="93">
        <f t="shared" si="0"/>
        <v>0.32616559813749546</v>
      </c>
      <c r="S7" s="107">
        <f t="shared" si="1"/>
        <v>9420.4691869918697</v>
      </c>
      <c r="T7" s="12" t="s">
        <v>114</v>
      </c>
      <c r="U7" s="13">
        <v>2303093.9000000004</v>
      </c>
    </row>
    <row r="8" spans="1:21" ht="14.5" thickBot="1">
      <c r="A8" s="45">
        <v>139</v>
      </c>
      <c r="B8" s="46" t="s">
        <v>53</v>
      </c>
      <c r="C8" s="47">
        <v>45139</v>
      </c>
      <c r="D8" s="46" t="s">
        <v>112</v>
      </c>
      <c r="E8" s="45">
        <v>127</v>
      </c>
      <c r="F8" s="45">
        <v>123</v>
      </c>
      <c r="G8" s="45">
        <v>4</v>
      </c>
      <c r="H8" s="45">
        <v>4</v>
      </c>
      <c r="I8" s="46"/>
      <c r="J8" s="46" t="s">
        <v>83</v>
      </c>
      <c r="K8" s="46"/>
      <c r="L8" s="55">
        <v>35034</v>
      </c>
      <c r="M8" s="55">
        <v>711975</v>
      </c>
      <c r="N8" s="55">
        <v>899820.28</v>
      </c>
      <c r="O8" s="55">
        <v>293429.88</v>
      </c>
      <c r="P8" s="55">
        <v>1193250.1599999999</v>
      </c>
      <c r="Q8" s="46"/>
      <c r="R8" s="93">
        <f t="shared" si="0"/>
        <v>0.32609831821083207</v>
      </c>
      <c r="S8" s="107">
        <f t="shared" si="1"/>
        <v>9395.6705511811015</v>
      </c>
      <c r="T8" s="12" t="s">
        <v>113</v>
      </c>
      <c r="U8" s="13">
        <v>3457993.29</v>
      </c>
    </row>
    <row r="9" spans="1:21" ht="14.5" thickBot="1">
      <c r="A9" s="45">
        <v>143</v>
      </c>
      <c r="B9" s="46" t="s">
        <v>54</v>
      </c>
      <c r="C9" s="47">
        <v>45184</v>
      </c>
      <c r="D9" s="46" t="s">
        <v>91</v>
      </c>
      <c r="E9" s="45">
        <v>124</v>
      </c>
      <c r="F9" s="45">
        <v>118</v>
      </c>
      <c r="G9" s="45">
        <v>6</v>
      </c>
      <c r="H9" s="45">
        <v>4</v>
      </c>
      <c r="I9" s="46"/>
      <c r="J9" s="46" t="s">
        <v>83</v>
      </c>
      <c r="K9" s="46"/>
      <c r="L9" s="55">
        <v>16830</v>
      </c>
      <c r="M9" s="55">
        <v>688866</v>
      </c>
      <c r="N9" s="55">
        <v>870417.52</v>
      </c>
      <c r="O9" s="55">
        <v>283699.82</v>
      </c>
      <c r="P9" s="55">
        <v>1154117.3400000001</v>
      </c>
      <c r="Q9" s="46"/>
      <c r="R9" s="93">
        <f t="shared" si="0"/>
        <v>0.32593532813999426</v>
      </c>
      <c r="S9" s="107">
        <f t="shared" si="1"/>
        <v>9307.3979032258067</v>
      </c>
      <c r="T9" s="12" t="s">
        <v>110</v>
      </c>
      <c r="U9" s="13">
        <v>4663105.59</v>
      </c>
    </row>
    <row r="10" spans="1:21" ht="14.5" thickBot="1">
      <c r="A10" s="45">
        <v>151</v>
      </c>
      <c r="B10" s="46" t="s">
        <v>121</v>
      </c>
      <c r="C10" s="47">
        <v>45201</v>
      </c>
      <c r="D10" s="46" t="s">
        <v>91</v>
      </c>
      <c r="E10" s="45">
        <v>124</v>
      </c>
      <c r="F10" s="45">
        <v>118</v>
      </c>
      <c r="G10" s="45">
        <v>6</v>
      </c>
      <c r="H10" s="45">
        <v>4</v>
      </c>
      <c r="I10" s="46"/>
      <c r="J10" s="46" t="s">
        <v>83</v>
      </c>
      <c r="K10" s="46"/>
      <c r="L10" s="55">
        <v>16830</v>
      </c>
      <c r="M10" s="55">
        <v>688866</v>
      </c>
      <c r="N10" s="55">
        <v>870417.52</v>
      </c>
      <c r="O10" s="55">
        <v>283699.82</v>
      </c>
      <c r="P10" s="55">
        <v>1154117.3400000001</v>
      </c>
      <c r="Q10" s="46"/>
      <c r="R10" s="93">
        <f t="shared" si="0"/>
        <v>0.32593532813999426</v>
      </c>
      <c r="S10" s="107">
        <f t="shared" si="1"/>
        <v>9307.3979032258067</v>
      </c>
      <c r="T10" s="12" t="s">
        <v>115</v>
      </c>
      <c r="U10" s="13">
        <v>2921356.6</v>
      </c>
    </row>
    <row r="11" spans="1:21" ht="14.5" thickBot="1">
      <c r="A11" s="45">
        <v>161</v>
      </c>
      <c r="B11" s="46" t="s">
        <v>122</v>
      </c>
      <c r="C11" s="47">
        <v>45272</v>
      </c>
      <c r="D11" s="46" t="s">
        <v>91</v>
      </c>
      <c r="E11" s="45">
        <v>124</v>
      </c>
      <c r="F11" s="45">
        <v>118</v>
      </c>
      <c r="G11" s="45">
        <v>6</v>
      </c>
      <c r="H11" s="45">
        <v>4</v>
      </c>
      <c r="I11" s="46"/>
      <c r="J11" s="46" t="s">
        <v>83</v>
      </c>
      <c r="K11" s="46"/>
      <c r="L11" s="55">
        <v>16830</v>
      </c>
      <c r="M11" s="55">
        <v>688866</v>
      </c>
      <c r="N11" s="55">
        <v>870417.52</v>
      </c>
      <c r="O11" s="55">
        <v>283699.82</v>
      </c>
      <c r="P11" s="55">
        <v>1154117.3400000001</v>
      </c>
      <c r="Q11" s="46"/>
      <c r="R11" s="93">
        <f t="shared" si="0"/>
        <v>0.32593532813999426</v>
      </c>
      <c r="S11" s="107">
        <f t="shared" si="1"/>
        <v>9307.3979032258067</v>
      </c>
      <c r="T11" s="12" t="s">
        <v>26</v>
      </c>
      <c r="U11" s="13">
        <v>27383220.570000004</v>
      </c>
    </row>
    <row r="12" spans="1:21" ht="14.5" thickBot="1">
      <c r="A12" s="45">
        <v>165</v>
      </c>
      <c r="B12" s="46" t="s">
        <v>123</v>
      </c>
      <c r="C12" s="47">
        <v>45311</v>
      </c>
      <c r="D12" s="46" t="s">
        <v>114</v>
      </c>
      <c r="E12" s="45">
        <v>128</v>
      </c>
      <c r="F12" s="45">
        <v>120</v>
      </c>
      <c r="G12" s="46"/>
      <c r="H12" s="45">
        <v>8</v>
      </c>
      <c r="I12" s="45" t="s">
        <v>153</v>
      </c>
      <c r="J12" s="46" t="s">
        <v>83</v>
      </c>
      <c r="K12" s="46"/>
      <c r="L12" s="55">
        <v>11605</v>
      </c>
      <c r="M12" s="55">
        <v>684127</v>
      </c>
      <c r="N12" s="55">
        <v>863748.83</v>
      </c>
      <c r="O12" s="55">
        <v>280847.24</v>
      </c>
      <c r="P12" s="55">
        <v>1144596.07</v>
      </c>
      <c r="Q12" s="46"/>
      <c r="R12" s="93">
        <f t="shared" si="0"/>
        <v>0.32514919875492049</v>
      </c>
      <c r="S12" s="107">
        <f t="shared" si="1"/>
        <v>8942.1567968750005</v>
      </c>
    </row>
    <row r="13" spans="1:21" ht="14.5" thickBot="1">
      <c r="A13" s="45">
        <v>170</v>
      </c>
      <c r="B13" s="46" t="s">
        <v>58</v>
      </c>
      <c r="C13" s="47">
        <v>45345</v>
      </c>
      <c r="D13" s="46" t="s">
        <v>112</v>
      </c>
      <c r="E13" s="45">
        <v>125</v>
      </c>
      <c r="F13" s="45">
        <v>108</v>
      </c>
      <c r="G13" s="45">
        <v>5</v>
      </c>
      <c r="H13" s="45">
        <v>4</v>
      </c>
      <c r="I13" s="45" t="s">
        <v>156</v>
      </c>
      <c r="J13" s="46" t="s">
        <v>83</v>
      </c>
      <c r="K13" s="46"/>
      <c r="L13" s="55">
        <v>31172</v>
      </c>
      <c r="M13" s="55">
        <v>702267</v>
      </c>
      <c r="N13" s="55">
        <v>887570.87</v>
      </c>
      <c r="O13" s="55">
        <v>289479.86</v>
      </c>
      <c r="P13" s="55">
        <v>1177050.73</v>
      </c>
      <c r="Q13" s="46"/>
      <c r="R13" s="93">
        <f t="shared" si="0"/>
        <v>0.32614844603901882</v>
      </c>
      <c r="S13" s="107">
        <f t="shared" si="1"/>
        <v>9416.4058399999994</v>
      </c>
      <c r="U13" s="13">
        <f>SUM(U5:U10)</f>
        <v>22671521.060000002</v>
      </c>
    </row>
    <row r="14" spans="1:21" ht="14.5" thickBot="1">
      <c r="A14" s="45">
        <v>171</v>
      </c>
      <c r="B14" s="46" t="s">
        <v>124</v>
      </c>
      <c r="C14" s="47">
        <v>45404</v>
      </c>
      <c r="D14" s="46" t="s">
        <v>113</v>
      </c>
      <c r="E14" s="45">
        <v>120</v>
      </c>
      <c r="F14" s="45">
        <v>112</v>
      </c>
      <c r="G14" s="45">
        <v>4</v>
      </c>
      <c r="H14" s="45">
        <v>4</v>
      </c>
      <c r="I14" s="45" t="s">
        <v>152</v>
      </c>
      <c r="J14" s="46" t="s">
        <v>83</v>
      </c>
      <c r="K14" s="46"/>
      <c r="L14" s="55">
        <v>25388</v>
      </c>
      <c r="M14" s="55">
        <v>667448</v>
      </c>
      <c r="N14" s="55">
        <v>843335.45</v>
      </c>
      <c r="O14" s="55">
        <v>274908.49</v>
      </c>
      <c r="P14" s="55">
        <v>1118243.94</v>
      </c>
      <c r="Q14" s="46"/>
      <c r="R14" s="93">
        <f t="shared" si="0"/>
        <v>0.32597762847512224</v>
      </c>
      <c r="S14" s="107">
        <f t="shared" si="1"/>
        <v>9318.6994999999988</v>
      </c>
    </row>
    <row r="15" spans="1:21" ht="14.5" thickBot="1">
      <c r="A15" s="45">
        <v>173</v>
      </c>
      <c r="B15" s="46" t="s">
        <v>60</v>
      </c>
      <c r="C15" s="47">
        <v>45447</v>
      </c>
      <c r="D15" s="46" t="s">
        <v>112</v>
      </c>
      <c r="E15" s="45">
        <v>132</v>
      </c>
      <c r="F15" s="45">
        <v>126</v>
      </c>
      <c r="G15" s="45">
        <v>6</v>
      </c>
      <c r="H15" s="45">
        <v>4</v>
      </c>
      <c r="I15" s="46"/>
      <c r="J15" s="46" t="s">
        <v>83</v>
      </c>
      <c r="K15" s="46"/>
      <c r="L15" s="55">
        <v>36413</v>
      </c>
      <c r="M15" s="55">
        <v>739658</v>
      </c>
      <c r="N15" s="55">
        <v>935028.96</v>
      </c>
      <c r="O15" s="55">
        <v>305067.38</v>
      </c>
      <c r="P15" s="55">
        <v>1240096.3400000001</v>
      </c>
      <c r="Q15" s="46"/>
      <c r="R15" s="93">
        <f t="shared" si="0"/>
        <v>0.32626516723075616</v>
      </c>
      <c r="S15" s="107">
        <f t="shared" si="1"/>
        <v>9394.6692424242428</v>
      </c>
    </row>
    <row r="16" spans="1:21" ht="14.5" thickBot="1">
      <c r="A16" s="45">
        <v>174</v>
      </c>
      <c r="B16" s="46" t="s">
        <v>125</v>
      </c>
      <c r="C16" s="47">
        <v>45477</v>
      </c>
      <c r="D16" s="46" t="s">
        <v>111</v>
      </c>
      <c r="E16" s="45">
        <v>120</v>
      </c>
      <c r="F16" s="45">
        <v>110</v>
      </c>
      <c r="G16" s="45">
        <v>6</v>
      </c>
      <c r="H16" s="45">
        <v>4</v>
      </c>
      <c r="I16" s="45" t="s">
        <v>152</v>
      </c>
      <c r="J16" s="46" t="s">
        <v>83</v>
      </c>
      <c r="K16" s="46"/>
      <c r="L16" s="55">
        <v>25388</v>
      </c>
      <c r="M16" s="55">
        <v>668709</v>
      </c>
      <c r="N16" s="55">
        <v>845127.07</v>
      </c>
      <c r="O16" s="55">
        <v>275690.53999999998</v>
      </c>
      <c r="P16" s="55">
        <v>1120817.6100000001</v>
      </c>
      <c r="Q16" s="46"/>
      <c r="R16" s="93">
        <f t="shared" si="0"/>
        <v>0.32621193875614468</v>
      </c>
      <c r="S16" s="107">
        <f t="shared" si="1"/>
        <v>9340.1467500000017</v>
      </c>
    </row>
    <row r="17" spans="1:19" ht="14.5" thickBot="1">
      <c r="A17" s="45">
        <v>186</v>
      </c>
      <c r="B17" s="46" t="s">
        <v>127</v>
      </c>
      <c r="C17" s="47">
        <v>45587</v>
      </c>
      <c r="D17" s="46" t="s">
        <v>112</v>
      </c>
      <c r="E17" s="45">
        <v>125</v>
      </c>
      <c r="F17" s="45">
        <v>120</v>
      </c>
      <c r="G17" s="45">
        <v>5</v>
      </c>
      <c r="H17" s="45">
        <v>4</v>
      </c>
      <c r="I17" s="46"/>
      <c r="J17" s="46" t="s">
        <v>83</v>
      </c>
      <c r="K17" s="46"/>
      <c r="L17" s="55">
        <v>34482</v>
      </c>
      <c r="M17" s="55">
        <v>698137</v>
      </c>
      <c r="N17" s="55">
        <v>882412.97</v>
      </c>
      <c r="O17" s="55">
        <v>287870.99</v>
      </c>
      <c r="P17" s="55">
        <v>1170283.96</v>
      </c>
      <c r="Q17" s="46"/>
      <c r="R17" s="93">
        <f t="shared" si="0"/>
        <v>0.32623159426135817</v>
      </c>
      <c r="S17" s="107">
        <f t="shared" si="1"/>
        <v>9362.2716799999998</v>
      </c>
    </row>
    <row r="18" spans="1:19" ht="14.5" thickBot="1">
      <c r="A18" s="45">
        <v>189</v>
      </c>
      <c r="B18" s="46" t="s">
        <v>128</v>
      </c>
      <c r="C18" s="47">
        <v>45597</v>
      </c>
      <c r="D18" s="46" t="s">
        <v>113</v>
      </c>
      <c r="E18" s="45">
        <v>125</v>
      </c>
      <c r="F18" s="45">
        <v>121</v>
      </c>
      <c r="G18" s="45">
        <v>4</v>
      </c>
      <c r="H18" s="45">
        <v>4</v>
      </c>
      <c r="I18" s="46"/>
      <c r="J18" s="46" t="s">
        <v>83</v>
      </c>
      <c r="K18" s="46"/>
      <c r="L18" s="55">
        <v>28383</v>
      </c>
      <c r="M18" s="55">
        <v>689103</v>
      </c>
      <c r="N18" s="55">
        <v>870756.32</v>
      </c>
      <c r="O18" s="55">
        <v>283849.53999999998</v>
      </c>
      <c r="P18" s="55">
        <v>1154605.8600000001</v>
      </c>
      <c r="Q18" s="46"/>
      <c r="R18" s="93">
        <f t="shared" si="0"/>
        <v>0.32598045340629855</v>
      </c>
      <c r="S18" s="107">
        <f t="shared" si="1"/>
        <v>9236.846880000001</v>
      </c>
    </row>
    <row r="19" spans="1:19" ht="14.5" thickBot="1">
      <c r="A19" s="45">
        <v>190</v>
      </c>
      <c r="B19" s="46" t="s">
        <v>68</v>
      </c>
      <c r="C19" s="47">
        <v>45597</v>
      </c>
      <c r="D19" s="46" t="s">
        <v>115</v>
      </c>
      <c r="E19" s="45">
        <v>132</v>
      </c>
      <c r="F19" s="45">
        <v>127</v>
      </c>
      <c r="G19" s="45">
        <v>5</v>
      </c>
      <c r="H19" s="45">
        <v>4</v>
      </c>
      <c r="I19" s="46"/>
      <c r="J19" s="46" t="s">
        <v>83</v>
      </c>
      <c r="K19" s="46"/>
      <c r="L19" s="55">
        <v>13198</v>
      </c>
      <c r="M19" s="55">
        <v>716255</v>
      </c>
      <c r="N19" s="55">
        <v>904831.42</v>
      </c>
      <c r="O19" s="55">
        <v>294649.15999999997</v>
      </c>
      <c r="P19" s="55">
        <v>1199480.58</v>
      </c>
      <c r="Q19" s="46"/>
      <c r="R19" s="93">
        <f t="shared" si="0"/>
        <v>0.32563984128667856</v>
      </c>
      <c r="S19" s="107">
        <f t="shared" si="1"/>
        <v>9086.9740909090906</v>
      </c>
    </row>
    <row r="20" spans="1:19" ht="14.5" thickBot="1">
      <c r="A20" s="45">
        <v>192</v>
      </c>
      <c r="B20" s="46" t="s">
        <v>129</v>
      </c>
      <c r="C20" s="47">
        <v>45597</v>
      </c>
      <c r="D20" s="46" t="s">
        <v>110</v>
      </c>
      <c r="E20" s="45">
        <v>122</v>
      </c>
      <c r="F20" s="45">
        <v>101</v>
      </c>
      <c r="G20" s="45">
        <v>5</v>
      </c>
      <c r="H20" s="45">
        <v>4</v>
      </c>
      <c r="I20" s="45" t="s">
        <v>157</v>
      </c>
      <c r="J20" s="46" t="s">
        <v>83</v>
      </c>
      <c r="K20" s="46"/>
      <c r="L20" s="55">
        <v>27186</v>
      </c>
      <c r="M20" s="55">
        <v>676588</v>
      </c>
      <c r="N20" s="55">
        <v>855019.22</v>
      </c>
      <c r="O20" s="55">
        <v>278830.03999999998</v>
      </c>
      <c r="P20" s="55">
        <v>1133849.26</v>
      </c>
      <c r="Q20" s="46"/>
      <c r="R20" s="93">
        <f t="shared" si="0"/>
        <v>0.32610967505502392</v>
      </c>
      <c r="S20" s="107">
        <f t="shared" si="1"/>
        <v>9293.8463934426236</v>
      </c>
    </row>
    <row r="21" spans="1:19" ht="14.5" thickBot="1">
      <c r="A21" s="45">
        <v>194</v>
      </c>
      <c r="B21" s="46" t="s">
        <v>130</v>
      </c>
      <c r="C21" s="47">
        <v>45639</v>
      </c>
      <c r="D21" s="46" t="s">
        <v>111</v>
      </c>
      <c r="E21" s="45">
        <v>120</v>
      </c>
      <c r="F21" s="45">
        <v>114</v>
      </c>
      <c r="G21" s="45">
        <v>6</v>
      </c>
      <c r="H21" s="45">
        <v>4</v>
      </c>
      <c r="I21" s="46"/>
      <c r="J21" s="46" t="s">
        <v>83</v>
      </c>
      <c r="K21" s="46"/>
      <c r="L21" s="55">
        <v>26263</v>
      </c>
      <c r="M21" s="55">
        <v>669444</v>
      </c>
      <c r="N21" s="55">
        <v>846075.35</v>
      </c>
      <c r="O21" s="55">
        <v>276017.62</v>
      </c>
      <c r="P21" s="55">
        <v>1122092.97</v>
      </c>
      <c r="Q21" s="46"/>
      <c r="R21" s="93">
        <f t="shared" si="0"/>
        <v>0.32623290585170694</v>
      </c>
      <c r="S21" s="107">
        <f t="shared" si="1"/>
        <v>9350.7747500000005</v>
      </c>
    </row>
    <row r="22" spans="1:19" ht="14.5" thickBot="1">
      <c r="A22" s="45">
        <v>205</v>
      </c>
      <c r="B22" s="46" t="s">
        <v>132</v>
      </c>
      <c r="C22" s="47">
        <v>45713</v>
      </c>
      <c r="D22" s="46" t="s">
        <v>115</v>
      </c>
      <c r="E22" s="45">
        <v>58</v>
      </c>
      <c r="F22" s="45">
        <v>58</v>
      </c>
      <c r="G22" s="46"/>
      <c r="H22" s="45">
        <v>4</v>
      </c>
      <c r="I22" s="46"/>
      <c r="J22" s="46" t="s">
        <v>83</v>
      </c>
      <c r="K22" s="46"/>
      <c r="L22" s="55">
        <v>0</v>
      </c>
      <c r="M22" s="55">
        <v>560658</v>
      </c>
      <c r="N22" s="55">
        <v>681305.96</v>
      </c>
      <c r="O22" s="55">
        <v>207086.12</v>
      </c>
      <c r="P22" s="55">
        <v>888392.08</v>
      </c>
      <c r="Q22" s="46" t="s">
        <v>158</v>
      </c>
      <c r="R22" s="93">
        <f t="shared" si="0"/>
        <v>0.30395465790435772</v>
      </c>
      <c r="S22" s="107">
        <f t="shared" si="1"/>
        <v>15317.104827586207</v>
      </c>
    </row>
    <row r="23" spans="1:19" ht="14.5" thickBot="1">
      <c r="A23" s="45">
        <v>206</v>
      </c>
      <c r="B23" s="46" t="s">
        <v>133</v>
      </c>
      <c r="C23" s="47">
        <v>45713</v>
      </c>
      <c r="D23" s="46" t="s">
        <v>110</v>
      </c>
      <c r="E23" s="45">
        <v>124</v>
      </c>
      <c r="F23" s="45">
        <v>119</v>
      </c>
      <c r="G23" s="45">
        <v>5</v>
      </c>
      <c r="H23" s="45">
        <v>4</v>
      </c>
      <c r="I23" s="46"/>
      <c r="J23" s="46" t="s">
        <v>83</v>
      </c>
      <c r="K23" s="46"/>
      <c r="L23" s="55">
        <v>4518</v>
      </c>
      <c r="M23" s="55">
        <v>667839</v>
      </c>
      <c r="N23" s="55">
        <v>843456.02</v>
      </c>
      <c r="O23" s="55">
        <v>274567.53000000003</v>
      </c>
      <c r="P23" s="55">
        <v>1118023.55</v>
      </c>
      <c r="Q23" s="46"/>
      <c r="R23" s="93">
        <f t="shared" si="0"/>
        <v>0.32552678917390382</v>
      </c>
      <c r="S23" s="107">
        <f t="shared" si="1"/>
        <v>9016.3189516129041</v>
      </c>
    </row>
    <row r="24" spans="1:19" ht="14.5" thickBot="1">
      <c r="A24" s="45">
        <v>210</v>
      </c>
      <c r="B24" s="46" t="s">
        <v>74</v>
      </c>
      <c r="C24" s="47">
        <v>45759</v>
      </c>
      <c r="D24" s="46" t="s">
        <v>112</v>
      </c>
      <c r="E24" s="45">
        <v>126</v>
      </c>
      <c r="F24" s="45">
        <v>120</v>
      </c>
      <c r="G24" s="45">
        <v>6</v>
      </c>
      <c r="H24" s="45">
        <v>4</v>
      </c>
      <c r="I24" s="46"/>
      <c r="J24" s="46" t="s">
        <v>83</v>
      </c>
      <c r="K24" s="46"/>
      <c r="L24" s="55">
        <v>0</v>
      </c>
      <c r="M24" s="55">
        <v>678241</v>
      </c>
      <c r="N24" s="55">
        <v>856603.76</v>
      </c>
      <c r="O24" s="55">
        <v>278830.28999999998</v>
      </c>
      <c r="P24" s="55">
        <v>1135434.05</v>
      </c>
      <c r="Q24" s="46"/>
      <c r="R24" s="93">
        <f t="shared" si="0"/>
        <v>0.32550673137367503</v>
      </c>
      <c r="S24" s="107">
        <f t="shared" si="1"/>
        <v>9011.3813492063491</v>
      </c>
    </row>
    <row r="25" spans="1:19" ht="14.5" thickBot="1">
      <c r="A25" s="45">
        <v>213</v>
      </c>
      <c r="B25" s="46" t="s">
        <v>159</v>
      </c>
      <c r="C25" s="47">
        <v>45789</v>
      </c>
      <c r="D25" s="46" t="s">
        <v>115</v>
      </c>
      <c r="E25" s="45">
        <v>93</v>
      </c>
      <c r="F25" s="45">
        <v>89</v>
      </c>
      <c r="G25" s="45">
        <v>4</v>
      </c>
      <c r="H25" s="45">
        <v>4</v>
      </c>
      <c r="I25" s="46"/>
      <c r="J25" s="46" t="s">
        <v>83</v>
      </c>
      <c r="K25" s="46"/>
      <c r="L25" s="55">
        <v>0</v>
      </c>
      <c r="M25" s="55">
        <v>498151</v>
      </c>
      <c r="N25" s="55">
        <v>628753.80000000005</v>
      </c>
      <c r="O25" s="55">
        <v>204730.14</v>
      </c>
      <c r="P25" s="55">
        <v>833483.94</v>
      </c>
      <c r="Q25" s="46" t="s">
        <v>160</v>
      </c>
      <c r="R25" s="93">
        <f t="shared" si="0"/>
        <v>0.32561256886240686</v>
      </c>
      <c r="S25" s="107">
        <f t="shared" si="1"/>
        <v>8962.1929032258067</v>
      </c>
    </row>
    <row r="26" spans="1:19" ht="14.5" thickBot="1">
      <c r="A26" s="45">
        <v>10</v>
      </c>
      <c r="B26" s="46" t="s">
        <v>144</v>
      </c>
      <c r="C26" s="47">
        <v>40030</v>
      </c>
      <c r="D26" s="46" t="s">
        <v>145</v>
      </c>
      <c r="E26" s="46" t="s">
        <v>146</v>
      </c>
      <c r="F26" s="46"/>
      <c r="G26" s="46" t="s">
        <v>147</v>
      </c>
      <c r="H26" s="46" t="s">
        <v>148</v>
      </c>
      <c r="I26" s="46"/>
      <c r="J26" s="46" t="s">
        <v>83</v>
      </c>
      <c r="K26" s="46"/>
      <c r="L26" s="55">
        <v>0</v>
      </c>
      <c r="M26" s="55">
        <v>1139258</v>
      </c>
      <c r="N26" s="55">
        <v>1386382.32</v>
      </c>
      <c r="O26" s="55">
        <v>0</v>
      </c>
      <c r="P26" s="55">
        <v>1386382.32</v>
      </c>
      <c r="Q26" s="46"/>
      <c r="R26" s="93">
        <f t="shared" si="0"/>
        <v>0</v>
      </c>
      <c r="S26" s="107" t="e">
        <f t="shared" si="1"/>
        <v>#VALUE!</v>
      </c>
    </row>
    <row r="27" spans="1:19" ht="14.5" thickBot="1">
      <c r="A27" s="45">
        <v>47</v>
      </c>
      <c r="B27" s="46" t="s">
        <v>149</v>
      </c>
      <c r="C27" s="47">
        <v>44295</v>
      </c>
      <c r="D27" s="46" t="s">
        <v>150</v>
      </c>
      <c r="E27" s="46" t="s">
        <v>151</v>
      </c>
      <c r="F27" s="46"/>
      <c r="G27" s="46"/>
      <c r="H27" s="46" t="s">
        <v>148</v>
      </c>
      <c r="I27" s="46"/>
      <c r="J27" s="46" t="s">
        <v>83</v>
      </c>
      <c r="K27" s="46"/>
      <c r="L27" s="55">
        <v>0</v>
      </c>
      <c r="M27" s="55">
        <v>959232</v>
      </c>
      <c r="N27" s="55">
        <v>1167956.82</v>
      </c>
      <c r="O27" s="55">
        <v>0</v>
      </c>
      <c r="P27" s="55">
        <v>1167956.82</v>
      </c>
      <c r="Q27" s="46"/>
      <c r="R27" s="93">
        <f t="shared" si="0"/>
        <v>0</v>
      </c>
      <c r="S27" s="107" t="e">
        <f t="shared" si="1"/>
        <v>#VALUE!</v>
      </c>
    </row>
    <row r="28" spans="1:19" ht="14.5" thickBot="1">
      <c r="A28" s="45">
        <v>169</v>
      </c>
      <c r="B28" s="46" t="s">
        <v>154</v>
      </c>
      <c r="C28" s="47">
        <v>45341</v>
      </c>
      <c r="D28" s="46" t="s">
        <v>145</v>
      </c>
      <c r="E28" s="46" t="s">
        <v>155</v>
      </c>
      <c r="F28" s="46"/>
      <c r="G28" s="46" t="s">
        <v>147</v>
      </c>
      <c r="H28" s="46" t="s">
        <v>148</v>
      </c>
      <c r="I28" s="46" t="s">
        <v>148</v>
      </c>
      <c r="J28" s="46" t="s">
        <v>83</v>
      </c>
      <c r="K28" s="46"/>
      <c r="L28" s="55">
        <v>0</v>
      </c>
      <c r="M28" s="55">
        <v>1001637</v>
      </c>
      <c r="N28" s="55">
        <v>1218676.6000000001</v>
      </c>
      <c r="O28" s="55">
        <v>322759.14</v>
      </c>
      <c r="P28" s="55">
        <v>1541435.74</v>
      </c>
      <c r="Q28" s="46"/>
      <c r="R28" s="93">
        <f t="shared" si="0"/>
        <v>0.26484396270511801</v>
      </c>
      <c r="S28" s="107" t="e">
        <f t="shared" si="1"/>
        <v>#VALUE!</v>
      </c>
    </row>
    <row r="29" spans="1:19" ht="14.5" thickBo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56"/>
      <c r="M29" s="55"/>
      <c r="N29" s="56"/>
      <c r="O29" s="56"/>
      <c r="P29" s="56"/>
      <c r="Q29" s="46"/>
      <c r="R29" s="93" t="e">
        <f t="shared" si="0"/>
        <v>#DIV/0!</v>
      </c>
      <c r="S29" s="107" t="e">
        <f t="shared" si="1"/>
        <v>#DIV/0!</v>
      </c>
    </row>
    <row r="30" spans="1:19" ht="14.5" thickBot="1">
      <c r="A30" s="45">
        <v>184</v>
      </c>
      <c r="B30" s="46" t="s">
        <v>126</v>
      </c>
      <c r="C30" s="47">
        <v>45569</v>
      </c>
      <c r="D30" s="46" t="s">
        <v>91</v>
      </c>
      <c r="E30" s="45">
        <v>88</v>
      </c>
      <c r="F30" s="46"/>
      <c r="G30" s="46"/>
      <c r="H30" s="45">
        <v>8</v>
      </c>
      <c r="I30" s="46"/>
      <c r="J30" s="46" t="s">
        <v>83</v>
      </c>
      <c r="K30" s="46"/>
      <c r="L30" s="55">
        <v>0</v>
      </c>
      <c r="M30" s="55">
        <v>462011</v>
      </c>
      <c r="N30" s="55">
        <v>582807.02</v>
      </c>
      <c r="O30" s="55">
        <v>189561.52</v>
      </c>
      <c r="P30" s="55">
        <v>772368.54</v>
      </c>
      <c r="Q30" s="46"/>
      <c r="S30" s="107">
        <f t="shared" si="1"/>
        <v>8776.9152272727279</v>
      </c>
    </row>
    <row r="31" spans="1:19" ht="14.5" thickBo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</row>
    <row r="32" spans="1:19" ht="14.5" thickBot="1">
      <c r="A32" s="48" t="s">
        <v>161</v>
      </c>
      <c r="B32" s="49"/>
      <c r="C32" s="49"/>
      <c r="D32" s="49"/>
      <c r="E32" s="49"/>
      <c r="F32" s="49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</row>
    <row r="33" spans="1:17" ht="26.5" thickBot="1">
      <c r="A33" s="50"/>
      <c r="B33" s="51"/>
      <c r="C33" s="52" t="s">
        <v>162</v>
      </c>
      <c r="D33" s="52" t="s">
        <v>163</v>
      </c>
      <c r="E33" s="52" t="s">
        <v>106</v>
      </c>
      <c r="F33" s="52" t="s">
        <v>164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spans="1:17" ht="14.5" thickBot="1">
      <c r="A34" s="53">
        <v>500</v>
      </c>
      <c r="B34" s="51" t="s">
        <v>165</v>
      </c>
      <c r="C34" s="54" t="s">
        <v>166</v>
      </c>
      <c r="D34" s="54" t="s">
        <v>167</v>
      </c>
      <c r="E34" s="54" t="s">
        <v>168</v>
      </c>
      <c r="F34" s="54" t="s">
        <v>169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</row>
    <row r="35" spans="1:17" ht="14.5" thickBot="1">
      <c r="A35" s="53">
        <v>501</v>
      </c>
      <c r="B35" s="51" t="s">
        <v>170</v>
      </c>
      <c r="C35" s="54" t="s">
        <v>171</v>
      </c>
      <c r="D35" s="54" t="s">
        <v>172</v>
      </c>
      <c r="E35" s="54" t="s">
        <v>173</v>
      </c>
      <c r="F35" s="54" t="s">
        <v>174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</row>
    <row r="36" spans="1:17" ht="14.5" thickBot="1">
      <c r="A36" s="50"/>
      <c r="B36" s="51"/>
      <c r="C36" s="51"/>
      <c r="D36" s="51"/>
      <c r="E36" s="51"/>
      <c r="F36" s="51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</row>
    <row r="37" spans="1:17" ht="14.5" thickBot="1">
      <c r="A37" s="50"/>
      <c r="B37" s="52" t="s">
        <v>175</v>
      </c>
      <c r="C37" s="54" t="s">
        <v>176</v>
      </c>
      <c r="D37" s="51"/>
      <c r="E37" s="51"/>
      <c r="F37" s="51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</row>
    <row r="38" spans="1:17" ht="14.5" thickBot="1">
      <c r="A38" s="50"/>
      <c r="B38" s="52" t="s">
        <v>177</v>
      </c>
      <c r="C38" s="54" t="s">
        <v>178</v>
      </c>
      <c r="D38" s="51"/>
      <c r="E38" s="51"/>
      <c r="F38" s="51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</row>
  </sheetData>
  <autoFilter ref="A1:Q29"/>
  <conditionalFormatting sqref="A2:A28 A30">
    <cfRule type="duplicateValues" dxfId="3" priority="1"/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0"/>
  <sheetViews>
    <sheetView topLeftCell="X1" workbookViewId="0">
      <selection activeCell="AE8" sqref="AE8:AE10"/>
    </sheetView>
  </sheetViews>
  <sheetFormatPr baseColWidth="10" defaultColWidth="11.58203125" defaultRowHeight="12.5"/>
  <cols>
    <col min="1" max="1" width="11.58203125" style="58"/>
    <col min="2" max="2" width="23.1640625" style="58" customWidth="1"/>
    <col min="3" max="3" width="11.58203125" style="58"/>
    <col min="4" max="4" width="21.25" style="58" customWidth="1"/>
    <col min="5" max="11" width="11.58203125" style="58"/>
    <col min="12" max="12" width="11.6640625" style="104" bestFit="1" customWidth="1"/>
    <col min="13" max="13" width="12.83203125" style="104" customWidth="1"/>
    <col min="14" max="14" width="13.33203125" style="104" customWidth="1"/>
    <col min="15" max="15" width="11.6640625" style="104" bestFit="1" customWidth="1"/>
    <col min="16" max="16" width="12.9140625" style="104" bestFit="1" customWidth="1"/>
    <col min="17" max="18" width="12.9140625" style="104" customWidth="1"/>
    <col min="19" max="19" width="20.33203125" style="58" customWidth="1"/>
    <col min="20" max="22" width="11.58203125" style="58"/>
    <col min="23" max="23" width="23.83203125" style="58" customWidth="1"/>
    <col min="24" max="29" width="11.58203125" style="58"/>
    <col min="30" max="30" width="17.08203125" style="58" bestFit="1" customWidth="1"/>
    <col min="31" max="31" width="18.08203125" style="58" bestFit="1" customWidth="1"/>
    <col min="32" max="16384" width="11.58203125" style="58"/>
  </cols>
  <sheetData>
    <row r="1" spans="1:32" ht="65.5" thickBot="1">
      <c r="A1" s="44" t="s">
        <v>40</v>
      </c>
      <c r="B1" s="44" t="s">
        <v>41</v>
      </c>
      <c r="C1" s="44" t="s">
        <v>100</v>
      </c>
      <c r="D1" s="44" t="s">
        <v>101</v>
      </c>
      <c r="E1" s="44" t="s">
        <v>102</v>
      </c>
      <c r="F1" s="44" t="s">
        <v>137</v>
      </c>
      <c r="G1" s="44" t="s">
        <v>138</v>
      </c>
      <c r="H1" s="44" t="s">
        <v>139</v>
      </c>
      <c r="I1" s="44" t="s">
        <v>140</v>
      </c>
      <c r="J1" s="44" t="s">
        <v>105</v>
      </c>
      <c r="K1" s="44" t="s">
        <v>141</v>
      </c>
      <c r="L1" s="101" t="s">
        <v>142</v>
      </c>
      <c r="M1" s="101" t="s">
        <v>43</v>
      </c>
      <c r="N1" s="101" t="s">
        <v>44</v>
      </c>
      <c r="O1" s="101" t="s">
        <v>106</v>
      </c>
      <c r="P1" s="101" t="s">
        <v>107</v>
      </c>
      <c r="Q1" s="101" t="s">
        <v>209</v>
      </c>
      <c r="R1" s="101" t="s">
        <v>208</v>
      </c>
      <c r="S1" s="44" t="s">
        <v>143</v>
      </c>
      <c r="T1" s="46"/>
      <c r="U1" s="94" t="s">
        <v>210</v>
      </c>
      <c r="V1" s="94" t="s">
        <v>40</v>
      </c>
      <c r="W1" s="94" t="s">
        <v>41</v>
      </c>
      <c r="X1" s="94" t="s">
        <v>181</v>
      </c>
      <c r="Y1" s="94" t="s">
        <v>182</v>
      </c>
      <c r="Z1" s="94" t="s">
        <v>106</v>
      </c>
      <c r="AA1" s="94" t="s">
        <v>107</v>
      </c>
      <c r="AB1" s="46"/>
    </row>
    <row r="2" spans="1:32" ht="13.5" thickBot="1">
      <c r="A2" s="95">
        <v>55</v>
      </c>
      <c r="B2" s="46" t="s">
        <v>118</v>
      </c>
      <c r="C2" s="47">
        <v>44414</v>
      </c>
      <c r="D2" s="46" t="s">
        <v>91</v>
      </c>
      <c r="E2" s="45">
        <v>130</v>
      </c>
      <c r="F2" s="45">
        <v>113</v>
      </c>
      <c r="G2" s="45">
        <v>9</v>
      </c>
      <c r="H2" s="46"/>
      <c r="I2" s="45" t="s">
        <v>153</v>
      </c>
      <c r="J2" s="46" t="s">
        <v>83</v>
      </c>
      <c r="K2" s="46"/>
      <c r="L2" s="103">
        <v>21488</v>
      </c>
      <c r="M2" s="103">
        <v>756162</v>
      </c>
      <c r="N2" s="103">
        <v>961404.1</v>
      </c>
      <c r="O2" s="103">
        <v>315915.45</v>
      </c>
      <c r="P2" s="103">
        <v>1277319.55</v>
      </c>
      <c r="Q2" s="105">
        <f>O2/N2</f>
        <v>0.3285979849680275</v>
      </c>
      <c r="R2" s="103">
        <f>P2/E2</f>
        <v>9825.5349999999999</v>
      </c>
      <c r="S2" s="96" t="s">
        <v>183</v>
      </c>
      <c r="T2" s="46"/>
      <c r="U2" s="46"/>
      <c r="V2" s="95">
        <v>55</v>
      </c>
      <c r="W2" s="46" t="s">
        <v>118</v>
      </c>
      <c r="X2" s="45" t="s">
        <v>215</v>
      </c>
      <c r="Y2" s="45" t="s">
        <v>216</v>
      </c>
      <c r="Z2" s="45" t="s">
        <v>272</v>
      </c>
      <c r="AA2" s="45" t="s">
        <v>273</v>
      </c>
      <c r="AB2" s="46"/>
    </row>
    <row r="3" spans="1:32" ht="14.5" thickBot="1">
      <c r="A3" s="95">
        <v>103</v>
      </c>
      <c r="B3" s="46" t="s">
        <v>48</v>
      </c>
      <c r="C3" s="47">
        <v>44854</v>
      </c>
      <c r="D3" s="46" t="s">
        <v>110</v>
      </c>
      <c r="E3" s="45">
        <v>132</v>
      </c>
      <c r="F3" s="45">
        <v>118</v>
      </c>
      <c r="G3" s="45">
        <v>10</v>
      </c>
      <c r="H3" s="46"/>
      <c r="I3" s="45" t="s">
        <v>152</v>
      </c>
      <c r="J3" s="46" t="s">
        <v>83</v>
      </c>
      <c r="K3" s="46"/>
      <c r="L3" s="103">
        <v>35364</v>
      </c>
      <c r="M3" s="103">
        <v>775549</v>
      </c>
      <c r="N3" s="103">
        <v>986347.59</v>
      </c>
      <c r="O3" s="103">
        <v>324361.92</v>
      </c>
      <c r="P3" s="103">
        <v>1310709.51</v>
      </c>
      <c r="Q3" s="105">
        <f t="shared" ref="Q3:Q24" si="0">O3/N3</f>
        <v>0.32885153599858241</v>
      </c>
      <c r="R3" s="103">
        <f t="shared" ref="R3:R24" si="1">P3/E3</f>
        <v>9929.6175000000003</v>
      </c>
      <c r="S3" s="96" t="s">
        <v>183</v>
      </c>
      <c r="T3" s="46"/>
      <c r="U3" s="46"/>
      <c r="V3" s="95">
        <v>103</v>
      </c>
      <c r="W3" s="46" t="s">
        <v>48</v>
      </c>
      <c r="X3" s="45" t="s">
        <v>217</v>
      </c>
      <c r="Y3" s="45" t="s">
        <v>218</v>
      </c>
      <c r="Z3" s="45" t="s">
        <v>274</v>
      </c>
      <c r="AA3" s="45" t="s">
        <v>275</v>
      </c>
      <c r="AB3" s="46"/>
      <c r="AD3" s="10" t="s">
        <v>28</v>
      </c>
      <c r="AE3" t="s">
        <v>109</v>
      </c>
      <c r="AF3"/>
    </row>
    <row r="4" spans="1:32" ht="14.5" thickBot="1">
      <c r="A4" s="95">
        <v>120</v>
      </c>
      <c r="B4" s="46" t="s">
        <v>49</v>
      </c>
      <c r="C4" s="47">
        <v>45020</v>
      </c>
      <c r="D4" s="46" t="s">
        <v>111</v>
      </c>
      <c r="E4" s="45">
        <v>122</v>
      </c>
      <c r="F4" s="45">
        <v>114</v>
      </c>
      <c r="G4" s="45">
        <v>8</v>
      </c>
      <c r="H4" s="46"/>
      <c r="I4" s="46"/>
      <c r="J4" s="46" t="s">
        <v>83</v>
      </c>
      <c r="K4" s="46"/>
      <c r="L4" s="103">
        <v>26637</v>
      </c>
      <c r="M4" s="103">
        <v>706709</v>
      </c>
      <c r="N4" s="103">
        <v>898513.61</v>
      </c>
      <c r="O4" s="103">
        <v>295354.8</v>
      </c>
      <c r="P4" s="103">
        <v>1193868.4099999999</v>
      </c>
      <c r="Q4" s="105">
        <f t="shared" si="0"/>
        <v>0.32871488724583703</v>
      </c>
      <c r="R4" s="103">
        <f t="shared" si="1"/>
        <v>9785.8066393442623</v>
      </c>
      <c r="S4" s="96" t="s">
        <v>183</v>
      </c>
      <c r="T4" s="46"/>
      <c r="U4" s="46"/>
      <c r="V4" s="95">
        <v>120</v>
      </c>
      <c r="W4" s="46" t="s">
        <v>49</v>
      </c>
      <c r="X4" s="45" t="s">
        <v>219</v>
      </c>
      <c r="Y4" s="46"/>
      <c r="Z4" s="45" t="s">
        <v>276</v>
      </c>
      <c r="AA4" s="45" t="s">
        <v>277</v>
      </c>
      <c r="AB4" s="46"/>
      <c r="AD4" s="12" t="s">
        <v>91</v>
      </c>
      <c r="AE4" s="13">
        <v>4634584.9700000007</v>
      </c>
      <c r="AF4"/>
    </row>
    <row r="5" spans="1:32" ht="14.5" thickBot="1">
      <c r="A5" s="95">
        <v>126</v>
      </c>
      <c r="B5" s="46" t="s">
        <v>50</v>
      </c>
      <c r="C5" s="47">
        <v>45057</v>
      </c>
      <c r="D5" s="46" t="s">
        <v>113</v>
      </c>
      <c r="E5" s="45">
        <v>119</v>
      </c>
      <c r="F5" s="45">
        <v>111</v>
      </c>
      <c r="G5" s="45">
        <v>8</v>
      </c>
      <c r="H5" s="46"/>
      <c r="I5" s="46"/>
      <c r="J5" s="46" t="s">
        <v>83</v>
      </c>
      <c r="K5" s="46"/>
      <c r="L5" s="103">
        <v>29522</v>
      </c>
      <c r="M5" s="103">
        <v>693300</v>
      </c>
      <c r="N5" s="103">
        <v>881508.96</v>
      </c>
      <c r="O5" s="103">
        <v>289844.05</v>
      </c>
      <c r="P5" s="103">
        <v>1171353.01</v>
      </c>
      <c r="Q5" s="105">
        <f t="shared" si="0"/>
        <v>0.32880442871505244</v>
      </c>
      <c r="R5" s="103">
        <f t="shared" si="1"/>
        <v>9843.3026050420176</v>
      </c>
      <c r="S5" s="96" t="s">
        <v>183</v>
      </c>
      <c r="T5" s="46"/>
      <c r="U5" s="46"/>
      <c r="V5" s="95">
        <v>126</v>
      </c>
      <c r="W5" s="46" t="s">
        <v>50</v>
      </c>
      <c r="X5" s="45" t="s">
        <v>220</v>
      </c>
      <c r="Y5" s="46"/>
      <c r="Z5" s="45" t="s">
        <v>278</v>
      </c>
      <c r="AA5" s="45" t="s">
        <v>279</v>
      </c>
      <c r="AB5" s="46"/>
      <c r="AD5" s="12" t="s">
        <v>112</v>
      </c>
      <c r="AE5" s="13">
        <v>6458324.5899999999</v>
      </c>
      <c r="AF5"/>
    </row>
    <row r="6" spans="1:32" ht="14.5" thickBot="1">
      <c r="A6" s="95">
        <v>131</v>
      </c>
      <c r="B6" s="46" t="s">
        <v>119</v>
      </c>
      <c r="C6" s="47">
        <v>45085</v>
      </c>
      <c r="D6" s="46" t="s">
        <v>114</v>
      </c>
      <c r="E6" s="45">
        <v>116</v>
      </c>
      <c r="F6" s="45">
        <v>116</v>
      </c>
      <c r="G6" s="46"/>
      <c r="H6" s="45" t="s">
        <v>153</v>
      </c>
      <c r="I6" s="46"/>
      <c r="J6" s="46" t="s">
        <v>83</v>
      </c>
      <c r="K6" s="46"/>
      <c r="L6" s="103">
        <v>10146</v>
      </c>
      <c r="M6" s="103">
        <v>632719</v>
      </c>
      <c r="N6" s="103">
        <v>803637.59</v>
      </c>
      <c r="O6" s="103">
        <v>263547.49</v>
      </c>
      <c r="P6" s="103">
        <v>1067185.08</v>
      </c>
      <c r="Q6" s="105">
        <f t="shared" si="0"/>
        <v>0.32794320882874578</v>
      </c>
      <c r="R6" s="103">
        <f t="shared" si="1"/>
        <v>9199.8713793103452</v>
      </c>
      <c r="S6" s="46"/>
      <c r="T6" s="46"/>
      <c r="U6" s="46"/>
      <c r="V6" s="95">
        <v>131</v>
      </c>
      <c r="W6" s="46" t="s">
        <v>119</v>
      </c>
      <c r="X6" s="45" t="s">
        <v>221</v>
      </c>
      <c r="Y6" s="46"/>
      <c r="Z6" s="45" t="s">
        <v>280</v>
      </c>
      <c r="AA6" s="45" t="s">
        <v>281</v>
      </c>
      <c r="AB6" s="46"/>
      <c r="AD6" s="12" t="s">
        <v>111</v>
      </c>
      <c r="AE6" s="13">
        <v>3488406.3499999996</v>
      </c>
      <c r="AF6"/>
    </row>
    <row r="7" spans="1:32" ht="14.5" thickBot="1">
      <c r="A7" s="95">
        <v>138</v>
      </c>
      <c r="B7" s="46" t="s">
        <v>120</v>
      </c>
      <c r="C7" s="47">
        <v>45139</v>
      </c>
      <c r="D7" s="46" t="s">
        <v>110</v>
      </c>
      <c r="E7" s="45">
        <v>119</v>
      </c>
      <c r="F7" s="45">
        <v>107</v>
      </c>
      <c r="G7" s="45">
        <v>8</v>
      </c>
      <c r="H7" s="46"/>
      <c r="I7" s="45" t="s">
        <v>152</v>
      </c>
      <c r="J7" s="46" t="s">
        <v>83</v>
      </c>
      <c r="K7" s="46"/>
      <c r="L7" s="103">
        <v>31772</v>
      </c>
      <c r="M7" s="103">
        <v>688454</v>
      </c>
      <c r="N7" s="103">
        <v>875371.68</v>
      </c>
      <c r="O7" s="103">
        <v>287863.40000000002</v>
      </c>
      <c r="P7" s="103">
        <v>1163235.08</v>
      </c>
      <c r="Q7" s="105">
        <f t="shared" si="0"/>
        <v>0.32884705614419696</v>
      </c>
      <c r="R7" s="103">
        <f t="shared" si="1"/>
        <v>9775.0847058823529</v>
      </c>
      <c r="S7" s="46"/>
      <c r="T7" s="46"/>
      <c r="U7" s="46"/>
      <c r="V7" s="95">
        <v>138</v>
      </c>
      <c r="W7" s="46" t="s">
        <v>120</v>
      </c>
      <c r="X7" s="45" t="s">
        <v>222</v>
      </c>
      <c r="Y7" s="46"/>
      <c r="Z7" s="45" t="s">
        <v>282</v>
      </c>
      <c r="AA7" s="45" t="s">
        <v>283</v>
      </c>
      <c r="AB7" s="46"/>
      <c r="AD7" s="12" t="s">
        <v>114</v>
      </c>
      <c r="AE7" s="13">
        <v>2059091.1</v>
      </c>
      <c r="AF7"/>
    </row>
    <row r="8" spans="1:32" ht="14.5" thickBot="1">
      <c r="A8" s="95">
        <v>139</v>
      </c>
      <c r="B8" s="46" t="s">
        <v>53</v>
      </c>
      <c r="C8" s="47">
        <v>45139</v>
      </c>
      <c r="D8" s="46" t="s">
        <v>112</v>
      </c>
      <c r="E8" s="45">
        <v>118</v>
      </c>
      <c r="F8" s="45">
        <v>109</v>
      </c>
      <c r="G8" s="45">
        <v>9</v>
      </c>
      <c r="H8" s="46"/>
      <c r="I8" s="46"/>
      <c r="J8" s="46" t="s">
        <v>83</v>
      </c>
      <c r="K8" s="46"/>
      <c r="L8" s="103">
        <v>26730</v>
      </c>
      <c r="M8" s="103">
        <v>683112</v>
      </c>
      <c r="N8" s="103">
        <v>868577</v>
      </c>
      <c r="O8" s="103">
        <v>285640.84000000003</v>
      </c>
      <c r="P8" s="103">
        <v>1154217.8400000001</v>
      </c>
      <c r="Q8" s="105">
        <f t="shared" si="0"/>
        <v>0.3288606997422221</v>
      </c>
      <c r="R8" s="103">
        <f t="shared" si="1"/>
        <v>9781.5071186440691</v>
      </c>
      <c r="S8" s="46"/>
      <c r="T8" s="46"/>
      <c r="U8" s="46"/>
      <c r="V8" s="95">
        <v>139</v>
      </c>
      <c r="W8" s="46" t="s">
        <v>53</v>
      </c>
      <c r="X8" s="45" t="s">
        <v>223</v>
      </c>
      <c r="Y8" s="46"/>
      <c r="Z8" s="45" t="s">
        <v>284</v>
      </c>
      <c r="AA8" s="45" t="s">
        <v>285</v>
      </c>
      <c r="AB8" s="46"/>
      <c r="AD8" s="12" t="s">
        <v>113</v>
      </c>
      <c r="AE8" s="13">
        <v>3446985.93</v>
      </c>
      <c r="AF8"/>
    </row>
    <row r="9" spans="1:32" ht="14.5" thickBot="1">
      <c r="A9" s="95">
        <v>143</v>
      </c>
      <c r="B9" s="46" t="s">
        <v>54</v>
      </c>
      <c r="C9" s="47">
        <v>45184</v>
      </c>
      <c r="D9" s="46" t="s">
        <v>91</v>
      </c>
      <c r="E9" s="45">
        <v>117</v>
      </c>
      <c r="F9" s="45">
        <v>109</v>
      </c>
      <c r="G9" s="45">
        <v>8</v>
      </c>
      <c r="H9" s="46"/>
      <c r="I9" s="46"/>
      <c r="J9" s="46" t="s">
        <v>83</v>
      </c>
      <c r="K9" s="46"/>
      <c r="L9" s="103">
        <v>20607</v>
      </c>
      <c r="M9" s="103">
        <v>668503</v>
      </c>
      <c r="N9" s="103">
        <v>849825.07</v>
      </c>
      <c r="O9" s="103">
        <v>279335.02</v>
      </c>
      <c r="P9" s="103">
        <v>1129160.0900000001</v>
      </c>
      <c r="Q9" s="105">
        <f t="shared" si="0"/>
        <v>0.32869708115341906</v>
      </c>
      <c r="R9" s="103">
        <f t="shared" si="1"/>
        <v>9650.9409401709418</v>
      </c>
      <c r="S9" s="46"/>
      <c r="T9" s="46"/>
      <c r="U9" s="46"/>
      <c r="V9" s="95">
        <v>143</v>
      </c>
      <c r="W9" s="46" t="s">
        <v>54</v>
      </c>
      <c r="X9" s="45" t="s">
        <v>224</v>
      </c>
      <c r="Y9" s="46"/>
      <c r="Z9" s="45" t="s">
        <v>286</v>
      </c>
      <c r="AA9" s="45" t="s">
        <v>287</v>
      </c>
      <c r="AB9" s="46"/>
      <c r="AD9" s="12" t="s">
        <v>110</v>
      </c>
      <c r="AE9" s="13">
        <v>4735048.18</v>
      </c>
      <c r="AF9"/>
    </row>
    <row r="10" spans="1:32" ht="14.5" thickBot="1">
      <c r="A10" s="95">
        <v>151</v>
      </c>
      <c r="B10" s="46" t="s">
        <v>121</v>
      </c>
      <c r="C10" s="47">
        <v>45201</v>
      </c>
      <c r="D10" s="46" t="s">
        <v>91</v>
      </c>
      <c r="E10" s="45">
        <v>117</v>
      </c>
      <c r="F10" s="45">
        <v>109</v>
      </c>
      <c r="G10" s="45">
        <v>8</v>
      </c>
      <c r="H10" s="46"/>
      <c r="I10" s="46"/>
      <c r="J10" s="46" t="s">
        <v>83</v>
      </c>
      <c r="K10" s="46"/>
      <c r="L10" s="103">
        <v>20607</v>
      </c>
      <c r="M10" s="103">
        <v>668503</v>
      </c>
      <c r="N10" s="103">
        <v>849825.07</v>
      </c>
      <c r="O10" s="103">
        <v>279335.02</v>
      </c>
      <c r="P10" s="103">
        <v>1129160.0900000001</v>
      </c>
      <c r="Q10" s="105">
        <f t="shared" si="0"/>
        <v>0.32869708115341906</v>
      </c>
      <c r="R10" s="103">
        <f t="shared" si="1"/>
        <v>9650.9409401709418</v>
      </c>
      <c r="S10" s="46"/>
      <c r="T10" s="46"/>
      <c r="U10" s="46"/>
      <c r="V10" s="95">
        <v>151</v>
      </c>
      <c r="W10" s="46" t="s">
        <v>121</v>
      </c>
      <c r="X10" s="45" t="s">
        <v>225</v>
      </c>
      <c r="Y10" s="46"/>
      <c r="Z10" s="45" t="s">
        <v>288</v>
      </c>
      <c r="AA10" s="45" t="s">
        <v>289</v>
      </c>
      <c r="AB10" s="46"/>
      <c r="AD10" s="12" t="s">
        <v>115</v>
      </c>
      <c r="AE10" s="13">
        <v>2451863.38</v>
      </c>
      <c r="AF10"/>
    </row>
    <row r="11" spans="1:32" ht="14.5" thickBot="1">
      <c r="A11" s="95">
        <v>161</v>
      </c>
      <c r="B11" s="46" t="s">
        <v>122</v>
      </c>
      <c r="C11" s="47">
        <v>45272</v>
      </c>
      <c r="D11" s="46" t="s">
        <v>91</v>
      </c>
      <c r="E11" s="45">
        <v>113</v>
      </c>
      <c r="F11" s="45">
        <v>100</v>
      </c>
      <c r="G11" s="45">
        <v>9</v>
      </c>
      <c r="H11" s="46"/>
      <c r="I11" s="45" t="s">
        <v>152</v>
      </c>
      <c r="J11" s="46" t="s">
        <v>83</v>
      </c>
      <c r="K11" s="46"/>
      <c r="L11" s="103">
        <v>19198</v>
      </c>
      <c r="M11" s="103">
        <v>650517</v>
      </c>
      <c r="N11" s="103">
        <v>827010.13</v>
      </c>
      <c r="O11" s="103">
        <v>271935.11</v>
      </c>
      <c r="P11" s="103">
        <v>1098945.24</v>
      </c>
      <c r="Q11" s="105">
        <f t="shared" si="0"/>
        <v>0.32881714520232053</v>
      </c>
      <c r="R11" s="103">
        <f t="shared" si="1"/>
        <v>9725.1791150442477</v>
      </c>
      <c r="S11" s="46"/>
      <c r="T11" s="46"/>
      <c r="U11" s="46"/>
      <c r="V11" s="95">
        <v>161</v>
      </c>
      <c r="W11" s="46" t="s">
        <v>122</v>
      </c>
      <c r="X11" s="45" t="s">
        <v>226</v>
      </c>
      <c r="Y11" s="46"/>
      <c r="Z11" s="45" t="s">
        <v>290</v>
      </c>
      <c r="AA11" s="45" t="s">
        <v>291</v>
      </c>
      <c r="AB11" s="46"/>
      <c r="AD11" s="12" t="s">
        <v>26</v>
      </c>
      <c r="AE11" s="13">
        <v>27274304.5</v>
      </c>
      <c r="AF11"/>
    </row>
    <row r="12" spans="1:32" ht="14.5" thickBot="1">
      <c r="A12" s="95">
        <v>165</v>
      </c>
      <c r="B12" s="46" t="s">
        <v>123</v>
      </c>
      <c r="C12" s="47">
        <v>45311</v>
      </c>
      <c r="D12" s="46" t="s">
        <v>114</v>
      </c>
      <c r="E12" s="45">
        <v>114</v>
      </c>
      <c r="F12" s="45">
        <v>114</v>
      </c>
      <c r="G12" s="46"/>
      <c r="H12" s="45" t="s">
        <v>153</v>
      </c>
      <c r="I12" s="46"/>
      <c r="J12" s="46" t="s">
        <v>83</v>
      </c>
      <c r="K12" s="46"/>
      <c r="L12" s="103">
        <v>9971</v>
      </c>
      <c r="M12" s="103">
        <v>615928</v>
      </c>
      <c r="N12" s="103">
        <v>782280.78</v>
      </c>
      <c r="O12" s="103">
        <v>209625.24</v>
      </c>
      <c r="P12" s="103">
        <v>991906.02</v>
      </c>
      <c r="Q12" s="105">
        <f t="shared" si="0"/>
        <v>0.26796675229576777</v>
      </c>
      <c r="R12" s="103">
        <f t="shared" si="1"/>
        <v>8700.93</v>
      </c>
      <c r="S12" s="46"/>
      <c r="T12" s="46"/>
      <c r="U12" s="46"/>
      <c r="V12" s="95">
        <v>165</v>
      </c>
      <c r="W12" s="46" t="s">
        <v>123</v>
      </c>
      <c r="X12" s="45" t="s">
        <v>227</v>
      </c>
      <c r="Y12" s="46"/>
      <c r="Z12" s="45" t="s">
        <v>292</v>
      </c>
      <c r="AA12" s="45" t="s">
        <v>293</v>
      </c>
      <c r="AB12" s="46"/>
      <c r="AD12"/>
      <c r="AE12"/>
      <c r="AF12"/>
    </row>
    <row r="13" spans="1:32" ht="14.5" thickBot="1">
      <c r="A13" s="95">
        <v>170</v>
      </c>
      <c r="B13" s="46" t="s">
        <v>58</v>
      </c>
      <c r="C13" s="47">
        <v>45345</v>
      </c>
      <c r="D13" s="46" t="s">
        <v>112</v>
      </c>
      <c r="E13" s="45">
        <v>117</v>
      </c>
      <c r="F13" s="45">
        <v>104</v>
      </c>
      <c r="G13" s="45">
        <v>5</v>
      </c>
      <c r="H13" s="45" t="s">
        <v>152</v>
      </c>
      <c r="I13" s="45" t="s">
        <v>153</v>
      </c>
      <c r="J13" s="46" t="s">
        <v>83</v>
      </c>
      <c r="K13" s="46"/>
      <c r="L13" s="103">
        <v>24691</v>
      </c>
      <c r="M13" s="103">
        <v>662225</v>
      </c>
      <c r="N13" s="103">
        <v>841724.34</v>
      </c>
      <c r="O13" s="103">
        <v>276568.58</v>
      </c>
      <c r="P13" s="103">
        <v>1118292.92</v>
      </c>
      <c r="Q13" s="105">
        <f t="shared" si="0"/>
        <v>0.32857381788436824</v>
      </c>
      <c r="R13" s="103">
        <f t="shared" si="1"/>
        <v>9558.0591452991448</v>
      </c>
      <c r="S13" s="46"/>
      <c r="T13" s="46"/>
      <c r="U13" s="46"/>
      <c r="V13" s="95">
        <v>170</v>
      </c>
      <c r="W13" s="46" t="s">
        <v>58</v>
      </c>
      <c r="X13" s="45" t="s">
        <v>230</v>
      </c>
      <c r="Y13" s="46"/>
      <c r="Z13" s="45" t="s">
        <v>296</v>
      </c>
      <c r="AA13" s="45" t="s">
        <v>297</v>
      </c>
      <c r="AB13" s="46"/>
      <c r="AD13"/>
      <c r="AE13"/>
      <c r="AF13"/>
    </row>
    <row r="14" spans="1:32" ht="14.5" thickBot="1">
      <c r="A14" s="95">
        <v>171</v>
      </c>
      <c r="B14" s="46" t="s">
        <v>124</v>
      </c>
      <c r="C14" s="47">
        <v>45404</v>
      </c>
      <c r="D14" s="46" t="s">
        <v>113</v>
      </c>
      <c r="E14" s="45">
        <v>116</v>
      </c>
      <c r="F14" s="45">
        <v>100</v>
      </c>
      <c r="G14" s="45">
        <v>8</v>
      </c>
      <c r="H14" s="46"/>
      <c r="I14" s="45" t="s">
        <v>153</v>
      </c>
      <c r="J14" s="46" t="s">
        <v>83</v>
      </c>
      <c r="K14" s="46"/>
      <c r="L14" s="103">
        <v>26793</v>
      </c>
      <c r="M14" s="103">
        <v>668507</v>
      </c>
      <c r="N14" s="103">
        <v>849928.38</v>
      </c>
      <c r="O14" s="103">
        <v>279468.14</v>
      </c>
      <c r="P14" s="103">
        <v>1129396.52</v>
      </c>
      <c r="Q14" s="105">
        <f t="shared" si="0"/>
        <v>0.32881375251877104</v>
      </c>
      <c r="R14" s="103">
        <f t="shared" si="1"/>
        <v>9736.176896551724</v>
      </c>
      <c r="S14" s="46"/>
      <c r="T14" s="46"/>
      <c r="U14" s="46"/>
      <c r="V14" s="95">
        <v>171</v>
      </c>
      <c r="W14" s="46" t="s">
        <v>124</v>
      </c>
      <c r="X14" s="45" t="s">
        <v>231</v>
      </c>
      <c r="Y14" s="46"/>
      <c r="Z14" s="45" t="s">
        <v>298</v>
      </c>
      <c r="AA14" s="45" t="s">
        <v>299</v>
      </c>
      <c r="AB14" s="46"/>
      <c r="AD14"/>
      <c r="AE14"/>
      <c r="AF14"/>
    </row>
    <row r="15" spans="1:32" ht="14.5" thickBot="1">
      <c r="A15" s="95">
        <v>173</v>
      </c>
      <c r="B15" s="46" t="s">
        <v>60</v>
      </c>
      <c r="C15" s="47">
        <v>45447</v>
      </c>
      <c r="D15" s="46" t="s">
        <v>112</v>
      </c>
      <c r="E15" s="45">
        <v>132</v>
      </c>
      <c r="F15" s="45">
        <v>122</v>
      </c>
      <c r="G15" s="45">
        <v>10</v>
      </c>
      <c r="H15" s="46"/>
      <c r="I15" s="46"/>
      <c r="J15" s="46" t="s">
        <v>83</v>
      </c>
      <c r="K15" s="46"/>
      <c r="L15" s="103">
        <v>29901</v>
      </c>
      <c r="M15" s="103">
        <v>763356</v>
      </c>
      <c r="N15" s="103">
        <v>970743.05</v>
      </c>
      <c r="O15" s="103">
        <v>319160.86</v>
      </c>
      <c r="P15" s="103">
        <v>1289903.9099999999</v>
      </c>
      <c r="Q15" s="105">
        <f t="shared" si="0"/>
        <v>0.32877995881608418</v>
      </c>
      <c r="R15" s="103">
        <f t="shared" si="1"/>
        <v>9771.9993181818172</v>
      </c>
      <c r="S15" s="96" t="s">
        <v>183</v>
      </c>
      <c r="T15" s="46"/>
      <c r="U15" s="46"/>
      <c r="V15" s="95">
        <v>173</v>
      </c>
      <c r="W15" s="46" t="s">
        <v>60</v>
      </c>
      <c r="X15" s="45" t="s">
        <v>232</v>
      </c>
      <c r="Y15" s="45" t="s">
        <v>233</v>
      </c>
      <c r="Z15" s="45" t="s">
        <v>300</v>
      </c>
      <c r="AA15" s="45" t="s">
        <v>301</v>
      </c>
      <c r="AB15" s="46"/>
      <c r="AD15"/>
      <c r="AE15"/>
      <c r="AF15"/>
    </row>
    <row r="16" spans="1:32" ht="14.5" thickBot="1">
      <c r="A16" s="95">
        <v>174</v>
      </c>
      <c r="B16" s="46" t="s">
        <v>125</v>
      </c>
      <c r="C16" s="47">
        <v>45477</v>
      </c>
      <c r="D16" s="46" t="s">
        <v>111</v>
      </c>
      <c r="E16" s="45">
        <v>120</v>
      </c>
      <c r="F16" s="45">
        <v>108</v>
      </c>
      <c r="G16" s="45">
        <v>8</v>
      </c>
      <c r="H16" s="46"/>
      <c r="I16" s="45" t="s">
        <v>152</v>
      </c>
      <c r="J16" s="46" t="s">
        <v>83</v>
      </c>
      <c r="K16" s="46"/>
      <c r="L16" s="103">
        <v>25327</v>
      </c>
      <c r="M16" s="103">
        <v>681459</v>
      </c>
      <c r="N16" s="103">
        <v>866364.52</v>
      </c>
      <c r="O16" s="103">
        <v>284805.96999999997</v>
      </c>
      <c r="P16" s="103">
        <v>1151170.49</v>
      </c>
      <c r="Q16" s="105">
        <f t="shared" si="0"/>
        <v>0.32873688086857478</v>
      </c>
      <c r="R16" s="103">
        <f t="shared" si="1"/>
        <v>9593.0874166666672</v>
      </c>
      <c r="S16" s="46"/>
      <c r="T16" s="46"/>
      <c r="U16" s="46"/>
      <c r="V16" s="95">
        <v>174</v>
      </c>
      <c r="W16" s="46" t="s">
        <v>125</v>
      </c>
      <c r="X16" s="45" t="s">
        <v>234</v>
      </c>
      <c r="Y16" s="45" t="s">
        <v>235</v>
      </c>
      <c r="Z16" s="45" t="s">
        <v>302</v>
      </c>
      <c r="AA16" s="45" t="s">
        <v>303</v>
      </c>
      <c r="AB16" s="46"/>
      <c r="AD16"/>
      <c r="AE16"/>
      <c r="AF16"/>
    </row>
    <row r="17" spans="1:32" ht="14.5" thickBot="1">
      <c r="A17" s="95">
        <v>186</v>
      </c>
      <c r="B17" s="46" t="s">
        <v>127</v>
      </c>
      <c r="C17" s="47">
        <v>45587</v>
      </c>
      <c r="D17" s="46" t="s">
        <v>112</v>
      </c>
      <c r="E17" s="45">
        <v>117</v>
      </c>
      <c r="F17" s="45">
        <v>108</v>
      </c>
      <c r="G17" s="45">
        <v>9</v>
      </c>
      <c r="H17" s="46"/>
      <c r="I17" s="46"/>
      <c r="J17" s="46" t="s">
        <v>83</v>
      </c>
      <c r="K17" s="46"/>
      <c r="L17" s="103">
        <v>26503</v>
      </c>
      <c r="M17" s="103">
        <v>671011</v>
      </c>
      <c r="N17" s="103">
        <v>853174.93</v>
      </c>
      <c r="O17" s="103">
        <v>280592.34000000003</v>
      </c>
      <c r="P17" s="103">
        <v>1133767.27</v>
      </c>
      <c r="Q17" s="105">
        <f t="shared" si="0"/>
        <v>0.32888019810896224</v>
      </c>
      <c r="R17" s="103">
        <f t="shared" si="1"/>
        <v>9690.3185470085464</v>
      </c>
      <c r="S17" s="46"/>
      <c r="T17" s="46"/>
      <c r="U17" s="46"/>
      <c r="V17" s="95">
        <v>186</v>
      </c>
      <c r="W17" s="46" t="s">
        <v>127</v>
      </c>
      <c r="X17" s="45" t="s">
        <v>238</v>
      </c>
      <c r="Y17" s="46"/>
      <c r="Z17" s="45" t="s">
        <v>306</v>
      </c>
      <c r="AA17" s="45" t="s">
        <v>307</v>
      </c>
      <c r="AB17" s="46"/>
      <c r="AD17"/>
      <c r="AE17"/>
      <c r="AF17"/>
    </row>
    <row r="18" spans="1:32" ht="14.5" thickBot="1">
      <c r="A18" s="95">
        <v>189</v>
      </c>
      <c r="B18" s="46" t="s">
        <v>128</v>
      </c>
      <c r="C18" s="47">
        <v>45597</v>
      </c>
      <c r="D18" s="46" t="s">
        <v>113</v>
      </c>
      <c r="E18" s="45">
        <v>118</v>
      </c>
      <c r="F18" s="45">
        <v>109</v>
      </c>
      <c r="G18" s="45">
        <v>9</v>
      </c>
      <c r="H18" s="46"/>
      <c r="I18" s="46"/>
      <c r="J18" s="46" t="s">
        <v>83</v>
      </c>
      <c r="K18" s="46"/>
      <c r="L18" s="103">
        <v>29058</v>
      </c>
      <c r="M18" s="103">
        <v>678346</v>
      </c>
      <c r="N18" s="103">
        <v>862542.1</v>
      </c>
      <c r="O18" s="103">
        <v>283694.3</v>
      </c>
      <c r="P18" s="103">
        <v>1146236.3999999999</v>
      </c>
      <c r="Q18" s="105">
        <f t="shared" si="0"/>
        <v>0.32890487316503159</v>
      </c>
      <c r="R18" s="103">
        <f t="shared" si="1"/>
        <v>9713.8677966101695</v>
      </c>
      <c r="S18" s="46"/>
      <c r="T18" s="46"/>
      <c r="U18" s="46"/>
      <c r="V18" s="95">
        <v>189</v>
      </c>
      <c r="W18" s="46" t="s">
        <v>128</v>
      </c>
      <c r="X18" s="45" t="s">
        <v>239</v>
      </c>
      <c r="Y18" s="46"/>
      <c r="Z18" s="45" t="s">
        <v>308</v>
      </c>
      <c r="AA18" s="45" t="s">
        <v>309</v>
      </c>
      <c r="AB18" s="46"/>
      <c r="AD18"/>
      <c r="AE18"/>
      <c r="AF18"/>
    </row>
    <row r="19" spans="1:32" ht="14.5" thickBot="1">
      <c r="A19" s="95">
        <v>190</v>
      </c>
      <c r="B19" s="46" t="s">
        <v>68</v>
      </c>
      <c r="C19" s="47">
        <v>45597</v>
      </c>
      <c r="D19" s="46" t="s">
        <v>115</v>
      </c>
      <c r="E19" s="45">
        <v>130</v>
      </c>
      <c r="F19" s="45">
        <v>121</v>
      </c>
      <c r="G19" s="45">
        <v>9</v>
      </c>
      <c r="H19" s="46"/>
      <c r="I19" s="46"/>
      <c r="J19" s="46" t="s">
        <v>83</v>
      </c>
      <c r="K19" s="46"/>
      <c r="L19" s="103">
        <v>23197</v>
      </c>
      <c r="M19" s="103">
        <v>735700</v>
      </c>
      <c r="N19" s="103">
        <v>935380.74</v>
      </c>
      <c r="O19" s="103">
        <v>307406.3</v>
      </c>
      <c r="P19" s="103">
        <v>1242787.04</v>
      </c>
      <c r="Q19" s="105">
        <f t="shared" si="0"/>
        <v>0.32864296521649566</v>
      </c>
      <c r="R19" s="103">
        <f t="shared" si="1"/>
        <v>9559.9003076923073</v>
      </c>
      <c r="S19" s="46"/>
      <c r="T19" s="46"/>
      <c r="U19" s="46"/>
      <c r="V19" s="95">
        <v>190</v>
      </c>
      <c r="W19" s="46" t="s">
        <v>68</v>
      </c>
      <c r="X19" s="45" t="s">
        <v>240</v>
      </c>
      <c r="Y19" s="45" t="s">
        <v>241</v>
      </c>
      <c r="Z19" s="45" t="s">
        <v>310</v>
      </c>
      <c r="AA19" s="45" t="s">
        <v>311</v>
      </c>
      <c r="AB19" s="46"/>
      <c r="AD19"/>
      <c r="AE19"/>
      <c r="AF19"/>
    </row>
    <row r="20" spans="1:32" ht="14.5" thickBot="1">
      <c r="A20" s="95">
        <v>192</v>
      </c>
      <c r="B20" s="46" t="s">
        <v>129</v>
      </c>
      <c r="C20" s="47">
        <v>45597</v>
      </c>
      <c r="D20" s="46" t="s">
        <v>110</v>
      </c>
      <c r="E20" s="45">
        <v>116</v>
      </c>
      <c r="F20" s="45">
        <v>100</v>
      </c>
      <c r="G20" s="45">
        <v>8</v>
      </c>
      <c r="H20" s="46"/>
      <c r="I20" s="45" t="s">
        <v>153</v>
      </c>
      <c r="J20" s="46" t="s">
        <v>83</v>
      </c>
      <c r="K20" s="46"/>
      <c r="L20" s="103">
        <v>28468</v>
      </c>
      <c r="M20" s="103">
        <v>663338</v>
      </c>
      <c r="N20" s="103">
        <v>843371.42</v>
      </c>
      <c r="O20" s="103">
        <v>277341.25</v>
      </c>
      <c r="P20" s="103">
        <v>1120712.67</v>
      </c>
      <c r="Q20" s="105">
        <f t="shared" si="0"/>
        <v>0.32884829082778261</v>
      </c>
      <c r="R20" s="103">
        <f t="shared" si="1"/>
        <v>9661.3161206896548</v>
      </c>
      <c r="S20" s="46"/>
      <c r="T20" s="46"/>
      <c r="U20" s="46"/>
      <c r="V20" s="95">
        <v>192</v>
      </c>
      <c r="W20" s="46" t="s">
        <v>129</v>
      </c>
      <c r="X20" s="45" t="s">
        <v>242</v>
      </c>
      <c r="Y20" s="46"/>
      <c r="Z20" s="45" t="s">
        <v>312</v>
      </c>
      <c r="AA20" s="45" t="s">
        <v>313</v>
      </c>
      <c r="AB20" s="46"/>
      <c r="AD20"/>
      <c r="AE20"/>
      <c r="AF20"/>
    </row>
    <row r="21" spans="1:32" ht="13.5" thickBot="1">
      <c r="A21" s="95">
        <v>194</v>
      </c>
      <c r="B21" s="46" t="s">
        <v>130</v>
      </c>
      <c r="C21" s="47">
        <v>45639</v>
      </c>
      <c r="D21" s="46" t="s">
        <v>111</v>
      </c>
      <c r="E21" s="45">
        <v>119</v>
      </c>
      <c r="F21" s="45">
        <v>111</v>
      </c>
      <c r="G21" s="45">
        <v>8</v>
      </c>
      <c r="H21" s="46"/>
      <c r="I21" s="46"/>
      <c r="J21" s="46" t="s">
        <v>83</v>
      </c>
      <c r="K21" s="46"/>
      <c r="L21" s="103">
        <v>25982</v>
      </c>
      <c r="M21" s="103">
        <v>676820</v>
      </c>
      <c r="N21" s="103">
        <v>860475.75</v>
      </c>
      <c r="O21" s="103">
        <v>282891.7</v>
      </c>
      <c r="P21" s="103">
        <v>1143367.45</v>
      </c>
      <c r="Q21" s="105">
        <f t="shared" si="0"/>
        <v>0.32876196685380155</v>
      </c>
      <c r="R21" s="103">
        <f t="shared" si="1"/>
        <v>9608.1298319327725</v>
      </c>
      <c r="S21" s="46"/>
      <c r="T21" s="46"/>
      <c r="U21" s="46"/>
      <c r="V21" s="95">
        <v>194</v>
      </c>
      <c r="W21" s="46" t="s">
        <v>130</v>
      </c>
      <c r="X21" s="45" t="s">
        <v>243</v>
      </c>
      <c r="Y21" s="46"/>
      <c r="Z21" s="45" t="s">
        <v>314</v>
      </c>
      <c r="AA21" s="45" t="s">
        <v>315</v>
      </c>
      <c r="AB21" s="46"/>
    </row>
    <row r="22" spans="1:32" s="90" customFormat="1" ht="14.5" thickBot="1">
      <c r="A22" s="95">
        <v>206</v>
      </c>
      <c r="B22" s="46" t="s">
        <v>133</v>
      </c>
      <c r="C22" s="47">
        <v>45713</v>
      </c>
      <c r="D22" s="46" t="s">
        <v>110</v>
      </c>
      <c r="E22" s="45">
        <v>118</v>
      </c>
      <c r="F22" s="45">
        <v>110</v>
      </c>
      <c r="G22" s="45">
        <v>8</v>
      </c>
      <c r="H22" s="46"/>
      <c r="I22" s="46"/>
      <c r="J22" s="46" t="s">
        <v>83</v>
      </c>
      <c r="K22" s="46"/>
      <c r="L22" s="103">
        <v>29959</v>
      </c>
      <c r="M22" s="103">
        <v>674969</v>
      </c>
      <c r="N22" s="103">
        <v>858184.69</v>
      </c>
      <c r="O22" s="103">
        <v>282206.23</v>
      </c>
      <c r="P22" s="103">
        <v>1140390.92</v>
      </c>
      <c r="Q22" s="105">
        <f t="shared" si="0"/>
        <v>0.3288409048639635</v>
      </c>
      <c r="R22" s="103">
        <f t="shared" si="1"/>
        <v>9664.3298305084736</v>
      </c>
      <c r="S22" s="46"/>
      <c r="T22" s="46"/>
      <c r="U22" s="46"/>
      <c r="V22" s="95">
        <v>206</v>
      </c>
      <c r="W22" s="46" t="s">
        <v>133</v>
      </c>
      <c r="X22" s="45" t="s">
        <v>244</v>
      </c>
      <c r="Y22" s="45" t="s">
        <v>245</v>
      </c>
      <c r="Z22" s="45" t="s">
        <v>316</v>
      </c>
      <c r="AA22" s="45" t="s">
        <v>317</v>
      </c>
      <c r="AB22" s="46"/>
    </row>
    <row r="23" spans="1:32" s="90" customFormat="1" ht="14.5" thickBot="1">
      <c r="A23" s="95">
        <v>210</v>
      </c>
      <c r="B23" s="46" t="s">
        <v>74</v>
      </c>
      <c r="C23" s="47">
        <v>45759</v>
      </c>
      <c r="D23" s="46" t="s">
        <v>112</v>
      </c>
      <c r="E23" s="45">
        <v>118</v>
      </c>
      <c r="F23" s="45">
        <v>113</v>
      </c>
      <c r="G23" s="45">
        <v>5</v>
      </c>
      <c r="H23" s="45" t="s">
        <v>152</v>
      </c>
      <c r="I23" s="46"/>
      <c r="J23" s="46" t="s">
        <v>83</v>
      </c>
      <c r="K23" s="46"/>
      <c r="L23" s="102"/>
      <c r="M23" s="103">
        <v>1159845</v>
      </c>
      <c r="N23" s="103">
        <v>1333000</v>
      </c>
      <c r="O23" s="103">
        <v>429142.65</v>
      </c>
      <c r="P23" s="103">
        <v>1762142.65</v>
      </c>
      <c r="Q23" s="105">
        <f t="shared" si="0"/>
        <v>0.32193747186796701</v>
      </c>
      <c r="R23" s="103">
        <f t="shared" si="1"/>
        <v>14933.412288135592</v>
      </c>
      <c r="S23" s="46" t="s">
        <v>158</v>
      </c>
      <c r="T23" s="46"/>
      <c r="U23" s="46"/>
      <c r="V23" s="95">
        <v>210</v>
      </c>
      <c r="W23" s="46" t="s">
        <v>74</v>
      </c>
      <c r="X23" s="45" t="s">
        <v>246</v>
      </c>
      <c r="Y23" s="46"/>
      <c r="Z23" s="45" t="s">
        <v>318</v>
      </c>
      <c r="AA23" s="45" t="s">
        <v>319</v>
      </c>
      <c r="AB23" s="46"/>
    </row>
    <row r="24" spans="1:32" s="90" customFormat="1" ht="14.5" thickBot="1">
      <c r="A24" s="95">
        <v>213</v>
      </c>
      <c r="B24" s="46" t="s">
        <v>159</v>
      </c>
      <c r="C24" s="47">
        <v>45789</v>
      </c>
      <c r="D24" s="46" t="s">
        <v>115</v>
      </c>
      <c r="E24" s="45">
        <v>130</v>
      </c>
      <c r="F24" s="45">
        <v>121</v>
      </c>
      <c r="G24" s="45">
        <v>9</v>
      </c>
      <c r="H24" s="46"/>
      <c r="I24" s="46"/>
      <c r="J24" s="46" t="s">
        <v>83</v>
      </c>
      <c r="K24" s="46"/>
      <c r="L24" s="102"/>
      <c r="M24" s="103">
        <v>716225</v>
      </c>
      <c r="N24" s="103">
        <v>910251.66</v>
      </c>
      <c r="O24" s="103">
        <v>298824.68</v>
      </c>
      <c r="P24" s="103">
        <v>1209076.3400000001</v>
      </c>
      <c r="Q24" s="105">
        <f t="shared" si="0"/>
        <v>0.3282879813698994</v>
      </c>
      <c r="R24" s="103">
        <f t="shared" si="1"/>
        <v>9300.5872307692316</v>
      </c>
      <c r="S24" s="96" t="s">
        <v>320</v>
      </c>
      <c r="T24" s="46"/>
      <c r="U24" s="46"/>
      <c r="V24" s="95">
        <v>213</v>
      </c>
      <c r="W24" s="46" t="s">
        <v>159</v>
      </c>
      <c r="X24" s="45" t="s">
        <v>247</v>
      </c>
      <c r="Y24" s="45" t="s">
        <v>248</v>
      </c>
      <c r="Z24" s="45" t="s">
        <v>321</v>
      </c>
      <c r="AA24" s="45" t="s">
        <v>322</v>
      </c>
      <c r="AB24" s="46"/>
    </row>
    <row r="25" spans="1:32" s="90" customFormat="1" ht="14.5" thickBo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102"/>
      <c r="M25" s="103"/>
      <c r="N25" s="102"/>
      <c r="O25" s="102"/>
      <c r="P25" s="103"/>
      <c r="Q25" s="103"/>
      <c r="R25" s="103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32" ht="13.5" thickBot="1">
      <c r="A26" s="95">
        <v>10</v>
      </c>
      <c r="B26" s="46" t="s">
        <v>144</v>
      </c>
      <c r="C26" s="47">
        <v>40030</v>
      </c>
      <c r="D26" s="46" t="s">
        <v>145</v>
      </c>
      <c r="E26" s="46"/>
      <c r="F26" s="46"/>
      <c r="G26" s="46"/>
      <c r="H26" s="46"/>
      <c r="I26" s="46"/>
      <c r="J26" s="46" t="s">
        <v>83</v>
      </c>
      <c r="K26" s="46"/>
      <c r="L26" s="102"/>
      <c r="M26" s="103">
        <v>1186077</v>
      </c>
      <c r="N26" s="103">
        <v>1452242.05</v>
      </c>
      <c r="O26" s="103">
        <v>388897.55</v>
      </c>
      <c r="P26" s="103">
        <v>1841139.6</v>
      </c>
      <c r="Q26" s="103"/>
      <c r="R26" s="103"/>
      <c r="S26" s="96" t="s">
        <v>183</v>
      </c>
      <c r="T26" s="46"/>
      <c r="U26" s="46"/>
      <c r="V26" s="95">
        <v>10</v>
      </c>
      <c r="W26" s="46" t="s">
        <v>144</v>
      </c>
      <c r="X26" s="45" t="s">
        <v>211</v>
      </c>
      <c r="Y26" s="45" t="s">
        <v>212</v>
      </c>
      <c r="Z26" s="45" t="s">
        <v>268</v>
      </c>
      <c r="AA26" s="45" t="s">
        <v>269</v>
      </c>
      <c r="AB26" s="46"/>
    </row>
    <row r="27" spans="1:32" ht="13.5" thickBot="1">
      <c r="A27" s="95">
        <v>47</v>
      </c>
      <c r="B27" s="46" t="s">
        <v>149</v>
      </c>
      <c r="C27" s="47">
        <v>44295</v>
      </c>
      <c r="D27" s="46" t="s">
        <v>150</v>
      </c>
      <c r="E27" s="46"/>
      <c r="F27" s="46"/>
      <c r="G27" s="46"/>
      <c r="H27" s="46"/>
      <c r="I27" s="46"/>
      <c r="J27" s="46" t="s">
        <v>83</v>
      </c>
      <c r="K27" s="46"/>
      <c r="L27" s="102"/>
      <c r="M27" s="103">
        <v>1003599</v>
      </c>
      <c r="N27" s="103">
        <v>1229927.1000000001</v>
      </c>
      <c r="O27" s="103">
        <v>330083.94</v>
      </c>
      <c r="P27" s="103">
        <v>1560011.04</v>
      </c>
      <c r="Q27" s="103"/>
      <c r="R27" s="103"/>
      <c r="S27" s="46"/>
      <c r="T27" s="46"/>
      <c r="U27" s="46"/>
      <c r="V27" s="95">
        <v>47</v>
      </c>
      <c r="W27" s="46" t="s">
        <v>149</v>
      </c>
      <c r="X27" s="45" t="s">
        <v>213</v>
      </c>
      <c r="Y27" s="45" t="s">
        <v>214</v>
      </c>
      <c r="Z27" s="45" t="s">
        <v>270</v>
      </c>
      <c r="AA27" s="45" t="s">
        <v>271</v>
      </c>
      <c r="AB27" s="46"/>
    </row>
    <row r="28" spans="1:32" ht="13.5" thickBot="1">
      <c r="A28" s="95">
        <v>169</v>
      </c>
      <c r="B28" s="46" t="s">
        <v>154</v>
      </c>
      <c r="C28" s="47">
        <v>45341</v>
      </c>
      <c r="D28" s="46" t="s">
        <v>145</v>
      </c>
      <c r="E28" s="45">
        <v>8</v>
      </c>
      <c r="F28" s="46"/>
      <c r="G28" s="45">
        <v>8</v>
      </c>
      <c r="H28" s="45" t="s">
        <v>153</v>
      </c>
      <c r="I28" s="46"/>
      <c r="J28" s="46" t="s">
        <v>83</v>
      </c>
      <c r="K28" s="46"/>
      <c r="L28" s="102"/>
      <c r="M28" s="103">
        <v>1013644</v>
      </c>
      <c r="N28" s="103">
        <v>1240354.47</v>
      </c>
      <c r="O28" s="103">
        <v>331647.09999999998</v>
      </c>
      <c r="P28" s="103">
        <v>1572001.57</v>
      </c>
      <c r="Q28" s="103"/>
      <c r="R28" s="103"/>
      <c r="S28" s="96" t="s">
        <v>183</v>
      </c>
      <c r="T28" s="46"/>
      <c r="U28" s="46"/>
      <c r="V28" s="95">
        <v>169</v>
      </c>
      <c r="W28" s="46" t="s">
        <v>154</v>
      </c>
      <c r="X28" s="100" t="s">
        <v>228</v>
      </c>
      <c r="Y28" s="45" t="s">
        <v>229</v>
      </c>
      <c r="Z28" s="45" t="s">
        <v>294</v>
      </c>
      <c r="AA28" s="45" t="s">
        <v>295</v>
      </c>
      <c r="AB28" s="46"/>
    </row>
    <row r="29" spans="1:32" ht="13.5" thickBot="1">
      <c r="A29" s="95">
        <v>184</v>
      </c>
      <c r="B29" s="46" t="s">
        <v>126</v>
      </c>
      <c r="C29" s="47">
        <v>45569</v>
      </c>
      <c r="D29" s="46" t="s">
        <v>91</v>
      </c>
      <c r="E29" s="45">
        <v>20</v>
      </c>
      <c r="F29" s="45">
        <v>20</v>
      </c>
      <c r="G29" s="46"/>
      <c r="H29" s="46"/>
      <c r="I29" s="46"/>
      <c r="J29" s="46" t="s">
        <v>83</v>
      </c>
      <c r="K29" s="46"/>
      <c r="L29" s="102"/>
      <c r="M29" s="103">
        <v>108171</v>
      </c>
      <c r="N29" s="103">
        <v>136359.66</v>
      </c>
      <c r="O29" s="103">
        <v>45196.12</v>
      </c>
      <c r="P29" s="103">
        <v>181555.78</v>
      </c>
      <c r="Q29" s="103"/>
      <c r="R29" s="103"/>
      <c r="S29" s="96" t="s">
        <v>236</v>
      </c>
      <c r="T29" s="46"/>
      <c r="U29" s="46"/>
      <c r="V29" s="95">
        <v>184</v>
      </c>
      <c r="W29" s="46" t="s">
        <v>126</v>
      </c>
      <c r="X29" s="45" t="s">
        <v>237</v>
      </c>
      <c r="Y29" s="46"/>
      <c r="Z29" s="45" t="s">
        <v>304</v>
      </c>
      <c r="AA29" s="45" t="s">
        <v>305</v>
      </c>
      <c r="AB29" s="46"/>
    </row>
    <row r="30" spans="1:32" s="90" customFormat="1" ht="14.5" thickBo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102"/>
      <c r="M30" s="102"/>
      <c r="N30" s="102"/>
      <c r="O30" s="102"/>
      <c r="P30" s="102"/>
      <c r="Q30" s="102"/>
      <c r="R30" s="102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32" ht="13.5" thickBot="1">
      <c r="A31" s="48" t="s">
        <v>161</v>
      </c>
      <c r="B31" s="49"/>
      <c r="C31" s="49"/>
      <c r="D31" s="49"/>
      <c r="E31" s="49"/>
      <c r="F31" s="49"/>
      <c r="G31" s="46"/>
      <c r="H31" s="46"/>
      <c r="I31" s="46"/>
      <c r="J31" s="46"/>
      <c r="K31" s="46"/>
      <c r="L31" s="102"/>
      <c r="M31" s="102"/>
      <c r="N31" s="102"/>
      <c r="O31" s="102"/>
      <c r="P31" s="102"/>
      <c r="Q31" s="102"/>
      <c r="R31" s="102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spans="1:32" ht="26.5" thickBot="1">
      <c r="A32" s="50"/>
      <c r="B32" s="51"/>
      <c r="C32" s="52" t="s">
        <v>162</v>
      </c>
      <c r="D32" s="52" t="s">
        <v>163</v>
      </c>
      <c r="E32" s="52" t="s">
        <v>106</v>
      </c>
      <c r="F32" s="52" t="s">
        <v>164</v>
      </c>
      <c r="G32" s="46"/>
      <c r="H32" s="46"/>
      <c r="I32" s="46"/>
      <c r="J32" s="46"/>
      <c r="K32" s="46"/>
      <c r="L32" s="102"/>
      <c r="M32" s="102"/>
      <c r="N32" s="102"/>
      <c r="O32" s="102"/>
      <c r="P32" s="102"/>
      <c r="Q32" s="102"/>
      <c r="R32" s="102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spans="1:28" ht="13" thickBot="1">
      <c r="A33" s="53">
        <v>500</v>
      </c>
      <c r="B33" s="51" t="s">
        <v>165</v>
      </c>
      <c r="C33" s="54" t="s">
        <v>250</v>
      </c>
      <c r="D33" s="54" t="s">
        <v>251</v>
      </c>
      <c r="E33" s="54" t="s">
        <v>252</v>
      </c>
      <c r="F33" s="54" t="s">
        <v>253</v>
      </c>
      <c r="G33" s="46"/>
      <c r="H33" s="46"/>
      <c r="I33" s="46"/>
      <c r="J33" s="46"/>
      <c r="K33" s="46"/>
      <c r="L33" s="102"/>
      <c r="M33" s="102"/>
      <c r="N33" s="102"/>
      <c r="O33" s="102"/>
      <c r="P33" s="102"/>
      <c r="Q33" s="102"/>
      <c r="R33" s="102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spans="1:28" ht="13" thickBot="1">
      <c r="A34" s="53">
        <v>501</v>
      </c>
      <c r="B34" s="51" t="s">
        <v>170</v>
      </c>
      <c r="C34" s="54" t="s">
        <v>254</v>
      </c>
      <c r="D34" s="54" t="s">
        <v>255</v>
      </c>
      <c r="E34" s="54" t="s">
        <v>256</v>
      </c>
      <c r="F34" s="54" t="s">
        <v>257</v>
      </c>
      <c r="G34" s="46"/>
      <c r="H34" s="46"/>
      <c r="I34" s="46"/>
      <c r="J34" s="46"/>
      <c r="K34" s="46"/>
      <c r="L34" s="102"/>
      <c r="M34" s="102"/>
      <c r="N34" s="102"/>
      <c r="O34" s="102"/>
      <c r="P34" s="102"/>
      <c r="Q34" s="102"/>
      <c r="R34" s="102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spans="1:28" ht="13" thickBot="1">
      <c r="A35" s="50"/>
      <c r="B35" s="51"/>
      <c r="C35" s="51"/>
      <c r="D35" s="51"/>
      <c r="E35" s="51"/>
      <c r="F35" s="51"/>
      <c r="G35" s="46"/>
      <c r="H35" s="46"/>
      <c r="I35" s="46"/>
      <c r="J35" s="46"/>
      <c r="K35" s="46"/>
      <c r="L35" s="102"/>
      <c r="M35" s="102"/>
      <c r="N35" s="102"/>
      <c r="O35" s="102"/>
      <c r="P35" s="102"/>
      <c r="Q35" s="102"/>
      <c r="R35" s="102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spans="1:28" ht="13.5" thickBot="1">
      <c r="A36" s="50"/>
      <c r="B36" s="52" t="s">
        <v>175</v>
      </c>
      <c r="C36" s="54" t="s">
        <v>258</v>
      </c>
      <c r="D36" s="51"/>
      <c r="E36" s="51"/>
      <c r="F36" s="51"/>
      <c r="G36" s="46"/>
      <c r="H36" s="46"/>
      <c r="I36" s="46"/>
      <c r="J36" s="46"/>
      <c r="K36" s="46"/>
      <c r="L36" s="102"/>
      <c r="M36" s="102"/>
      <c r="N36" s="102"/>
      <c r="O36" s="102"/>
      <c r="P36" s="102"/>
      <c r="Q36" s="102"/>
      <c r="R36" s="102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spans="1:28" ht="13.5" thickBot="1">
      <c r="A37" s="50"/>
      <c r="B37" s="52" t="s">
        <v>177</v>
      </c>
      <c r="C37" s="54" t="s">
        <v>259</v>
      </c>
      <c r="D37" s="51"/>
      <c r="E37" s="51"/>
      <c r="F37" s="51"/>
      <c r="G37" s="46"/>
      <c r="H37" s="46"/>
      <c r="I37" s="46"/>
      <c r="J37" s="46"/>
      <c r="K37" s="46"/>
      <c r="L37" s="102"/>
      <c r="M37" s="102"/>
      <c r="N37" s="102"/>
      <c r="O37" s="102"/>
      <c r="P37" s="102"/>
      <c r="Q37" s="102"/>
      <c r="R37" s="102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spans="1:28" ht="13" thickBo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102"/>
      <c r="M38" s="102"/>
      <c r="N38" s="102"/>
      <c r="O38" s="102"/>
      <c r="P38" s="102"/>
      <c r="Q38" s="102"/>
      <c r="R38" s="102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spans="1:28" ht="13" thickBot="1">
      <c r="A39" s="97" t="s">
        <v>185</v>
      </c>
      <c r="B39" s="98"/>
      <c r="C39" s="98"/>
      <c r="D39" s="46"/>
      <c r="E39" s="46"/>
      <c r="F39" s="46"/>
      <c r="G39" s="46"/>
      <c r="H39" s="46"/>
      <c r="I39" s="46"/>
      <c r="J39" s="46"/>
      <c r="K39" s="46"/>
      <c r="L39" s="102"/>
      <c r="M39" s="102"/>
      <c r="N39" s="102"/>
      <c r="O39" s="102"/>
      <c r="P39" s="102"/>
      <c r="Q39" s="102"/>
      <c r="R39" s="102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28" ht="13" thickBot="1">
      <c r="A40" s="99">
        <v>10</v>
      </c>
      <c r="B40" s="98" t="s">
        <v>186</v>
      </c>
      <c r="C40" s="99" t="s">
        <v>260</v>
      </c>
      <c r="D40" s="46"/>
      <c r="E40" s="46"/>
      <c r="F40" s="46"/>
      <c r="G40" s="46"/>
      <c r="H40" s="46"/>
      <c r="I40" s="46"/>
      <c r="J40" s="46"/>
      <c r="K40" s="46"/>
      <c r="L40" s="102"/>
      <c r="M40" s="102"/>
      <c r="N40" s="102"/>
      <c r="O40" s="102"/>
      <c r="P40" s="102"/>
      <c r="Q40" s="102"/>
      <c r="R40" s="102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spans="1:28" ht="13" thickBot="1">
      <c r="A41" s="99">
        <v>169</v>
      </c>
      <c r="B41" s="98" t="s">
        <v>187</v>
      </c>
      <c r="C41" s="99" t="s">
        <v>261</v>
      </c>
      <c r="D41" s="46"/>
      <c r="E41" s="46"/>
      <c r="F41" s="46"/>
      <c r="G41" s="46"/>
      <c r="H41" s="46"/>
      <c r="I41" s="46"/>
      <c r="J41" s="46"/>
      <c r="K41" s="46"/>
      <c r="L41" s="102"/>
      <c r="M41" s="102"/>
      <c r="N41" s="102"/>
      <c r="O41" s="102"/>
      <c r="P41" s="102"/>
      <c r="Q41" s="102"/>
      <c r="R41" s="102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28" ht="13" thickBot="1">
      <c r="A42" s="99">
        <v>103</v>
      </c>
      <c r="B42" s="98" t="s">
        <v>48</v>
      </c>
      <c r="C42" s="99" t="s">
        <v>262</v>
      </c>
      <c r="D42" s="46"/>
      <c r="E42" s="46"/>
      <c r="F42" s="46"/>
      <c r="G42" s="46"/>
      <c r="H42" s="46"/>
      <c r="I42" s="46"/>
      <c r="J42" s="46"/>
      <c r="K42" s="46"/>
      <c r="L42" s="102"/>
      <c r="M42" s="102"/>
      <c r="N42" s="102"/>
      <c r="O42" s="102"/>
      <c r="P42" s="102"/>
      <c r="Q42" s="102"/>
      <c r="R42" s="102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spans="1:28" ht="13" thickBot="1">
      <c r="A43" s="99">
        <v>55</v>
      </c>
      <c r="B43" s="98" t="s">
        <v>118</v>
      </c>
      <c r="C43" s="99" t="s">
        <v>263</v>
      </c>
      <c r="D43" s="46"/>
      <c r="E43" s="46"/>
      <c r="F43" s="46"/>
      <c r="G43" s="46"/>
      <c r="H43" s="46"/>
      <c r="I43" s="46"/>
      <c r="J43" s="46"/>
      <c r="K43" s="46"/>
      <c r="L43" s="102"/>
      <c r="M43" s="102"/>
      <c r="N43" s="102"/>
      <c r="O43" s="102"/>
      <c r="P43" s="102"/>
      <c r="Q43" s="102"/>
      <c r="R43" s="102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28" ht="13" thickBot="1">
      <c r="A44" s="99">
        <v>120</v>
      </c>
      <c r="B44" s="98" t="s">
        <v>49</v>
      </c>
      <c r="C44" s="99" t="s">
        <v>264</v>
      </c>
      <c r="D44" s="46"/>
      <c r="E44" s="46"/>
      <c r="F44" s="46"/>
      <c r="G44" s="46"/>
      <c r="H44" s="46"/>
      <c r="I44" s="46"/>
      <c r="J44" s="46"/>
      <c r="K44" s="46"/>
      <c r="L44" s="102"/>
      <c r="M44" s="102"/>
      <c r="N44" s="102"/>
      <c r="O44" s="102"/>
      <c r="P44" s="102"/>
      <c r="Q44" s="102"/>
      <c r="R44" s="102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spans="1:28" ht="13" thickBot="1">
      <c r="A45" s="98"/>
      <c r="B45" s="98"/>
      <c r="C45" s="99" t="s">
        <v>249</v>
      </c>
      <c r="D45" s="46"/>
      <c r="E45" s="46"/>
      <c r="F45" s="46"/>
      <c r="G45" s="46"/>
      <c r="H45" s="46"/>
      <c r="I45" s="46"/>
      <c r="J45" s="46"/>
      <c r="K45" s="46"/>
      <c r="L45" s="102"/>
      <c r="M45" s="102"/>
      <c r="N45" s="102"/>
      <c r="O45" s="102"/>
      <c r="P45" s="102"/>
      <c r="Q45" s="102"/>
      <c r="R45" s="102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spans="1:28" ht="13" thickBot="1">
      <c r="A46" s="99">
        <v>173</v>
      </c>
      <c r="B46" s="98" t="s">
        <v>60</v>
      </c>
      <c r="C46" s="99" t="s">
        <v>265</v>
      </c>
      <c r="D46" s="46"/>
      <c r="E46" s="46"/>
      <c r="F46" s="46"/>
      <c r="G46" s="46"/>
      <c r="H46" s="46"/>
      <c r="I46" s="46"/>
      <c r="J46" s="46"/>
      <c r="K46" s="46"/>
      <c r="L46" s="102"/>
      <c r="M46" s="102"/>
      <c r="N46" s="102"/>
      <c r="O46" s="102"/>
      <c r="P46" s="102"/>
      <c r="Q46" s="102"/>
      <c r="R46" s="102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28" ht="13" thickBot="1">
      <c r="A47" s="99">
        <v>126</v>
      </c>
      <c r="B47" s="98" t="s">
        <v>50</v>
      </c>
      <c r="C47" s="99" t="s">
        <v>266</v>
      </c>
      <c r="D47" s="46"/>
      <c r="E47" s="46"/>
      <c r="F47" s="46"/>
      <c r="G47" s="46"/>
      <c r="H47" s="46"/>
      <c r="I47" s="46"/>
      <c r="J47" s="46"/>
      <c r="K47" s="46"/>
      <c r="L47" s="102"/>
      <c r="M47" s="102"/>
      <c r="N47" s="102"/>
      <c r="O47" s="102"/>
      <c r="P47" s="102"/>
      <c r="Q47" s="102"/>
      <c r="R47" s="102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spans="1:28" ht="13" thickBot="1">
      <c r="A48" s="98" t="s">
        <v>188</v>
      </c>
      <c r="B48" s="98"/>
      <c r="C48" s="99" t="s">
        <v>267</v>
      </c>
      <c r="D48" s="46"/>
      <c r="E48" s="46"/>
      <c r="F48" s="46"/>
      <c r="G48" s="46"/>
      <c r="H48" s="46"/>
      <c r="I48" s="46"/>
      <c r="J48" s="46"/>
      <c r="K48" s="46"/>
      <c r="L48" s="102"/>
      <c r="M48" s="102"/>
      <c r="N48" s="102"/>
      <c r="O48" s="102"/>
      <c r="P48" s="102"/>
      <c r="Q48" s="102"/>
      <c r="R48" s="102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spans="1:28" ht="13" thickBo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102"/>
      <c r="M49" s="102"/>
      <c r="N49" s="102"/>
      <c r="O49" s="102"/>
      <c r="P49" s="102"/>
      <c r="Q49" s="102"/>
      <c r="R49" s="102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 spans="1:28" ht="13" thickBo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102"/>
      <c r="M50" s="102"/>
      <c r="N50" s="102"/>
      <c r="O50" s="102"/>
      <c r="P50" s="102"/>
      <c r="Q50" s="102"/>
      <c r="R50" s="102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 spans="1:28" ht="13" thickBo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102"/>
      <c r="M51" s="102"/>
      <c r="N51" s="102"/>
      <c r="O51" s="102"/>
      <c r="P51" s="102"/>
      <c r="Q51" s="102"/>
      <c r="R51" s="102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 spans="1:28" ht="13" thickBo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102"/>
      <c r="M52" s="102"/>
      <c r="N52" s="102"/>
      <c r="O52" s="102"/>
      <c r="P52" s="102"/>
      <c r="Q52" s="102"/>
      <c r="R52" s="102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 spans="1:28" ht="13" thickBo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102"/>
      <c r="M53" s="102"/>
      <c r="N53" s="102"/>
      <c r="O53" s="102"/>
      <c r="P53" s="102"/>
      <c r="Q53" s="102"/>
      <c r="R53" s="102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 spans="1:28" ht="13" thickBo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102"/>
      <c r="M54" s="102"/>
      <c r="N54" s="102"/>
      <c r="O54" s="102"/>
      <c r="P54" s="102"/>
      <c r="Q54" s="102"/>
      <c r="R54" s="102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28" ht="13" thickBo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102"/>
      <c r="M55" s="102"/>
      <c r="N55" s="102"/>
      <c r="O55" s="102"/>
      <c r="P55" s="102"/>
      <c r="Q55" s="102"/>
      <c r="R55" s="102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spans="1:28" ht="13" thickBo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102"/>
      <c r="M56" s="102"/>
      <c r="N56" s="102"/>
      <c r="O56" s="102"/>
      <c r="P56" s="102"/>
      <c r="Q56" s="102"/>
      <c r="R56" s="102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 spans="1:28" ht="13" thickBo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102"/>
      <c r="M57" s="102"/>
      <c r="N57" s="102"/>
      <c r="O57" s="102"/>
      <c r="P57" s="102"/>
      <c r="Q57" s="102"/>
      <c r="R57" s="102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 spans="1:28" ht="13" thickBo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102"/>
      <c r="M58" s="102"/>
      <c r="N58" s="102"/>
      <c r="O58" s="102"/>
      <c r="P58" s="102"/>
      <c r="Q58" s="102"/>
      <c r="R58" s="102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spans="1:28" ht="13" thickBo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102"/>
      <c r="M59" s="102"/>
      <c r="N59" s="102"/>
      <c r="O59" s="102"/>
      <c r="P59" s="102"/>
      <c r="Q59" s="102"/>
      <c r="R59" s="102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 spans="1:28" ht="13" thickBo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102"/>
      <c r="M60" s="102"/>
      <c r="N60" s="102"/>
      <c r="O60" s="102"/>
      <c r="P60" s="102"/>
      <c r="Q60" s="102"/>
      <c r="R60" s="102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spans="1:28" ht="13" thickBo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102"/>
      <c r="M61" s="102"/>
      <c r="N61" s="102"/>
      <c r="O61" s="102"/>
      <c r="P61" s="102"/>
      <c r="Q61" s="102"/>
      <c r="R61" s="102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spans="1:28" ht="13" thickBo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102"/>
      <c r="M62" s="102"/>
      <c r="N62" s="102"/>
      <c r="O62" s="102"/>
      <c r="P62" s="102"/>
      <c r="Q62" s="102"/>
      <c r="R62" s="102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 spans="1:28" ht="13" thickBo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102"/>
      <c r="M63" s="102"/>
      <c r="N63" s="102"/>
      <c r="O63" s="102"/>
      <c r="P63" s="102"/>
      <c r="Q63" s="102"/>
      <c r="R63" s="102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spans="1:28" ht="13" thickBo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102"/>
      <c r="M64" s="102"/>
      <c r="N64" s="102"/>
      <c r="O64" s="102"/>
      <c r="P64" s="102"/>
      <c r="Q64" s="102"/>
      <c r="R64" s="102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 spans="1:28" ht="13" thickBo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102"/>
      <c r="M65" s="102"/>
      <c r="N65" s="102"/>
      <c r="O65" s="102"/>
      <c r="P65" s="102"/>
      <c r="Q65" s="102"/>
      <c r="R65" s="102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 spans="1:28" ht="13" thickBo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102"/>
      <c r="M66" s="102"/>
      <c r="N66" s="102"/>
      <c r="O66" s="102"/>
      <c r="P66" s="102"/>
      <c r="Q66" s="102"/>
      <c r="R66" s="102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:28" ht="13" thickBo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102"/>
      <c r="M67" s="102"/>
      <c r="N67" s="102"/>
      <c r="O67" s="102"/>
      <c r="P67" s="102"/>
      <c r="Q67" s="102"/>
      <c r="R67" s="102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 spans="1:28" ht="13" thickBo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102"/>
      <c r="M68" s="102"/>
      <c r="N68" s="102"/>
      <c r="O68" s="102"/>
      <c r="P68" s="102"/>
      <c r="Q68" s="102"/>
      <c r="R68" s="102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spans="1:28" ht="13" thickBo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102"/>
      <c r="M69" s="102"/>
      <c r="N69" s="102"/>
      <c r="O69" s="102"/>
      <c r="P69" s="102"/>
      <c r="Q69" s="102"/>
      <c r="R69" s="102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 spans="1:28" ht="13" thickBo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102"/>
      <c r="M70" s="102"/>
      <c r="N70" s="102"/>
      <c r="O70" s="102"/>
      <c r="P70" s="102"/>
      <c r="Q70" s="102"/>
      <c r="R70" s="102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 spans="1:28" ht="13" thickBo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102"/>
      <c r="M71" s="102"/>
      <c r="N71" s="102"/>
      <c r="O71" s="102"/>
      <c r="P71" s="102"/>
      <c r="Q71" s="102"/>
      <c r="R71" s="102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 spans="1:28" ht="13" thickBo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102"/>
      <c r="M72" s="102"/>
      <c r="N72" s="102"/>
      <c r="O72" s="102"/>
      <c r="P72" s="102"/>
      <c r="Q72" s="102"/>
      <c r="R72" s="102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 spans="1:28" ht="13" thickBo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102"/>
      <c r="M73" s="102"/>
      <c r="N73" s="102"/>
      <c r="O73" s="102"/>
      <c r="P73" s="102"/>
      <c r="Q73" s="102"/>
      <c r="R73" s="102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 spans="1:28" ht="13" thickBo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102"/>
      <c r="M74" s="102"/>
      <c r="N74" s="102"/>
      <c r="O74" s="102"/>
      <c r="P74" s="102"/>
      <c r="Q74" s="102"/>
      <c r="R74" s="102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 spans="1:28" ht="13" thickBo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102"/>
      <c r="M75" s="102"/>
      <c r="N75" s="102"/>
      <c r="O75" s="102"/>
      <c r="P75" s="102"/>
      <c r="Q75" s="102"/>
      <c r="R75" s="102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 spans="1:28" ht="13" thickBo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102"/>
      <c r="M76" s="102"/>
      <c r="N76" s="102"/>
      <c r="O76" s="102"/>
      <c r="P76" s="102"/>
      <c r="Q76" s="102"/>
      <c r="R76" s="102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 spans="1:28" ht="13" thickBo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102"/>
      <c r="M77" s="102"/>
      <c r="N77" s="102"/>
      <c r="O77" s="102"/>
      <c r="P77" s="102"/>
      <c r="Q77" s="102"/>
      <c r="R77" s="102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 spans="1:28" ht="13" thickBo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102"/>
      <c r="M78" s="102"/>
      <c r="N78" s="102"/>
      <c r="O78" s="102"/>
      <c r="P78" s="102"/>
      <c r="Q78" s="102"/>
      <c r="R78" s="102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 spans="1:28" ht="13" thickBo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102"/>
      <c r="M79" s="102"/>
      <c r="N79" s="102"/>
      <c r="O79" s="102"/>
      <c r="P79" s="102"/>
      <c r="Q79" s="102"/>
      <c r="R79" s="102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 spans="1:28" ht="13" thickBo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102"/>
      <c r="M80" s="102"/>
      <c r="N80" s="102"/>
      <c r="O80" s="102"/>
      <c r="P80" s="102"/>
      <c r="Q80" s="102"/>
      <c r="R80" s="102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 spans="1:28" ht="13" thickBo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102"/>
      <c r="M81" s="102"/>
      <c r="N81" s="102"/>
      <c r="O81" s="102"/>
      <c r="P81" s="102"/>
      <c r="Q81" s="102"/>
      <c r="R81" s="102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 spans="1:28" ht="13" thickBo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102"/>
      <c r="M82" s="102"/>
      <c r="N82" s="102"/>
      <c r="O82" s="102"/>
      <c r="P82" s="102"/>
      <c r="Q82" s="102"/>
      <c r="R82" s="102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 spans="1:28" ht="13" thickBo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102"/>
      <c r="M83" s="102"/>
      <c r="N83" s="102"/>
      <c r="O83" s="102"/>
      <c r="P83" s="102"/>
      <c r="Q83" s="102"/>
      <c r="R83" s="102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 spans="1:28" ht="13" thickBo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102"/>
      <c r="M84" s="102"/>
      <c r="N84" s="102"/>
      <c r="O84" s="102"/>
      <c r="P84" s="102"/>
      <c r="Q84" s="102"/>
      <c r="R84" s="102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 spans="1:28" ht="13" thickBo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102"/>
      <c r="M85" s="102"/>
      <c r="N85" s="102"/>
      <c r="O85" s="102"/>
      <c r="P85" s="102"/>
      <c r="Q85" s="102"/>
      <c r="R85" s="102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 spans="1:28" ht="13" thickBo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102"/>
      <c r="M86" s="102"/>
      <c r="N86" s="102"/>
      <c r="O86" s="102"/>
      <c r="P86" s="102"/>
      <c r="Q86" s="102"/>
      <c r="R86" s="102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 spans="1:28" ht="13" thickBo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102"/>
      <c r="M87" s="102"/>
      <c r="N87" s="102"/>
      <c r="O87" s="102"/>
      <c r="P87" s="102"/>
      <c r="Q87" s="102"/>
      <c r="R87" s="102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 spans="1:28" ht="13" thickBo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102"/>
      <c r="M88" s="102"/>
      <c r="N88" s="102"/>
      <c r="O88" s="102"/>
      <c r="P88" s="102"/>
      <c r="Q88" s="102"/>
      <c r="R88" s="102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 spans="1:28" ht="13" thickBo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102"/>
      <c r="M89" s="102"/>
      <c r="N89" s="102"/>
      <c r="O89" s="102"/>
      <c r="P89" s="102"/>
      <c r="Q89" s="102"/>
      <c r="R89" s="102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 spans="1:28" ht="13" thickBo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102"/>
      <c r="M90" s="102"/>
      <c r="N90" s="102"/>
      <c r="O90" s="102"/>
      <c r="P90" s="102"/>
      <c r="Q90" s="102"/>
      <c r="R90" s="102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 spans="1:28" ht="13" thickBo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102"/>
      <c r="M91" s="102"/>
      <c r="N91" s="102"/>
      <c r="O91" s="102"/>
      <c r="P91" s="102"/>
      <c r="Q91" s="102"/>
      <c r="R91" s="102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 spans="1:28" ht="13" thickBo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102"/>
      <c r="M92" s="102"/>
      <c r="N92" s="102"/>
      <c r="O92" s="102"/>
      <c r="P92" s="102"/>
      <c r="Q92" s="102"/>
      <c r="R92" s="102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 spans="1:28" ht="13" thickBo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102"/>
      <c r="M93" s="102"/>
      <c r="N93" s="102"/>
      <c r="O93" s="102"/>
      <c r="P93" s="102"/>
      <c r="Q93" s="102"/>
      <c r="R93" s="102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 spans="1:28" ht="13" thickBo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102"/>
      <c r="M94" s="102"/>
      <c r="N94" s="102"/>
      <c r="O94" s="102"/>
      <c r="P94" s="102"/>
      <c r="Q94" s="102"/>
      <c r="R94" s="102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 spans="1:28" ht="13" thickBo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102"/>
      <c r="M95" s="102"/>
      <c r="N95" s="102"/>
      <c r="O95" s="102"/>
      <c r="P95" s="102"/>
      <c r="Q95" s="102"/>
      <c r="R95" s="102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 spans="1:28" ht="13" thickBo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102"/>
      <c r="M96" s="102"/>
      <c r="N96" s="102"/>
      <c r="O96" s="102"/>
      <c r="P96" s="102"/>
      <c r="Q96" s="102"/>
      <c r="R96" s="102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 spans="1:28" ht="13" thickBo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102"/>
      <c r="M97" s="102"/>
      <c r="N97" s="102"/>
      <c r="O97" s="102"/>
      <c r="P97" s="102"/>
      <c r="Q97" s="102"/>
      <c r="R97" s="102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 spans="1:28" ht="13" thickBo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102"/>
      <c r="M98" s="102"/>
      <c r="N98" s="102"/>
      <c r="O98" s="102"/>
      <c r="P98" s="102"/>
      <c r="Q98" s="102"/>
      <c r="R98" s="102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 spans="1:28" ht="13" thickBo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102"/>
      <c r="M99" s="102"/>
      <c r="N99" s="102"/>
      <c r="O99" s="102"/>
      <c r="P99" s="102"/>
      <c r="Q99" s="102"/>
      <c r="R99" s="102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 spans="1:28" ht="13" thickBo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102"/>
      <c r="M100" s="102"/>
      <c r="N100" s="102"/>
      <c r="O100" s="102"/>
      <c r="P100" s="102"/>
      <c r="Q100" s="102"/>
      <c r="R100" s="102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 spans="1:28" ht="13" thickBo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102"/>
      <c r="M101" s="102"/>
      <c r="N101" s="102"/>
      <c r="O101" s="102"/>
      <c r="P101" s="102"/>
      <c r="Q101" s="102"/>
      <c r="R101" s="102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 spans="1:28" ht="13" thickBo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102"/>
      <c r="M102" s="102"/>
      <c r="N102" s="102"/>
      <c r="O102" s="102"/>
      <c r="P102" s="102"/>
      <c r="Q102" s="102"/>
      <c r="R102" s="102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 spans="1:28" ht="13" thickBo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102"/>
      <c r="M103" s="102"/>
      <c r="N103" s="102"/>
      <c r="O103" s="102"/>
      <c r="P103" s="102"/>
      <c r="Q103" s="102"/>
      <c r="R103" s="102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 spans="1:28" ht="13" thickBo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102"/>
      <c r="M104" s="102"/>
      <c r="N104" s="102"/>
      <c r="O104" s="102"/>
      <c r="P104" s="102"/>
      <c r="Q104" s="102"/>
      <c r="R104" s="102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 spans="1:28" ht="13" thickBo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102"/>
      <c r="M105" s="102"/>
      <c r="N105" s="102"/>
      <c r="O105" s="102"/>
      <c r="P105" s="102"/>
      <c r="Q105" s="102"/>
      <c r="R105" s="102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 spans="1:28" ht="13" thickBo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102"/>
      <c r="M106" s="102"/>
      <c r="N106" s="102"/>
      <c r="O106" s="102"/>
      <c r="P106" s="102"/>
      <c r="Q106" s="102"/>
      <c r="R106" s="102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 spans="1:28" ht="13" thickBo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102"/>
      <c r="M107" s="102"/>
      <c r="N107" s="102"/>
      <c r="O107" s="102"/>
      <c r="P107" s="102"/>
      <c r="Q107" s="102"/>
      <c r="R107" s="102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 spans="1:28" ht="13" thickBo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102"/>
      <c r="M108" s="102"/>
      <c r="N108" s="102"/>
      <c r="O108" s="102"/>
      <c r="P108" s="102"/>
      <c r="Q108" s="102"/>
      <c r="R108" s="102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 spans="1:28" ht="13" thickBo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102"/>
      <c r="M109" s="102"/>
      <c r="N109" s="102"/>
      <c r="O109" s="102"/>
      <c r="P109" s="102"/>
      <c r="Q109" s="102"/>
      <c r="R109" s="102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 spans="1:28" ht="13" thickBo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102"/>
      <c r="M110" s="102"/>
      <c r="N110" s="102"/>
      <c r="O110" s="102"/>
      <c r="P110" s="102"/>
      <c r="Q110" s="102"/>
      <c r="R110" s="102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 spans="1:28" ht="13" thickBo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102"/>
      <c r="M111" s="102"/>
      <c r="N111" s="102"/>
      <c r="O111" s="102"/>
      <c r="P111" s="102"/>
      <c r="Q111" s="102"/>
      <c r="R111" s="102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 spans="1:28" ht="13" thickBo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102"/>
      <c r="M112" s="102"/>
      <c r="N112" s="102"/>
      <c r="O112" s="102"/>
      <c r="P112" s="102"/>
      <c r="Q112" s="102"/>
      <c r="R112" s="102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spans="1:28" ht="13" thickBo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102"/>
      <c r="M113" s="102"/>
      <c r="N113" s="102"/>
      <c r="O113" s="102"/>
      <c r="P113" s="102"/>
      <c r="Q113" s="102"/>
      <c r="R113" s="102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spans="1:28" ht="13" thickBo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102"/>
      <c r="M114" s="102"/>
      <c r="N114" s="102"/>
      <c r="O114" s="102"/>
      <c r="P114" s="102"/>
      <c r="Q114" s="102"/>
      <c r="R114" s="102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spans="1:28" ht="13" thickBo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102"/>
      <c r="M115" s="102"/>
      <c r="N115" s="102"/>
      <c r="O115" s="102"/>
      <c r="P115" s="102"/>
      <c r="Q115" s="102"/>
      <c r="R115" s="102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spans="1:28" ht="13" thickBo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102"/>
      <c r="M116" s="102"/>
      <c r="N116" s="102"/>
      <c r="O116" s="102"/>
      <c r="P116" s="102"/>
      <c r="Q116" s="102"/>
      <c r="R116" s="102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spans="1:28" ht="13" thickBo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102"/>
      <c r="M117" s="102"/>
      <c r="N117" s="102"/>
      <c r="O117" s="102"/>
      <c r="P117" s="102"/>
      <c r="Q117" s="102"/>
      <c r="R117" s="102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 spans="1:28" ht="13" thickBo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102"/>
      <c r="M118" s="102"/>
      <c r="N118" s="102"/>
      <c r="O118" s="102"/>
      <c r="P118" s="102"/>
      <c r="Q118" s="102"/>
      <c r="R118" s="102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 spans="1:28" ht="13" thickBo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102"/>
      <c r="M119" s="102"/>
      <c r="N119" s="102"/>
      <c r="O119" s="102"/>
      <c r="P119" s="102"/>
      <c r="Q119" s="102"/>
      <c r="R119" s="102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 spans="1:28" ht="13" thickBo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102"/>
      <c r="M120" s="102"/>
      <c r="N120" s="102"/>
      <c r="O120" s="102"/>
      <c r="P120" s="102"/>
      <c r="Q120" s="102"/>
      <c r="R120" s="102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 spans="1:28" ht="13" thickBo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102"/>
      <c r="M121" s="102"/>
      <c r="N121" s="102"/>
      <c r="O121" s="102"/>
      <c r="P121" s="102"/>
      <c r="Q121" s="102"/>
      <c r="R121" s="102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 spans="1:28" ht="13" thickBo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102"/>
      <c r="M122" s="102"/>
      <c r="N122" s="102"/>
      <c r="O122" s="102"/>
      <c r="P122" s="102"/>
      <c r="Q122" s="102"/>
      <c r="R122" s="102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 spans="1:28" ht="13" thickBo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102"/>
      <c r="M123" s="102"/>
      <c r="N123" s="102"/>
      <c r="O123" s="102"/>
      <c r="P123" s="102"/>
      <c r="Q123" s="102"/>
      <c r="R123" s="102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 spans="1:28" ht="13" thickBo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102"/>
      <c r="M124" s="102"/>
      <c r="N124" s="102"/>
      <c r="O124" s="102"/>
      <c r="P124" s="102"/>
      <c r="Q124" s="102"/>
      <c r="R124" s="102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 spans="1:28" ht="13" thickBo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102"/>
      <c r="M125" s="102"/>
      <c r="N125" s="102"/>
      <c r="O125" s="102"/>
      <c r="P125" s="102"/>
      <c r="Q125" s="102"/>
      <c r="R125" s="102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spans="1:28" ht="13" thickBo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102"/>
      <c r="M126" s="102"/>
      <c r="N126" s="102"/>
      <c r="O126" s="102"/>
      <c r="P126" s="102"/>
      <c r="Q126" s="102"/>
      <c r="R126" s="102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 spans="1:28" ht="13" thickBo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102"/>
      <c r="M127" s="102"/>
      <c r="N127" s="102"/>
      <c r="O127" s="102"/>
      <c r="P127" s="102"/>
      <c r="Q127" s="102"/>
      <c r="R127" s="102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 spans="1:28" ht="13" thickBo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102"/>
      <c r="M128" s="102"/>
      <c r="N128" s="102"/>
      <c r="O128" s="102"/>
      <c r="P128" s="102"/>
      <c r="Q128" s="102"/>
      <c r="R128" s="102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 spans="1:28" ht="13" thickBo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102"/>
      <c r="M129" s="102"/>
      <c r="N129" s="102"/>
      <c r="O129" s="102"/>
      <c r="P129" s="102"/>
      <c r="Q129" s="102"/>
      <c r="R129" s="102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 spans="1:28" ht="13" thickBo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102"/>
      <c r="M130" s="102"/>
      <c r="N130" s="102"/>
      <c r="O130" s="102"/>
      <c r="P130" s="102"/>
      <c r="Q130" s="102"/>
      <c r="R130" s="102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spans="1:28" ht="13" thickBo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102"/>
      <c r="M131" s="102"/>
      <c r="N131" s="102"/>
      <c r="O131" s="102"/>
      <c r="P131" s="102"/>
      <c r="Q131" s="102"/>
      <c r="R131" s="102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spans="1:28" ht="13" thickBo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102"/>
      <c r="M132" s="102"/>
      <c r="N132" s="102"/>
      <c r="O132" s="102"/>
      <c r="P132" s="102"/>
      <c r="Q132" s="102"/>
      <c r="R132" s="102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 spans="1:28" ht="13" thickBo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102"/>
      <c r="M133" s="102"/>
      <c r="N133" s="102"/>
      <c r="O133" s="102"/>
      <c r="P133" s="102"/>
      <c r="Q133" s="102"/>
      <c r="R133" s="102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 spans="1:28" ht="13" thickBo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102"/>
      <c r="M134" s="102"/>
      <c r="N134" s="102"/>
      <c r="O134" s="102"/>
      <c r="P134" s="102"/>
      <c r="Q134" s="102"/>
      <c r="R134" s="102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 spans="1:28" ht="13" thickBo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102"/>
      <c r="M135" s="102"/>
      <c r="N135" s="102"/>
      <c r="O135" s="102"/>
      <c r="P135" s="102"/>
      <c r="Q135" s="102"/>
      <c r="R135" s="102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 spans="1:28" ht="13" thickBo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102"/>
      <c r="M136" s="102"/>
      <c r="N136" s="102"/>
      <c r="O136" s="102"/>
      <c r="P136" s="102"/>
      <c r="Q136" s="102"/>
      <c r="R136" s="102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 spans="1:28" ht="13" thickBo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102"/>
      <c r="M137" s="102"/>
      <c r="N137" s="102"/>
      <c r="O137" s="102"/>
      <c r="P137" s="102"/>
      <c r="Q137" s="102"/>
      <c r="R137" s="102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spans="1:28" ht="13" thickBo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102"/>
      <c r="M138" s="102"/>
      <c r="N138" s="102"/>
      <c r="O138" s="102"/>
      <c r="P138" s="102"/>
      <c r="Q138" s="102"/>
      <c r="R138" s="102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 spans="1:28" ht="13" thickBo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102"/>
      <c r="M139" s="102"/>
      <c r="N139" s="102"/>
      <c r="O139" s="102"/>
      <c r="P139" s="102"/>
      <c r="Q139" s="102"/>
      <c r="R139" s="102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 spans="1:28" ht="13" thickBo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102"/>
      <c r="M140" s="102"/>
      <c r="N140" s="102"/>
      <c r="O140" s="102"/>
      <c r="P140" s="102"/>
      <c r="Q140" s="102"/>
      <c r="R140" s="102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 spans="1:28" ht="13" thickBo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102"/>
      <c r="M141" s="102"/>
      <c r="N141" s="102"/>
      <c r="O141" s="102"/>
      <c r="P141" s="102"/>
      <c r="Q141" s="102"/>
      <c r="R141" s="102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 spans="1:28" ht="13" thickBo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102"/>
      <c r="M142" s="102"/>
      <c r="N142" s="102"/>
      <c r="O142" s="102"/>
      <c r="P142" s="102"/>
      <c r="Q142" s="102"/>
      <c r="R142" s="102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 spans="1:28" ht="13" thickBo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102"/>
      <c r="M143" s="102"/>
      <c r="N143" s="102"/>
      <c r="O143" s="102"/>
      <c r="P143" s="102"/>
      <c r="Q143" s="102"/>
      <c r="R143" s="102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 spans="1:28" ht="13" thickBo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102"/>
      <c r="M144" s="102"/>
      <c r="N144" s="102"/>
      <c r="O144" s="102"/>
      <c r="P144" s="102"/>
      <c r="Q144" s="102"/>
      <c r="R144" s="102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 spans="1:28" ht="13" thickBo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102"/>
      <c r="M145" s="102"/>
      <c r="N145" s="102"/>
      <c r="O145" s="102"/>
      <c r="P145" s="102"/>
      <c r="Q145" s="102"/>
      <c r="R145" s="102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 spans="1:28" ht="13" thickBo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102"/>
      <c r="M146" s="102"/>
      <c r="N146" s="102"/>
      <c r="O146" s="102"/>
      <c r="P146" s="102"/>
      <c r="Q146" s="102"/>
      <c r="R146" s="102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 spans="1:28" ht="13" thickBo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102"/>
      <c r="M147" s="102"/>
      <c r="N147" s="102"/>
      <c r="O147" s="102"/>
      <c r="P147" s="102"/>
      <c r="Q147" s="102"/>
      <c r="R147" s="102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 spans="1:28" ht="13" thickBo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102"/>
      <c r="M148" s="102"/>
      <c r="N148" s="102"/>
      <c r="O148" s="102"/>
      <c r="P148" s="102"/>
      <c r="Q148" s="102"/>
      <c r="R148" s="102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 spans="1:28" ht="13" thickBo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102"/>
      <c r="M149" s="102"/>
      <c r="N149" s="102"/>
      <c r="O149" s="102"/>
      <c r="P149" s="102"/>
      <c r="Q149" s="102"/>
      <c r="R149" s="102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 spans="1:28" ht="13" thickBo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102"/>
      <c r="M150" s="102"/>
      <c r="N150" s="102"/>
      <c r="O150" s="102"/>
      <c r="P150" s="102"/>
      <c r="Q150" s="102"/>
      <c r="R150" s="102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 spans="1:28" ht="13" thickBo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102"/>
      <c r="M151" s="102"/>
      <c r="N151" s="102"/>
      <c r="O151" s="102"/>
      <c r="P151" s="102"/>
      <c r="Q151" s="102"/>
      <c r="R151" s="102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 spans="1:28" ht="13" thickBo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102"/>
      <c r="M152" s="102"/>
      <c r="N152" s="102"/>
      <c r="O152" s="102"/>
      <c r="P152" s="102"/>
      <c r="Q152" s="102"/>
      <c r="R152" s="102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 spans="1:28" ht="13" thickBo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102"/>
      <c r="M153" s="102"/>
      <c r="N153" s="102"/>
      <c r="O153" s="102"/>
      <c r="P153" s="102"/>
      <c r="Q153" s="102"/>
      <c r="R153" s="102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 spans="1:28" ht="13" thickBo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102"/>
      <c r="M154" s="102"/>
      <c r="N154" s="102"/>
      <c r="O154" s="102"/>
      <c r="P154" s="102"/>
      <c r="Q154" s="102"/>
      <c r="R154" s="102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 spans="1:28" ht="13" thickBo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102"/>
      <c r="M155" s="102"/>
      <c r="N155" s="102"/>
      <c r="O155" s="102"/>
      <c r="P155" s="102"/>
      <c r="Q155" s="102"/>
      <c r="R155" s="102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 spans="1:28" ht="13" thickBo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102"/>
      <c r="M156" s="102"/>
      <c r="N156" s="102"/>
      <c r="O156" s="102"/>
      <c r="P156" s="102"/>
      <c r="Q156" s="102"/>
      <c r="R156" s="102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 spans="1:28" ht="13" thickBo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102"/>
      <c r="M157" s="102"/>
      <c r="N157" s="102"/>
      <c r="O157" s="102"/>
      <c r="P157" s="102"/>
      <c r="Q157" s="102"/>
      <c r="R157" s="102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 spans="1:28" ht="13" thickBo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102"/>
      <c r="M158" s="102"/>
      <c r="N158" s="102"/>
      <c r="O158" s="102"/>
      <c r="P158" s="102"/>
      <c r="Q158" s="102"/>
      <c r="R158" s="102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 spans="1:28" ht="13" thickBo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102"/>
      <c r="M159" s="102"/>
      <c r="N159" s="102"/>
      <c r="O159" s="102"/>
      <c r="P159" s="102"/>
      <c r="Q159" s="102"/>
      <c r="R159" s="102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 spans="1:28" ht="13" thickBo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102"/>
      <c r="M160" s="102"/>
      <c r="N160" s="102"/>
      <c r="O160" s="102"/>
      <c r="P160" s="102"/>
      <c r="Q160" s="102"/>
      <c r="R160" s="102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spans="1:28" ht="13" thickBo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102"/>
      <c r="M161" s="102"/>
      <c r="N161" s="102"/>
      <c r="O161" s="102"/>
      <c r="P161" s="102"/>
      <c r="Q161" s="102"/>
      <c r="R161" s="102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spans="1:28" ht="13" thickBo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102"/>
      <c r="M162" s="102"/>
      <c r="N162" s="102"/>
      <c r="O162" s="102"/>
      <c r="P162" s="102"/>
      <c r="Q162" s="102"/>
      <c r="R162" s="102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spans="1:28" ht="13" thickBo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102"/>
      <c r="M163" s="102"/>
      <c r="N163" s="102"/>
      <c r="O163" s="102"/>
      <c r="P163" s="102"/>
      <c r="Q163" s="102"/>
      <c r="R163" s="102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spans="1:28" ht="13" thickBo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102"/>
      <c r="M164" s="102"/>
      <c r="N164" s="102"/>
      <c r="O164" s="102"/>
      <c r="P164" s="102"/>
      <c r="Q164" s="102"/>
      <c r="R164" s="102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spans="1:28" ht="13" thickBo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102"/>
      <c r="M165" s="102"/>
      <c r="N165" s="102"/>
      <c r="O165" s="102"/>
      <c r="P165" s="102"/>
      <c r="Q165" s="102"/>
      <c r="R165" s="102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spans="1:28" ht="13" thickBo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102"/>
      <c r="M166" s="102"/>
      <c r="N166" s="102"/>
      <c r="O166" s="102"/>
      <c r="P166" s="102"/>
      <c r="Q166" s="102"/>
      <c r="R166" s="102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spans="1:28" ht="13" thickBo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102"/>
      <c r="M167" s="102"/>
      <c r="N167" s="102"/>
      <c r="O167" s="102"/>
      <c r="P167" s="102"/>
      <c r="Q167" s="102"/>
      <c r="R167" s="102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spans="1:28" ht="13" thickBo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102"/>
      <c r="M168" s="102"/>
      <c r="N168" s="102"/>
      <c r="O168" s="102"/>
      <c r="P168" s="102"/>
      <c r="Q168" s="102"/>
      <c r="R168" s="102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spans="1:28" ht="13" thickBo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102"/>
      <c r="M169" s="102"/>
      <c r="N169" s="102"/>
      <c r="O169" s="102"/>
      <c r="P169" s="102"/>
      <c r="Q169" s="102"/>
      <c r="R169" s="102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spans="1:28" ht="13" thickBo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102"/>
      <c r="M170" s="102"/>
      <c r="N170" s="102"/>
      <c r="O170" s="102"/>
      <c r="P170" s="102"/>
      <c r="Q170" s="102"/>
      <c r="R170" s="102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spans="1:28" ht="13" thickBo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102"/>
      <c r="M171" s="102"/>
      <c r="N171" s="102"/>
      <c r="O171" s="102"/>
      <c r="P171" s="102"/>
      <c r="Q171" s="102"/>
      <c r="R171" s="102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 spans="1:28" ht="13" thickBo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102"/>
      <c r="M172" s="102"/>
      <c r="N172" s="102"/>
      <c r="O172" s="102"/>
      <c r="P172" s="102"/>
      <c r="Q172" s="102"/>
      <c r="R172" s="102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spans="1:28" ht="13" thickBo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102"/>
      <c r="M173" s="102"/>
      <c r="N173" s="102"/>
      <c r="O173" s="102"/>
      <c r="P173" s="102"/>
      <c r="Q173" s="102"/>
      <c r="R173" s="102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spans="1:28" ht="13" thickBo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102"/>
      <c r="M174" s="102"/>
      <c r="N174" s="102"/>
      <c r="O174" s="102"/>
      <c r="P174" s="102"/>
      <c r="Q174" s="102"/>
      <c r="R174" s="102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spans="1:28" ht="13" thickBo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102"/>
      <c r="M175" s="102"/>
      <c r="N175" s="102"/>
      <c r="O175" s="102"/>
      <c r="P175" s="102"/>
      <c r="Q175" s="102"/>
      <c r="R175" s="102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spans="1:28" ht="13" thickBo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102"/>
      <c r="M176" s="102"/>
      <c r="N176" s="102"/>
      <c r="O176" s="102"/>
      <c r="P176" s="102"/>
      <c r="Q176" s="102"/>
      <c r="R176" s="102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spans="1:28" ht="13" thickBo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102"/>
      <c r="M177" s="102"/>
      <c r="N177" s="102"/>
      <c r="O177" s="102"/>
      <c r="P177" s="102"/>
      <c r="Q177" s="102"/>
      <c r="R177" s="102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spans="1:28" ht="13" thickBo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102"/>
      <c r="M178" s="102"/>
      <c r="N178" s="102"/>
      <c r="O178" s="102"/>
      <c r="P178" s="102"/>
      <c r="Q178" s="102"/>
      <c r="R178" s="102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spans="1:28" ht="13" thickBo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102"/>
      <c r="M179" s="102"/>
      <c r="N179" s="102"/>
      <c r="O179" s="102"/>
      <c r="P179" s="102"/>
      <c r="Q179" s="102"/>
      <c r="R179" s="102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spans="1:28" ht="13" thickBo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102"/>
      <c r="M180" s="102"/>
      <c r="N180" s="102"/>
      <c r="O180" s="102"/>
      <c r="P180" s="102"/>
      <c r="Q180" s="102"/>
      <c r="R180" s="102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spans="1:28" ht="13" thickBo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102"/>
      <c r="M181" s="102"/>
      <c r="N181" s="102"/>
      <c r="O181" s="102"/>
      <c r="P181" s="102"/>
      <c r="Q181" s="102"/>
      <c r="R181" s="102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spans="1:28" ht="13" thickBo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102"/>
      <c r="M182" s="102"/>
      <c r="N182" s="102"/>
      <c r="O182" s="102"/>
      <c r="P182" s="102"/>
      <c r="Q182" s="102"/>
      <c r="R182" s="102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spans="1:28" ht="13" thickBo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102"/>
      <c r="M183" s="102"/>
      <c r="N183" s="102"/>
      <c r="O183" s="102"/>
      <c r="P183" s="102"/>
      <c r="Q183" s="102"/>
      <c r="R183" s="102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 spans="1:28" ht="13" thickBo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102"/>
      <c r="M184" s="102"/>
      <c r="N184" s="102"/>
      <c r="O184" s="102"/>
      <c r="P184" s="102"/>
      <c r="Q184" s="102"/>
      <c r="R184" s="102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spans="1:28" ht="13" thickBo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102"/>
      <c r="M185" s="102"/>
      <c r="N185" s="102"/>
      <c r="O185" s="102"/>
      <c r="P185" s="102"/>
      <c r="Q185" s="102"/>
      <c r="R185" s="102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spans="1:28" ht="13" thickBo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102"/>
      <c r="M186" s="102"/>
      <c r="N186" s="102"/>
      <c r="O186" s="102"/>
      <c r="P186" s="102"/>
      <c r="Q186" s="102"/>
      <c r="R186" s="102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spans="1:28" ht="13" thickBo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102"/>
      <c r="M187" s="102"/>
      <c r="N187" s="102"/>
      <c r="O187" s="102"/>
      <c r="P187" s="102"/>
      <c r="Q187" s="102"/>
      <c r="R187" s="102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spans="1:28" ht="13" thickBo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102"/>
      <c r="M188" s="102"/>
      <c r="N188" s="102"/>
      <c r="O188" s="102"/>
      <c r="P188" s="102"/>
      <c r="Q188" s="102"/>
      <c r="R188" s="102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spans="1:28" ht="13" thickBo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102"/>
      <c r="M189" s="102"/>
      <c r="N189" s="102"/>
      <c r="O189" s="102"/>
      <c r="P189" s="102"/>
      <c r="Q189" s="102"/>
      <c r="R189" s="102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spans="1:28" ht="13" thickBo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102"/>
      <c r="M190" s="102"/>
      <c r="N190" s="102"/>
      <c r="O190" s="102"/>
      <c r="P190" s="102"/>
      <c r="Q190" s="102"/>
      <c r="R190" s="102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spans="1:28" ht="13" thickBo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102"/>
      <c r="M191" s="102"/>
      <c r="N191" s="102"/>
      <c r="O191" s="102"/>
      <c r="P191" s="102"/>
      <c r="Q191" s="102"/>
      <c r="R191" s="102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spans="1:28" ht="13" thickBo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102"/>
      <c r="M192" s="102"/>
      <c r="N192" s="102"/>
      <c r="O192" s="102"/>
      <c r="P192" s="102"/>
      <c r="Q192" s="102"/>
      <c r="R192" s="102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spans="1:28" ht="13" thickBo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102"/>
      <c r="M193" s="102"/>
      <c r="N193" s="102"/>
      <c r="O193" s="102"/>
      <c r="P193" s="102"/>
      <c r="Q193" s="102"/>
      <c r="R193" s="102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spans="1:28" ht="13" thickBo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102"/>
      <c r="M194" s="102"/>
      <c r="N194" s="102"/>
      <c r="O194" s="102"/>
      <c r="P194" s="102"/>
      <c r="Q194" s="102"/>
      <c r="R194" s="102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spans="1:28" ht="13" thickBo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102"/>
      <c r="M195" s="102"/>
      <c r="N195" s="102"/>
      <c r="O195" s="102"/>
      <c r="P195" s="102"/>
      <c r="Q195" s="102"/>
      <c r="R195" s="102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spans="1:28" ht="13" thickBo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102"/>
      <c r="M196" s="102"/>
      <c r="N196" s="102"/>
      <c r="O196" s="102"/>
      <c r="P196" s="102"/>
      <c r="Q196" s="102"/>
      <c r="R196" s="102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 spans="1:28" ht="13" thickBo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102"/>
      <c r="M197" s="102"/>
      <c r="N197" s="102"/>
      <c r="O197" s="102"/>
      <c r="P197" s="102"/>
      <c r="Q197" s="102"/>
      <c r="R197" s="102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 spans="1:28" ht="13" thickBo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102"/>
      <c r="M198" s="102"/>
      <c r="N198" s="102"/>
      <c r="O198" s="102"/>
      <c r="P198" s="102"/>
      <c r="Q198" s="102"/>
      <c r="R198" s="102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 spans="1:28" ht="13" thickBo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102"/>
      <c r="M199" s="102"/>
      <c r="N199" s="102"/>
      <c r="O199" s="102"/>
      <c r="P199" s="102"/>
      <c r="Q199" s="102"/>
      <c r="R199" s="102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 spans="1:28" ht="13" thickBo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102"/>
      <c r="M200" s="102"/>
      <c r="N200" s="102"/>
      <c r="O200" s="102"/>
      <c r="P200" s="102"/>
      <c r="Q200" s="102"/>
      <c r="R200" s="102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 spans="1:28" ht="13" thickBo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102"/>
      <c r="M201" s="102"/>
      <c r="N201" s="102"/>
      <c r="O201" s="102"/>
      <c r="P201" s="102"/>
      <c r="Q201" s="102"/>
      <c r="R201" s="102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 spans="1:28" ht="13" thickBo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102"/>
      <c r="M202" s="102"/>
      <c r="N202" s="102"/>
      <c r="O202" s="102"/>
      <c r="P202" s="102"/>
      <c r="Q202" s="102"/>
      <c r="R202" s="102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 spans="1:28" ht="13" thickBo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102"/>
      <c r="M203" s="102"/>
      <c r="N203" s="102"/>
      <c r="O203" s="102"/>
      <c r="P203" s="102"/>
      <c r="Q203" s="102"/>
      <c r="R203" s="102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 spans="1:28" ht="13" thickBo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102"/>
      <c r="M204" s="102"/>
      <c r="N204" s="102"/>
      <c r="O204" s="102"/>
      <c r="P204" s="102"/>
      <c r="Q204" s="102"/>
      <c r="R204" s="102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 spans="1:28" ht="13" thickBo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102"/>
      <c r="M205" s="102"/>
      <c r="N205" s="102"/>
      <c r="O205" s="102"/>
      <c r="P205" s="102"/>
      <c r="Q205" s="102"/>
      <c r="R205" s="102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 spans="1:28" ht="13" thickBo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102"/>
      <c r="M206" s="102"/>
      <c r="N206" s="102"/>
      <c r="O206" s="102"/>
      <c r="P206" s="102"/>
      <c r="Q206" s="102"/>
      <c r="R206" s="102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 spans="1:28" ht="13" thickBo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102"/>
      <c r="M207" s="102"/>
      <c r="N207" s="102"/>
      <c r="O207" s="102"/>
      <c r="P207" s="102"/>
      <c r="Q207" s="102"/>
      <c r="R207" s="102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 spans="1:28" ht="13" thickBo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102"/>
      <c r="M208" s="102"/>
      <c r="N208" s="102"/>
      <c r="O208" s="102"/>
      <c r="P208" s="102"/>
      <c r="Q208" s="102"/>
      <c r="R208" s="102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 spans="1:28" ht="13" thickBo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102"/>
      <c r="M209" s="102"/>
      <c r="N209" s="102"/>
      <c r="O209" s="102"/>
      <c r="P209" s="102"/>
      <c r="Q209" s="102"/>
      <c r="R209" s="102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 spans="1:28" ht="13" thickBo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102"/>
      <c r="M210" s="102"/>
      <c r="N210" s="102"/>
      <c r="O210" s="102"/>
      <c r="P210" s="102"/>
      <c r="Q210" s="102"/>
      <c r="R210" s="102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 spans="1:28" ht="13" thickBo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102"/>
      <c r="M211" s="102"/>
      <c r="N211" s="102"/>
      <c r="O211" s="102"/>
      <c r="P211" s="102"/>
      <c r="Q211" s="102"/>
      <c r="R211" s="102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 spans="1:28" ht="13" thickBo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102"/>
      <c r="M212" s="102"/>
      <c r="N212" s="102"/>
      <c r="O212" s="102"/>
      <c r="P212" s="102"/>
      <c r="Q212" s="102"/>
      <c r="R212" s="102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 spans="1:28" ht="13" thickBo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102"/>
      <c r="M213" s="102"/>
      <c r="N213" s="102"/>
      <c r="O213" s="102"/>
      <c r="P213" s="102"/>
      <c r="Q213" s="102"/>
      <c r="R213" s="102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 spans="1:28" ht="13" thickBo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102"/>
      <c r="M214" s="102"/>
      <c r="N214" s="102"/>
      <c r="O214" s="102"/>
      <c r="P214" s="102"/>
      <c r="Q214" s="102"/>
      <c r="R214" s="102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 spans="1:28" ht="13" thickBo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102"/>
      <c r="M215" s="102"/>
      <c r="N215" s="102"/>
      <c r="O215" s="102"/>
      <c r="P215" s="102"/>
      <c r="Q215" s="102"/>
      <c r="R215" s="102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 spans="1:28" ht="13" thickBo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102"/>
      <c r="M216" s="102"/>
      <c r="N216" s="102"/>
      <c r="O216" s="102"/>
      <c r="P216" s="102"/>
      <c r="Q216" s="102"/>
      <c r="R216" s="102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 spans="1:28" ht="13" thickBo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102"/>
      <c r="M217" s="102"/>
      <c r="N217" s="102"/>
      <c r="O217" s="102"/>
      <c r="P217" s="102"/>
      <c r="Q217" s="102"/>
      <c r="R217" s="102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 spans="1:28" ht="13" thickBo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102"/>
      <c r="M218" s="102"/>
      <c r="N218" s="102"/>
      <c r="O218" s="102"/>
      <c r="P218" s="102"/>
      <c r="Q218" s="102"/>
      <c r="R218" s="102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 spans="1:28" ht="13" thickBo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102"/>
      <c r="M219" s="102"/>
      <c r="N219" s="102"/>
      <c r="O219" s="102"/>
      <c r="P219" s="102"/>
      <c r="Q219" s="102"/>
      <c r="R219" s="102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 spans="1:28" ht="13" thickBo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102"/>
      <c r="M220" s="102"/>
      <c r="N220" s="102"/>
      <c r="O220" s="102"/>
      <c r="P220" s="102"/>
      <c r="Q220" s="102"/>
      <c r="R220" s="102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 spans="1:28" ht="13" thickBo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102"/>
      <c r="M221" s="102"/>
      <c r="N221" s="102"/>
      <c r="O221" s="102"/>
      <c r="P221" s="102"/>
      <c r="Q221" s="102"/>
      <c r="R221" s="102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 spans="1:28" ht="13" thickBo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102"/>
      <c r="M222" s="102"/>
      <c r="N222" s="102"/>
      <c r="O222" s="102"/>
      <c r="P222" s="102"/>
      <c r="Q222" s="102"/>
      <c r="R222" s="102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 spans="1:28" ht="13" thickBo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102"/>
      <c r="M223" s="102"/>
      <c r="N223" s="102"/>
      <c r="O223" s="102"/>
      <c r="P223" s="102"/>
      <c r="Q223" s="102"/>
      <c r="R223" s="102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 spans="1:28" ht="13" thickBo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102"/>
      <c r="M224" s="102"/>
      <c r="N224" s="102"/>
      <c r="O224" s="102"/>
      <c r="P224" s="102"/>
      <c r="Q224" s="102"/>
      <c r="R224" s="102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 spans="1:28" ht="13" thickBo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102"/>
      <c r="M225" s="102"/>
      <c r="N225" s="102"/>
      <c r="O225" s="102"/>
      <c r="P225" s="102"/>
      <c r="Q225" s="102"/>
      <c r="R225" s="102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 spans="1:28" ht="13" thickBo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102"/>
      <c r="M226" s="102"/>
      <c r="N226" s="102"/>
      <c r="O226" s="102"/>
      <c r="P226" s="102"/>
      <c r="Q226" s="102"/>
      <c r="R226" s="102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spans="1:28" ht="13" thickBo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102"/>
      <c r="M227" s="102"/>
      <c r="N227" s="102"/>
      <c r="O227" s="102"/>
      <c r="P227" s="102"/>
      <c r="Q227" s="102"/>
      <c r="R227" s="102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 spans="1:28" ht="13" thickBo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102"/>
      <c r="M228" s="102"/>
      <c r="N228" s="102"/>
      <c r="O228" s="102"/>
      <c r="P228" s="102"/>
      <c r="Q228" s="102"/>
      <c r="R228" s="102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 spans="1:28" ht="13" thickBo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102"/>
      <c r="M229" s="102"/>
      <c r="N229" s="102"/>
      <c r="O229" s="102"/>
      <c r="P229" s="102"/>
      <c r="Q229" s="102"/>
      <c r="R229" s="102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 spans="1:28" ht="13" thickBo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102"/>
      <c r="M230" s="102"/>
      <c r="N230" s="102"/>
      <c r="O230" s="102"/>
      <c r="P230" s="102"/>
      <c r="Q230" s="102"/>
      <c r="R230" s="102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 spans="1:28" ht="13" thickBo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102"/>
      <c r="M231" s="102"/>
      <c r="N231" s="102"/>
      <c r="O231" s="102"/>
      <c r="P231" s="102"/>
      <c r="Q231" s="102"/>
      <c r="R231" s="102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 spans="1:28" ht="13" thickBo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102"/>
      <c r="M232" s="102"/>
      <c r="N232" s="102"/>
      <c r="O232" s="102"/>
      <c r="P232" s="102"/>
      <c r="Q232" s="102"/>
      <c r="R232" s="102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 spans="1:28" ht="13" thickBo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102"/>
      <c r="M233" s="102"/>
      <c r="N233" s="102"/>
      <c r="O233" s="102"/>
      <c r="P233" s="102"/>
      <c r="Q233" s="102"/>
      <c r="R233" s="102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 spans="1:28" ht="13" thickBo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102"/>
      <c r="M234" s="102"/>
      <c r="N234" s="102"/>
      <c r="O234" s="102"/>
      <c r="P234" s="102"/>
      <c r="Q234" s="102"/>
      <c r="R234" s="102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 spans="1:28" ht="13" thickBo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102"/>
      <c r="M235" s="102"/>
      <c r="N235" s="102"/>
      <c r="O235" s="102"/>
      <c r="P235" s="102"/>
      <c r="Q235" s="102"/>
      <c r="R235" s="102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 spans="1:28" ht="13" thickBo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102"/>
      <c r="M236" s="102"/>
      <c r="N236" s="102"/>
      <c r="O236" s="102"/>
      <c r="P236" s="102"/>
      <c r="Q236" s="102"/>
      <c r="R236" s="102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 spans="1:28" ht="13" thickBo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102"/>
      <c r="M237" s="102"/>
      <c r="N237" s="102"/>
      <c r="O237" s="102"/>
      <c r="P237" s="102"/>
      <c r="Q237" s="102"/>
      <c r="R237" s="102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 spans="1:28" ht="13" thickBo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102"/>
      <c r="M238" s="102"/>
      <c r="N238" s="102"/>
      <c r="O238" s="102"/>
      <c r="P238" s="102"/>
      <c r="Q238" s="102"/>
      <c r="R238" s="102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 spans="1:28" ht="13" thickBo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102"/>
      <c r="M239" s="102"/>
      <c r="N239" s="102"/>
      <c r="O239" s="102"/>
      <c r="P239" s="102"/>
      <c r="Q239" s="102"/>
      <c r="R239" s="102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 spans="1:28" ht="13" thickBo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102"/>
      <c r="M240" s="102"/>
      <c r="N240" s="102"/>
      <c r="O240" s="102"/>
      <c r="P240" s="102"/>
      <c r="Q240" s="102"/>
      <c r="R240" s="102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 spans="1:28" ht="13" thickBo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102"/>
      <c r="M241" s="102"/>
      <c r="N241" s="102"/>
      <c r="O241" s="102"/>
      <c r="P241" s="102"/>
      <c r="Q241" s="102"/>
      <c r="R241" s="102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 spans="1:28" ht="13" thickBo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102"/>
      <c r="M242" s="102"/>
      <c r="N242" s="102"/>
      <c r="O242" s="102"/>
      <c r="P242" s="102"/>
      <c r="Q242" s="102"/>
      <c r="R242" s="102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 spans="1:28" ht="13" thickBo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102"/>
      <c r="M243" s="102"/>
      <c r="N243" s="102"/>
      <c r="O243" s="102"/>
      <c r="P243" s="102"/>
      <c r="Q243" s="102"/>
      <c r="R243" s="102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 spans="1:28" ht="13" thickBo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102"/>
      <c r="M244" s="102"/>
      <c r="N244" s="102"/>
      <c r="O244" s="102"/>
      <c r="P244" s="102"/>
      <c r="Q244" s="102"/>
      <c r="R244" s="102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 spans="1:28" ht="13" thickBo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102"/>
      <c r="M245" s="102"/>
      <c r="N245" s="102"/>
      <c r="O245" s="102"/>
      <c r="P245" s="102"/>
      <c r="Q245" s="102"/>
      <c r="R245" s="102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 spans="1:28" ht="13" thickBo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102"/>
      <c r="M246" s="102"/>
      <c r="N246" s="102"/>
      <c r="O246" s="102"/>
      <c r="P246" s="102"/>
      <c r="Q246" s="102"/>
      <c r="R246" s="102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 spans="1:28" ht="13" thickBo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102"/>
      <c r="M247" s="102"/>
      <c r="N247" s="102"/>
      <c r="O247" s="102"/>
      <c r="P247" s="102"/>
      <c r="Q247" s="102"/>
      <c r="R247" s="102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 spans="1:28" ht="13" thickBo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102"/>
      <c r="M248" s="102"/>
      <c r="N248" s="102"/>
      <c r="O248" s="102"/>
      <c r="P248" s="102"/>
      <c r="Q248" s="102"/>
      <c r="R248" s="102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 spans="1:28" ht="13" thickBo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102"/>
      <c r="M249" s="102"/>
      <c r="N249" s="102"/>
      <c r="O249" s="102"/>
      <c r="P249" s="102"/>
      <c r="Q249" s="102"/>
      <c r="R249" s="102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 spans="1:28" ht="13" thickBo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102"/>
      <c r="M250" s="102"/>
      <c r="N250" s="102"/>
      <c r="O250" s="102"/>
      <c r="P250" s="102"/>
      <c r="Q250" s="102"/>
      <c r="R250" s="102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 spans="1:28" ht="13" thickBo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102"/>
      <c r="M251" s="102"/>
      <c r="N251" s="102"/>
      <c r="O251" s="102"/>
      <c r="P251" s="102"/>
      <c r="Q251" s="102"/>
      <c r="R251" s="102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 spans="1:28" ht="13" thickBo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102"/>
      <c r="M252" s="102"/>
      <c r="N252" s="102"/>
      <c r="O252" s="102"/>
      <c r="P252" s="102"/>
      <c r="Q252" s="102"/>
      <c r="R252" s="102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 spans="1:28" ht="13" thickBo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102"/>
      <c r="M253" s="102"/>
      <c r="N253" s="102"/>
      <c r="O253" s="102"/>
      <c r="P253" s="102"/>
      <c r="Q253" s="102"/>
      <c r="R253" s="102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 spans="1:28" ht="13" thickBo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102"/>
      <c r="M254" s="102"/>
      <c r="N254" s="102"/>
      <c r="O254" s="102"/>
      <c r="P254" s="102"/>
      <c r="Q254" s="102"/>
      <c r="R254" s="102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 spans="1:28" ht="13" thickBo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102"/>
      <c r="M255" s="102"/>
      <c r="N255" s="102"/>
      <c r="O255" s="102"/>
      <c r="P255" s="102"/>
      <c r="Q255" s="102"/>
      <c r="R255" s="102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 spans="1:28" ht="13" thickBo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102"/>
      <c r="M256" s="102"/>
      <c r="N256" s="102"/>
      <c r="O256" s="102"/>
      <c r="P256" s="102"/>
      <c r="Q256" s="102"/>
      <c r="R256" s="102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 spans="1:28" ht="13" thickBo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102"/>
      <c r="M257" s="102"/>
      <c r="N257" s="102"/>
      <c r="O257" s="102"/>
      <c r="P257" s="102"/>
      <c r="Q257" s="102"/>
      <c r="R257" s="102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 spans="1:28" ht="13" thickBo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102"/>
      <c r="M258" s="102"/>
      <c r="N258" s="102"/>
      <c r="O258" s="102"/>
      <c r="P258" s="102"/>
      <c r="Q258" s="102"/>
      <c r="R258" s="102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 spans="1:28" ht="13" thickBo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102"/>
      <c r="M259" s="102"/>
      <c r="N259" s="102"/>
      <c r="O259" s="102"/>
      <c r="P259" s="102"/>
      <c r="Q259" s="102"/>
      <c r="R259" s="102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spans="1:28" ht="13" thickBo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102"/>
      <c r="M260" s="102"/>
      <c r="N260" s="102"/>
      <c r="O260" s="102"/>
      <c r="P260" s="102"/>
      <c r="Q260" s="102"/>
      <c r="R260" s="102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spans="1:28" ht="13" thickBo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102"/>
      <c r="M261" s="102"/>
      <c r="N261" s="102"/>
      <c r="O261" s="102"/>
      <c r="P261" s="102"/>
      <c r="Q261" s="102"/>
      <c r="R261" s="102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 spans="1:28" ht="13" thickBo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102"/>
      <c r="M262" s="102"/>
      <c r="N262" s="102"/>
      <c r="O262" s="102"/>
      <c r="P262" s="102"/>
      <c r="Q262" s="102"/>
      <c r="R262" s="102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 spans="1:28" ht="13" thickBo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102"/>
      <c r="M263" s="102"/>
      <c r="N263" s="102"/>
      <c r="O263" s="102"/>
      <c r="P263" s="102"/>
      <c r="Q263" s="102"/>
      <c r="R263" s="102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 spans="1:28" ht="13" thickBo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102"/>
      <c r="M264" s="102"/>
      <c r="N264" s="102"/>
      <c r="O264" s="102"/>
      <c r="P264" s="102"/>
      <c r="Q264" s="102"/>
      <c r="R264" s="102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 spans="1:28" ht="13" thickBo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102"/>
      <c r="M265" s="102"/>
      <c r="N265" s="102"/>
      <c r="O265" s="102"/>
      <c r="P265" s="102"/>
      <c r="Q265" s="102"/>
      <c r="R265" s="102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 spans="1:28" ht="13" thickBo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102"/>
      <c r="M266" s="102"/>
      <c r="N266" s="102"/>
      <c r="O266" s="102"/>
      <c r="P266" s="102"/>
      <c r="Q266" s="102"/>
      <c r="R266" s="102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 spans="1:28" ht="13" thickBo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102"/>
      <c r="M267" s="102"/>
      <c r="N267" s="102"/>
      <c r="O267" s="102"/>
      <c r="P267" s="102"/>
      <c r="Q267" s="102"/>
      <c r="R267" s="102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 spans="1:28" ht="13" thickBo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102"/>
      <c r="M268" s="102"/>
      <c r="N268" s="102"/>
      <c r="O268" s="102"/>
      <c r="P268" s="102"/>
      <c r="Q268" s="102"/>
      <c r="R268" s="102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 spans="1:28" ht="13" thickBo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102"/>
      <c r="M269" s="102"/>
      <c r="N269" s="102"/>
      <c r="O269" s="102"/>
      <c r="P269" s="102"/>
      <c r="Q269" s="102"/>
      <c r="R269" s="102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 spans="1:28" ht="13" thickBo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102"/>
      <c r="M270" s="102"/>
      <c r="N270" s="102"/>
      <c r="O270" s="102"/>
      <c r="P270" s="102"/>
      <c r="Q270" s="102"/>
      <c r="R270" s="102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 spans="1:28" ht="13" thickBo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102"/>
      <c r="M271" s="102"/>
      <c r="N271" s="102"/>
      <c r="O271" s="102"/>
      <c r="P271" s="102"/>
      <c r="Q271" s="102"/>
      <c r="R271" s="102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 spans="1:28" ht="13" thickBo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102"/>
      <c r="M272" s="102"/>
      <c r="N272" s="102"/>
      <c r="O272" s="102"/>
      <c r="P272" s="102"/>
      <c r="Q272" s="102"/>
      <c r="R272" s="102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 spans="1:28" ht="13" thickBo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102"/>
      <c r="M273" s="102"/>
      <c r="N273" s="102"/>
      <c r="O273" s="102"/>
      <c r="P273" s="102"/>
      <c r="Q273" s="102"/>
      <c r="R273" s="102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 spans="1:28" ht="13" thickBo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102"/>
      <c r="M274" s="102"/>
      <c r="N274" s="102"/>
      <c r="O274" s="102"/>
      <c r="P274" s="102"/>
      <c r="Q274" s="102"/>
      <c r="R274" s="102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 spans="1:28" ht="13" thickBo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102"/>
      <c r="M275" s="102"/>
      <c r="N275" s="102"/>
      <c r="O275" s="102"/>
      <c r="P275" s="102"/>
      <c r="Q275" s="102"/>
      <c r="R275" s="102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 spans="1:28" ht="13" thickBo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102"/>
      <c r="M276" s="102"/>
      <c r="N276" s="102"/>
      <c r="O276" s="102"/>
      <c r="P276" s="102"/>
      <c r="Q276" s="102"/>
      <c r="R276" s="102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 spans="1:28" ht="13" thickBo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102"/>
      <c r="M277" s="102"/>
      <c r="N277" s="102"/>
      <c r="O277" s="102"/>
      <c r="P277" s="102"/>
      <c r="Q277" s="102"/>
      <c r="R277" s="102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 spans="1:28" ht="13" thickBo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102"/>
      <c r="M278" s="102"/>
      <c r="N278" s="102"/>
      <c r="O278" s="102"/>
      <c r="P278" s="102"/>
      <c r="Q278" s="102"/>
      <c r="R278" s="102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 spans="1:28" ht="13" thickBo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102"/>
      <c r="M279" s="102"/>
      <c r="N279" s="102"/>
      <c r="O279" s="102"/>
      <c r="P279" s="102"/>
      <c r="Q279" s="102"/>
      <c r="R279" s="102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 spans="1:28" ht="13" thickBo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102"/>
      <c r="M280" s="102"/>
      <c r="N280" s="102"/>
      <c r="O280" s="102"/>
      <c r="P280" s="102"/>
      <c r="Q280" s="102"/>
      <c r="R280" s="102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 spans="1:28" ht="13" thickBo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102"/>
      <c r="M281" s="102"/>
      <c r="N281" s="102"/>
      <c r="O281" s="102"/>
      <c r="P281" s="102"/>
      <c r="Q281" s="102"/>
      <c r="R281" s="102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 spans="1:28" ht="13" thickBo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102"/>
      <c r="M282" s="102"/>
      <c r="N282" s="102"/>
      <c r="O282" s="102"/>
      <c r="P282" s="102"/>
      <c r="Q282" s="102"/>
      <c r="R282" s="102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 spans="1:28" ht="13" thickBo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102"/>
      <c r="M283" s="102"/>
      <c r="N283" s="102"/>
      <c r="O283" s="102"/>
      <c r="P283" s="102"/>
      <c r="Q283" s="102"/>
      <c r="R283" s="102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 spans="1:28" ht="13" thickBo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102"/>
      <c r="M284" s="102"/>
      <c r="N284" s="102"/>
      <c r="O284" s="102"/>
      <c r="P284" s="102"/>
      <c r="Q284" s="102"/>
      <c r="R284" s="102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 spans="1:28" ht="13" thickBo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102"/>
      <c r="M285" s="102"/>
      <c r="N285" s="102"/>
      <c r="O285" s="102"/>
      <c r="P285" s="102"/>
      <c r="Q285" s="102"/>
      <c r="R285" s="102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 spans="1:28" ht="13" thickBo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102"/>
      <c r="M286" s="102"/>
      <c r="N286" s="102"/>
      <c r="O286" s="102"/>
      <c r="P286" s="102"/>
      <c r="Q286" s="102"/>
      <c r="R286" s="102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 spans="1:28" ht="13" thickBo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102"/>
      <c r="M287" s="102"/>
      <c r="N287" s="102"/>
      <c r="O287" s="102"/>
      <c r="P287" s="102"/>
      <c r="Q287" s="102"/>
      <c r="R287" s="102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 spans="1:28" ht="13" thickBo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102"/>
      <c r="M288" s="102"/>
      <c r="N288" s="102"/>
      <c r="O288" s="102"/>
      <c r="P288" s="102"/>
      <c r="Q288" s="102"/>
      <c r="R288" s="102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 spans="1:28" ht="13" thickBo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102"/>
      <c r="M289" s="102"/>
      <c r="N289" s="102"/>
      <c r="O289" s="102"/>
      <c r="P289" s="102"/>
      <c r="Q289" s="102"/>
      <c r="R289" s="102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 spans="1:28" ht="13" thickBo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102"/>
      <c r="M290" s="102"/>
      <c r="N290" s="102"/>
      <c r="O290" s="102"/>
      <c r="P290" s="102"/>
      <c r="Q290" s="102"/>
      <c r="R290" s="102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 spans="1:28" ht="13" thickBo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102"/>
      <c r="M291" s="102"/>
      <c r="N291" s="102"/>
      <c r="O291" s="102"/>
      <c r="P291" s="102"/>
      <c r="Q291" s="102"/>
      <c r="R291" s="102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 spans="1:28" ht="13" thickBo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102"/>
      <c r="M292" s="102"/>
      <c r="N292" s="102"/>
      <c r="O292" s="102"/>
      <c r="P292" s="102"/>
      <c r="Q292" s="102"/>
      <c r="R292" s="102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 spans="1:28" ht="13" thickBo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102"/>
      <c r="M293" s="102"/>
      <c r="N293" s="102"/>
      <c r="O293" s="102"/>
      <c r="P293" s="102"/>
      <c r="Q293" s="102"/>
      <c r="R293" s="102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 spans="1:28" ht="13" thickBo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102"/>
      <c r="M294" s="102"/>
      <c r="N294" s="102"/>
      <c r="O294" s="102"/>
      <c r="P294" s="102"/>
      <c r="Q294" s="102"/>
      <c r="R294" s="102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 spans="1:28" ht="13" thickBo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102"/>
      <c r="M295" s="102"/>
      <c r="N295" s="102"/>
      <c r="O295" s="102"/>
      <c r="P295" s="102"/>
      <c r="Q295" s="102"/>
      <c r="R295" s="102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 spans="1:28" ht="13" thickBo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102"/>
      <c r="M296" s="102"/>
      <c r="N296" s="102"/>
      <c r="O296" s="102"/>
      <c r="P296" s="102"/>
      <c r="Q296" s="102"/>
      <c r="R296" s="102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 spans="1:28" ht="13" thickBo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102"/>
      <c r="M297" s="102"/>
      <c r="N297" s="102"/>
      <c r="O297" s="102"/>
      <c r="P297" s="102"/>
      <c r="Q297" s="102"/>
      <c r="R297" s="102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 spans="1:28" ht="13" thickBo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102"/>
      <c r="M298" s="102"/>
      <c r="N298" s="102"/>
      <c r="O298" s="102"/>
      <c r="P298" s="102"/>
      <c r="Q298" s="102"/>
      <c r="R298" s="102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 spans="1:28" ht="13" thickBo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102"/>
      <c r="M299" s="102"/>
      <c r="N299" s="102"/>
      <c r="O299" s="102"/>
      <c r="P299" s="102"/>
      <c r="Q299" s="102"/>
      <c r="R299" s="102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 spans="1:28" ht="13" thickBo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102"/>
      <c r="M300" s="102"/>
      <c r="N300" s="102"/>
      <c r="O300" s="102"/>
      <c r="P300" s="102"/>
      <c r="Q300" s="102"/>
      <c r="R300" s="102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 spans="1:28" ht="13" thickBo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102"/>
      <c r="M301" s="102"/>
      <c r="N301" s="102"/>
      <c r="O301" s="102"/>
      <c r="P301" s="102"/>
      <c r="Q301" s="102"/>
      <c r="R301" s="102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 spans="1:28" ht="13" thickBo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102"/>
      <c r="M302" s="102"/>
      <c r="N302" s="102"/>
      <c r="O302" s="102"/>
      <c r="P302" s="102"/>
      <c r="Q302" s="102"/>
      <c r="R302" s="102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 spans="1:28" ht="13" thickBo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102"/>
      <c r="M303" s="102"/>
      <c r="N303" s="102"/>
      <c r="O303" s="102"/>
      <c r="P303" s="102"/>
      <c r="Q303" s="102"/>
      <c r="R303" s="102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 spans="1:28" ht="13" thickBo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102"/>
      <c r="M304" s="102"/>
      <c r="N304" s="102"/>
      <c r="O304" s="102"/>
      <c r="P304" s="102"/>
      <c r="Q304" s="102"/>
      <c r="R304" s="102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 spans="1:28" ht="13" thickBo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102"/>
      <c r="M305" s="102"/>
      <c r="N305" s="102"/>
      <c r="O305" s="102"/>
      <c r="P305" s="102"/>
      <c r="Q305" s="102"/>
      <c r="R305" s="102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 spans="1:28" ht="13" thickBo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102"/>
      <c r="M306" s="102"/>
      <c r="N306" s="102"/>
      <c r="O306" s="102"/>
      <c r="P306" s="102"/>
      <c r="Q306" s="102"/>
      <c r="R306" s="102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 spans="1:28" ht="13" thickBo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102"/>
      <c r="M307" s="102"/>
      <c r="N307" s="102"/>
      <c r="O307" s="102"/>
      <c r="P307" s="102"/>
      <c r="Q307" s="102"/>
      <c r="R307" s="102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 spans="1:28" ht="13" thickBo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102"/>
      <c r="M308" s="102"/>
      <c r="N308" s="102"/>
      <c r="O308" s="102"/>
      <c r="P308" s="102"/>
      <c r="Q308" s="102"/>
      <c r="R308" s="102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 spans="1:28" ht="13" thickBo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102"/>
      <c r="M309" s="102"/>
      <c r="N309" s="102"/>
      <c r="O309" s="102"/>
      <c r="P309" s="102"/>
      <c r="Q309" s="102"/>
      <c r="R309" s="102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 spans="1:28" ht="13" thickBo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102"/>
      <c r="M310" s="102"/>
      <c r="N310" s="102"/>
      <c r="O310" s="102"/>
      <c r="P310" s="102"/>
      <c r="Q310" s="102"/>
      <c r="R310" s="102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 spans="1:28" ht="13" thickBo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102"/>
      <c r="M311" s="102"/>
      <c r="N311" s="102"/>
      <c r="O311" s="102"/>
      <c r="P311" s="102"/>
      <c r="Q311" s="102"/>
      <c r="R311" s="102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 spans="1:28" ht="13" thickBo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102"/>
      <c r="M312" s="102"/>
      <c r="N312" s="102"/>
      <c r="O312" s="102"/>
      <c r="P312" s="102"/>
      <c r="Q312" s="102"/>
      <c r="R312" s="102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 spans="1:28" ht="13" thickBo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102"/>
      <c r="M313" s="102"/>
      <c r="N313" s="102"/>
      <c r="O313" s="102"/>
      <c r="P313" s="102"/>
      <c r="Q313" s="102"/>
      <c r="R313" s="102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 spans="1:28" ht="13" thickBo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102"/>
      <c r="M314" s="102"/>
      <c r="N314" s="102"/>
      <c r="O314" s="102"/>
      <c r="P314" s="102"/>
      <c r="Q314" s="102"/>
      <c r="R314" s="102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 spans="1:28" ht="13" thickBo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102"/>
      <c r="M315" s="102"/>
      <c r="N315" s="102"/>
      <c r="O315" s="102"/>
      <c r="P315" s="102"/>
      <c r="Q315" s="102"/>
      <c r="R315" s="102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 spans="1:28" ht="13" thickBo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102"/>
      <c r="M316" s="102"/>
      <c r="N316" s="102"/>
      <c r="O316" s="102"/>
      <c r="P316" s="102"/>
      <c r="Q316" s="102"/>
      <c r="R316" s="102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 spans="1:28" ht="13" thickBo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102"/>
      <c r="M317" s="102"/>
      <c r="N317" s="102"/>
      <c r="O317" s="102"/>
      <c r="P317" s="102"/>
      <c r="Q317" s="102"/>
      <c r="R317" s="102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 spans="1:28" ht="13" thickBo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102"/>
      <c r="M318" s="102"/>
      <c r="N318" s="102"/>
      <c r="O318" s="102"/>
      <c r="P318" s="102"/>
      <c r="Q318" s="102"/>
      <c r="R318" s="102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 spans="1:28" ht="13" thickBo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102"/>
      <c r="M319" s="102"/>
      <c r="N319" s="102"/>
      <c r="O319" s="102"/>
      <c r="P319" s="102"/>
      <c r="Q319" s="102"/>
      <c r="R319" s="102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 spans="1:28" ht="13" thickBo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102"/>
      <c r="M320" s="102"/>
      <c r="N320" s="102"/>
      <c r="O320" s="102"/>
      <c r="P320" s="102"/>
      <c r="Q320" s="102"/>
      <c r="R320" s="102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 spans="1:28" ht="13" thickBo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102"/>
      <c r="M321" s="102"/>
      <c r="N321" s="102"/>
      <c r="O321" s="102"/>
      <c r="P321" s="102"/>
      <c r="Q321" s="102"/>
      <c r="R321" s="102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 spans="1:28" ht="13" thickBo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102"/>
      <c r="M322" s="102"/>
      <c r="N322" s="102"/>
      <c r="O322" s="102"/>
      <c r="P322" s="102"/>
      <c r="Q322" s="102"/>
      <c r="R322" s="102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 spans="1:28" ht="13" thickBo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102"/>
      <c r="M323" s="102"/>
      <c r="N323" s="102"/>
      <c r="O323" s="102"/>
      <c r="P323" s="102"/>
      <c r="Q323" s="102"/>
      <c r="R323" s="102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 spans="1:28" ht="13" thickBo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102"/>
      <c r="M324" s="102"/>
      <c r="N324" s="102"/>
      <c r="O324" s="102"/>
      <c r="P324" s="102"/>
      <c r="Q324" s="102"/>
      <c r="R324" s="102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 spans="1:28" ht="13" thickBo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102"/>
      <c r="M325" s="102"/>
      <c r="N325" s="102"/>
      <c r="O325" s="102"/>
      <c r="P325" s="102"/>
      <c r="Q325" s="102"/>
      <c r="R325" s="102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 spans="1:28" ht="13" thickBo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102"/>
      <c r="M326" s="102"/>
      <c r="N326" s="102"/>
      <c r="O326" s="102"/>
      <c r="P326" s="102"/>
      <c r="Q326" s="102"/>
      <c r="R326" s="102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 spans="1:28" ht="13" thickBo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102"/>
      <c r="M327" s="102"/>
      <c r="N327" s="102"/>
      <c r="O327" s="102"/>
      <c r="P327" s="102"/>
      <c r="Q327" s="102"/>
      <c r="R327" s="102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 spans="1:28" ht="13" thickBo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102"/>
      <c r="M328" s="102"/>
      <c r="N328" s="102"/>
      <c r="O328" s="102"/>
      <c r="P328" s="102"/>
      <c r="Q328" s="102"/>
      <c r="R328" s="102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 spans="1:28" ht="13" thickBo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102"/>
      <c r="M329" s="102"/>
      <c r="N329" s="102"/>
      <c r="O329" s="102"/>
      <c r="P329" s="102"/>
      <c r="Q329" s="102"/>
      <c r="R329" s="102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 spans="1:28" ht="13" thickBo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102"/>
      <c r="M330" s="102"/>
      <c r="N330" s="102"/>
      <c r="O330" s="102"/>
      <c r="P330" s="102"/>
      <c r="Q330" s="102"/>
      <c r="R330" s="102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 spans="1:28" ht="13" thickBo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102"/>
      <c r="M331" s="102"/>
      <c r="N331" s="102"/>
      <c r="O331" s="102"/>
      <c r="P331" s="102"/>
      <c r="Q331" s="102"/>
      <c r="R331" s="102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 spans="1:28" ht="13" thickBo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102"/>
      <c r="M332" s="102"/>
      <c r="N332" s="102"/>
      <c r="O332" s="102"/>
      <c r="P332" s="102"/>
      <c r="Q332" s="102"/>
      <c r="R332" s="102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 spans="1:28" ht="13" thickBo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102"/>
      <c r="M333" s="102"/>
      <c r="N333" s="102"/>
      <c r="O333" s="102"/>
      <c r="P333" s="102"/>
      <c r="Q333" s="102"/>
      <c r="R333" s="102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 spans="1:28" ht="13" thickBo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102"/>
      <c r="M334" s="102"/>
      <c r="N334" s="102"/>
      <c r="O334" s="102"/>
      <c r="P334" s="102"/>
      <c r="Q334" s="102"/>
      <c r="R334" s="102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 spans="1:28" ht="13" thickBo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102"/>
      <c r="M335" s="102"/>
      <c r="N335" s="102"/>
      <c r="O335" s="102"/>
      <c r="P335" s="102"/>
      <c r="Q335" s="102"/>
      <c r="R335" s="102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 spans="1:28" ht="13" thickBo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102"/>
      <c r="M336" s="102"/>
      <c r="N336" s="102"/>
      <c r="O336" s="102"/>
      <c r="P336" s="102"/>
      <c r="Q336" s="102"/>
      <c r="R336" s="102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 spans="1:28" ht="13" thickBo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102"/>
      <c r="M337" s="102"/>
      <c r="N337" s="102"/>
      <c r="O337" s="102"/>
      <c r="P337" s="102"/>
      <c r="Q337" s="102"/>
      <c r="R337" s="102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 spans="1:28" ht="13" thickBo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102"/>
      <c r="M338" s="102"/>
      <c r="N338" s="102"/>
      <c r="O338" s="102"/>
      <c r="P338" s="102"/>
      <c r="Q338" s="102"/>
      <c r="R338" s="102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 spans="1:28" ht="13" thickBo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102"/>
      <c r="M339" s="102"/>
      <c r="N339" s="102"/>
      <c r="O339" s="102"/>
      <c r="P339" s="102"/>
      <c r="Q339" s="102"/>
      <c r="R339" s="102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 spans="1:28" ht="13" thickBo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102"/>
      <c r="M340" s="102"/>
      <c r="N340" s="102"/>
      <c r="O340" s="102"/>
      <c r="P340" s="102"/>
      <c r="Q340" s="102"/>
      <c r="R340" s="102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 spans="1:28" ht="13" thickBo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102"/>
      <c r="M341" s="102"/>
      <c r="N341" s="102"/>
      <c r="O341" s="102"/>
      <c r="P341" s="102"/>
      <c r="Q341" s="102"/>
      <c r="R341" s="102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 spans="1:28" ht="13" thickBo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102"/>
      <c r="M342" s="102"/>
      <c r="N342" s="102"/>
      <c r="O342" s="102"/>
      <c r="P342" s="102"/>
      <c r="Q342" s="102"/>
      <c r="R342" s="102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 spans="1:28" ht="13" thickBo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102"/>
      <c r="M343" s="102"/>
      <c r="N343" s="102"/>
      <c r="O343" s="102"/>
      <c r="P343" s="102"/>
      <c r="Q343" s="102"/>
      <c r="R343" s="102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 spans="1:28" ht="13" thickBo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102"/>
      <c r="M344" s="102"/>
      <c r="N344" s="102"/>
      <c r="O344" s="102"/>
      <c r="P344" s="102"/>
      <c r="Q344" s="102"/>
      <c r="R344" s="102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 spans="1:28" ht="13" thickBo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102"/>
      <c r="M345" s="102"/>
      <c r="N345" s="102"/>
      <c r="O345" s="102"/>
      <c r="P345" s="102"/>
      <c r="Q345" s="102"/>
      <c r="R345" s="102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 spans="1:28" ht="13" thickBo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102"/>
      <c r="M346" s="102"/>
      <c r="N346" s="102"/>
      <c r="O346" s="102"/>
      <c r="P346" s="102"/>
      <c r="Q346" s="102"/>
      <c r="R346" s="102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 spans="1:28" ht="13" thickBo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102"/>
      <c r="M347" s="102"/>
      <c r="N347" s="102"/>
      <c r="O347" s="102"/>
      <c r="P347" s="102"/>
      <c r="Q347" s="102"/>
      <c r="R347" s="102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 spans="1:28" ht="13" thickBo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102"/>
      <c r="M348" s="102"/>
      <c r="N348" s="102"/>
      <c r="O348" s="102"/>
      <c r="P348" s="102"/>
      <c r="Q348" s="102"/>
      <c r="R348" s="102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 spans="1:28" ht="13" thickBo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102"/>
      <c r="M349" s="102"/>
      <c r="N349" s="102"/>
      <c r="O349" s="102"/>
      <c r="P349" s="102"/>
      <c r="Q349" s="102"/>
      <c r="R349" s="102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 spans="1:28" ht="13" thickBo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102"/>
      <c r="M350" s="102"/>
      <c r="N350" s="102"/>
      <c r="O350" s="102"/>
      <c r="P350" s="102"/>
      <c r="Q350" s="102"/>
      <c r="R350" s="102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 spans="1:28" ht="13" thickBo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102"/>
      <c r="M351" s="102"/>
      <c r="N351" s="102"/>
      <c r="O351" s="102"/>
      <c r="P351" s="102"/>
      <c r="Q351" s="102"/>
      <c r="R351" s="102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 spans="1:28" ht="13" thickBo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102"/>
      <c r="M352" s="102"/>
      <c r="N352" s="102"/>
      <c r="O352" s="102"/>
      <c r="P352" s="102"/>
      <c r="Q352" s="102"/>
      <c r="R352" s="102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 spans="1:28" ht="13" thickBo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102"/>
      <c r="M353" s="102"/>
      <c r="N353" s="102"/>
      <c r="O353" s="102"/>
      <c r="P353" s="102"/>
      <c r="Q353" s="102"/>
      <c r="R353" s="102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 spans="1:28" ht="13" thickBo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102"/>
      <c r="M354" s="102"/>
      <c r="N354" s="102"/>
      <c r="O354" s="102"/>
      <c r="P354" s="102"/>
      <c r="Q354" s="102"/>
      <c r="R354" s="102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 spans="1:28" ht="13" thickBo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102"/>
      <c r="M355" s="102"/>
      <c r="N355" s="102"/>
      <c r="O355" s="102"/>
      <c r="P355" s="102"/>
      <c r="Q355" s="102"/>
      <c r="R355" s="102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 spans="1:28" ht="13" thickBo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102"/>
      <c r="M356" s="102"/>
      <c r="N356" s="102"/>
      <c r="O356" s="102"/>
      <c r="P356" s="102"/>
      <c r="Q356" s="102"/>
      <c r="R356" s="102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 spans="1:28" ht="13" thickBo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102"/>
      <c r="M357" s="102"/>
      <c r="N357" s="102"/>
      <c r="O357" s="102"/>
      <c r="P357" s="102"/>
      <c r="Q357" s="102"/>
      <c r="R357" s="102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 spans="1:28" ht="13" thickBo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102"/>
      <c r="M358" s="102"/>
      <c r="N358" s="102"/>
      <c r="O358" s="102"/>
      <c r="P358" s="102"/>
      <c r="Q358" s="102"/>
      <c r="R358" s="102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 spans="1:28" ht="13" thickBo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102"/>
      <c r="M359" s="102"/>
      <c r="N359" s="102"/>
      <c r="O359" s="102"/>
      <c r="P359" s="102"/>
      <c r="Q359" s="102"/>
      <c r="R359" s="102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 spans="1:28" ht="13" thickBo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102"/>
      <c r="M360" s="102"/>
      <c r="N360" s="102"/>
      <c r="O360" s="102"/>
      <c r="P360" s="102"/>
      <c r="Q360" s="102"/>
      <c r="R360" s="102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 spans="1:28" ht="13" thickBo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102"/>
      <c r="M361" s="102"/>
      <c r="N361" s="102"/>
      <c r="O361" s="102"/>
      <c r="P361" s="102"/>
      <c r="Q361" s="102"/>
      <c r="R361" s="102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 spans="1:28" ht="13" thickBo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102"/>
      <c r="M362" s="102"/>
      <c r="N362" s="102"/>
      <c r="O362" s="102"/>
      <c r="P362" s="102"/>
      <c r="Q362" s="102"/>
      <c r="R362" s="102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 spans="1:28" ht="13" thickBo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102"/>
      <c r="M363" s="102"/>
      <c r="N363" s="102"/>
      <c r="O363" s="102"/>
      <c r="P363" s="102"/>
      <c r="Q363" s="102"/>
      <c r="R363" s="102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 spans="1:28" ht="13" thickBo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102"/>
      <c r="M364" s="102"/>
      <c r="N364" s="102"/>
      <c r="O364" s="102"/>
      <c r="P364" s="102"/>
      <c r="Q364" s="102"/>
      <c r="R364" s="102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 spans="1:28" ht="13" thickBo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102"/>
      <c r="M365" s="102"/>
      <c r="N365" s="102"/>
      <c r="O365" s="102"/>
      <c r="P365" s="102"/>
      <c r="Q365" s="102"/>
      <c r="R365" s="102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 spans="1:28" ht="13" thickBo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102"/>
      <c r="M366" s="102"/>
      <c r="N366" s="102"/>
      <c r="O366" s="102"/>
      <c r="P366" s="102"/>
      <c r="Q366" s="102"/>
      <c r="R366" s="102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 spans="1:28" ht="13" thickBo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102"/>
      <c r="M367" s="102"/>
      <c r="N367" s="102"/>
      <c r="O367" s="102"/>
      <c r="P367" s="102"/>
      <c r="Q367" s="102"/>
      <c r="R367" s="102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 spans="1:28" ht="13" thickBo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102"/>
      <c r="M368" s="102"/>
      <c r="N368" s="102"/>
      <c r="O368" s="102"/>
      <c r="P368" s="102"/>
      <c r="Q368" s="102"/>
      <c r="R368" s="102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 spans="1:28" ht="13" thickBo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102"/>
      <c r="M369" s="102"/>
      <c r="N369" s="102"/>
      <c r="O369" s="102"/>
      <c r="P369" s="102"/>
      <c r="Q369" s="102"/>
      <c r="R369" s="102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 spans="1:28" ht="13" thickBo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102"/>
      <c r="M370" s="102"/>
      <c r="N370" s="102"/>
      <c r="O370" s="102"/>
      <c r="P370" s="102"/>
      <c r="Q370" s="102"/>
      <c r="R370" s="102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 spans="1:28" ht="13" thickBo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102"/>
      <c r="M371" s="102"/>
      <c r="N371" s="102"/>
      <c r="O371" s="102"/>
      <c r="P371" s="102"/>
      <c r="Q371" s="102"/>
      <c r="R371" s="102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 spans="1:28" ht="13" thickBo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102"/>
      <c r="M372" s="102"/>
      <c r="N372" s="102"/>
      <c r="O372" s="102"/>
      <c r="P372" s="102"/>
      <c r="Q372" s="102"/>
      <c r="R372" s="102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 spans="1:28" ht="13" thickBo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102"/>
      <c r="M373" s="102"/>
      <c r="N373" s="102"/>
      <c r="O373" s="102"/>
      <c r="P373" s="102"/>
      <c r="Q373" s="102"/>
      <c r="R373" s="102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 spans="1:28" ht="13" thickBo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102"/>
      <c r="M374" s="102"/>
      <c r="N374" s="102"/>
      <c r="O374" s="102"/>
      <c r="P374" s="102"/>
      <c r="Q374" s="102"/>
      <c r="R374" s="102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 spans="1:28" ht="13" thickBo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102"/>
      <c r="M375" s="102"/>
      <c r="N375" s="102"/>
      <c r="O375" s="102"/>
      <c r="P375" s="102"/>
      <c r="Q375" s="102"/>
      <c r="R375" s="102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 spans="1:28" ht="13" thickBo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102"/>
      <c r="M376" s="102"/>
      <c r="N376" s="102"/>
      <c r="O376" s="102"/>
      <c r="P376" s="102"/>
      <c r="Q376" s="102"/>
      <c r="R376" s="102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 spans="1:28" ht="13" thickBo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102"/>
      <c r="M377" s="102"/>
      <c r="N377" s="102"/>
      <c r="O377" s="102"/>
      <c r="P377" s="102"/>
      <c r="Q377" s="102"/>
      <c r="R377" s="102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 spans="1:28" ht="13" thickBo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102"/>
      <c r="M378" s="102"/>
      <c r="N378" s="102"/>
      <c r="O378" s="102"/>
      <c r="P378" s="102"/>
      <c r="Q378" s="102"/>
      <c r="R378" s="102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 spans="1:28" ht="13" thickBo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102"/>
      <c r="M379" s="102"/>
      <c r="N379" s="102"/>
      <c r="O379" s="102"/>
      <c r="P379" s="102"/>
      <c r="Q379" s="102"/>
      <c r="R379" s="102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 spans="1:28" ht="13" thickBo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102"/>
      <c r="M380" s="102"/>
      <c r="N380" s="102"/>
      <c r="O380" s="102"/>
      <c r="P380" s="102"/>
      <c r="Q380" s="102"/>
      <c r="R380" s="102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 spans="1:28" ht="13" thickBo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102"/>
      <c r="M381" s="102"/>
      <c r="N381" s="102"/>
      <c r="O381" s="102"/>
      <c r="P381" s="102"/>
      <c r="Q381" s="102"/>
      <c r="R381" s="102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 spans="1:28" ht="13" thickBo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102"/>
      <c r="M382" s="102"/>
      <c r="N382" s="102"/>
      <c r="O382" s="102"/>
      <c r="P382" s="102"/>
      <c r="Q382" s="102"/>
      <c r="R382" s="102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 spans="1:28" ht="13" thickBo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102"/>
      <c r="M383" s="102"/>
      <c r="N383" s="102"/>
      <c r="O383" s="102"/>
      <c r="P383" s="102"/>
      <c r="Q383" s="102"/>
      <c r="R383" s="102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 spans="1:28" ht="13" thickBo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102"/>
      <c r="M384" s="102"/>
      <c r="N384" s="102"/>
      <c r="O384" s="102"/>
      <c r="P384" s="102"/>
      <c r="Q384" s="102"/>
      <c r="R384" s="102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 spans="1:28" ht="13" thickBo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102"/>
      <c r="M385" s="102"/>
      <c r="N385" s="102"/>
      <c r="O385" s="102"/>
      <c r="P385" s="102"/>
      <c r="Q385" s="102"/>
      <c r="R385" s="102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 spans="1:28" ht="13" thickBo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102"/>
      <c r="M386" s="102"/>
      <c r="N386" s="102"/>
      <c r="O386" s="102"/>
      <c r="P386" s="102"/>
      <c r="Q386" s="102"/>
      <c r="R386" s="102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 spans="1:28" ht="13" thickBo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102"/>
      <c r="M387" s="102"/>
      <c r="N387" s="102"/>
      <c r="O387" s="102"/>
      <c r="P387" s="102"/>
      <c r="Q387" s="102"/>
      <c r="R387" s="102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 spans="1:28" ht="13" thickBo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102"/>
      <c r="M388" s="102"/>
      <c r="N388" s="102"/>
      <c r="O388" s="102"/>
      <c r="P388" s="102"/>
      <c r="Q388" s="102"/>
      <c r="R388" s="102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 spans="1:28" ht="13" thickBo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102"/>
      <c r="M389" s="102"/>
      <c r="N389" s="102"/>
      <c r="O389" s="102"/>
      <c r="P389" s="102"/>
      <c r="Q389" s="102"/>
      <c r="R389" s="102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 spans="1:28" ht="13" thickBo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102"/>
      <c r="M390" s="102"/>
      <c r="N390" s="102"/>
      <c r="O390" s="102"/>
      <c r="P390" s="102"/>
      <c r="Q390" s="102"/>
      <c r="R390" s="102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 spans="1:28" ht="13" thickBo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102"/>
      <c r="M391" s="102"/>
      <c r="N391" s="102"/>
      <c r="O391" s="102"/>
      <c r="P391" s="102"/>
      <c r="Q391" s="102"/>
      <c r="R391" s="102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 spans="1:28" ht="13" thickBo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102"/>
      <c r="M392" s="102"/>
      <c r="N392" s="102"/>
      <c r="O392" s="102"/>
      <c r="P392" s="102"/>
      <c r="Q392" s="102"/>
      <c r="R392" s="102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 spans="1:28" ht="13" thickBo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102"/>
      <c r="M393" s="102"/>
      <c r="N393" s="102"/>
      <c r="O393" s="102"/>
      <c r="P393" s="102"/>
      <c r="Q393" s="102"/>
      <c r="R393" s="102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 spans="1:28" ht="13" thickBo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102"/>
      <c r="M394" s="102"/>
      <c r="N394" s="102"/>
      <c r="O394" s="102"/>
      <c r="P394" s="102"/>
      <c r="Q394" s="102"/>
      <c r="R394" s="102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 spans="1:28" ht="13" thickBo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102"/>
      <c r="M395" s="102"/>
      <c r="N395" s="102"/>
      <c r="O395" s="102"/>
      <c r="P395" s="102"/>
      <c r="Q395" s="102"/>
      <c r="R395" s="102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 spans="1:28" ht="13" thickBo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102"/>
      <c r="M396" s="102"/>
      <c r="N396" s="102"/>
      <c r="O396" s="102"/>
      <c r="P396" s="102"/>
      <c r="Q396" s="102"/>
      <c r="R396" s="102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 spans="1:28" ht="13" thickBo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102"/>
      <c r="M397" s="102"/>
      <c r="N397" s="102"/>
      <c r="O397" s="102"/>
      <c r="P397" s="102"/>
      <c r="Q397" s="102"/>
      <c r="R397" s="102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 spans="1:28" ht="13" thickBo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102"/>
      <c r="M398" s="102"/>
      <c r="N398" s="102"/>
      <c r="O398" s="102"/>
      <c r="P398" s="102"/>
      <c r="Q398" s="102"/>
      <c r="R398" s="102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 spans="1:28" ht="13" thickBo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102"/>
      <c r="M399" s="102"/>
      <c r="N399" s="102"/>
      <c r="O399" s="102"/>
      <c r="P399" s="102"/>
      <c r="Q399" s="102"/>
      <c r="R399" s="102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 spans="1:28" ht="13" thickBo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102"/>
      <c r="M400" s="102"/>
      <c r="N400" s="102"/>
      <c r="O400" s="102"/>
      <c r="P400" s="102"/>
      <c r="Q400" s="102"/>
      <c r="R400" s="102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 spans="1:28" ht="13" thickBo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102"/>
      <c r="M401" s="102"/>
      <c r="N401" s="102"/>
      <c r="O401" s="102"/>
      <c r="P401" s="102"/>
      <c r="Q401" s="102"/>
      <c r="R401" s="102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 spans="1:28" ht="13" thickBo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102"/>
      <c r="M402" s="102"/>
      <c r="N402" s="102"/>
      <c r="O402" s="102"/>
      <c r="P402" s="102"/>
      <c r="Q402" s="102"/>
      <c r="R402" s="102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 spans="1:28" ht="13" thickBo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102"/>
      <c r="M403" s="102"/>
      <c r="N403" s="102"/>
      <c r="O403" s="102"/>
      <c r="P403" s="102"/>
      <c r="Q403" s="102"/>
      <c r="R403" s="102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 spans="1:28" ht="13" thickBo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102"/>
      <c r="M404" s="102"/>
      <c r="N404" s="102"/>
      <c r="O404" s="102"/>
      <c r="P404" s="102"/>
      <c r="Q404" s="102"/>
      <c r="R404" s="102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 spans="1:28" ht="13" thickBo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102"/>
      <c r="M405" s="102"/>
      <c r="N405" s="102"/>
      <c r="O405" s="102"/>
      <c r="P405" s="102"/>
      <c r="Q405" s="102"/>
      <c r="R405" s="102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 spans="1:28" ht="13" thickBo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102"/>
      <c r="M406" s="102"/>
      <c r="N406" s="102"/>
      <c r="O406" s="102"/>
      <c r="P406" s="102"/>
      <c r="Q406" s="102"/>
      <c r="R406" s="102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 spans="1:28" ht="13" thickBo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102"/>
      <c r="M407" s="102"/>
      <c r="N407" s="102"/>
      <c r="O407" s="102"/>
      <c r="P407" s="102"/>
      <c r="Q407" s="102"/>
      <c r="R407" s="102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 spans="1:28" ht="13" thickBo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102"/>
      <c r="M408" s="102"/>
      <c r="N408" s="102"/>
      <c r="O408" s="102"/>
      <c r="P408" s="102"/>
      <c r="Q408" s="102"/>
      <c r="R408" s="102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 spans="1:28" ht="13" thickBo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102"/>
      <c r="M409" s="102"/>
      <c r="N409" s="102"/>
      <c r="O409" s="102"/>
      <c r="P409" s="102"/>
      <c r="Q409" s="102"/>
      <c r="R409" s="102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 spans="1:28" ht="13" thickBo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102"/>
      <c r="M410" s="102"/>
      <c r="N410" s="102"/>
      <c r="O410" s="102"/>
      <c r="P410" s="102"/>
      <c r="Q410" s="102"/>
      <c r="R410" s="102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 spans="1:28" ht="13" thickBo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102"/>
      <c r="M411" s="102"/>
      <c r="N411" s="102"/>
      <c r="O411" s="102"/>
      <c r="P411" s="102"/>
      <c r="Q411" s="102"/>
      <c r="R411" s="102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 spans="1:28" ht="13" thickBo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102"/>
      <c r="M412" s="102"/>
      <c r="N412" s="102"/>
      <c r="O412" s="102"/>
      <c r="P412" s="102"/>
      <c r="Q412" s="102"/>
      <c r="R412" s="102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 spans="1:28" ht="13" thickBo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102"/>
      <c r="M413" s="102"/>
      <c r="N413" s="102"/>
      <c r="O413" s="102"/>
      <c r="P413" s="102"/>
      <c r="Q413" s="102"/>
      <c r="R413" s="102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 spans="1:28" ht="13" thickBo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102"/>
      <c r="M414" s="102"/>
      <c r="N414" s="102"/>
      <c r="O414" s="102"/>
      <c r="P414" s="102"/>
      <c r="Q414" s="102"/>
      <c r="R414" s="102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 spans="1:28" ht="13" thickBo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102"/>
      <c r="M415" s="102"/>
      <c r="N415" s="102"/>
      <c r="O415" s="102"/>
      <c r="P415" s="102"/>
      <c r="Q415" s="102"/>
      <c r="R415" s="102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 spans="1:28" ht="13" thickBo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102"/>
      <c r="M416" s="102"/>
      <c r="N416" s="102"/>
      <c r="O416" s="102"/>
      <c r="P416" s="102"/>
      <c r="Q416" s="102"/>
      <c r="R416" s="102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 spans="1:28" ht="13" thickBo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102"/>
      <c r="M417" s="102"/>
      <c r="N417" s="102"/>
      <c r="O417" s="102"/>
      <c r="P417" s="102"/>
      <c r="Q417" s="102"/>
      <c r="R417" s="102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 spans="1:28" ht="13" thickBo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102"/>
      <c r="M418" s="102"/>
      <c r="N418" s="102"/>
      <c r="O418" s="102"/>
      <c r="P418" s="102"/>
      <c r="Q418" s="102"/>
      <c r="R418" s="102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 spans="1:28" ht="13" thickBo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102"/>
      <c r="M419" s="102"/>
      <c r="N419" s="102"/>
      <c r="O419" s="102"/>
      <c r="P419" s="102"/>
      <c r="Q419" s="102"/>
      <c r="R419" s="102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 spans="1:28" ht="13" thickBo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102"/>
      <c r="M420" s="102"/>
      <c r="N420" s="102"/>
      <c r="O420" s="102"/>
      <c r="P420" s="102"/>
      <c r="Q420" s="102"/>
      <c r="R420" s="102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 spans="1:28" ht="13" thickBo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102"/>
      <c r="M421" s="102"/>
      <c r="N421" s="102"/>
      <c r="O421" s="102"/>
      <c r="P421" s="102"/>
      <c r="Q421" s="102"/>
      <c r="R421" s="102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 spans="1:28" ht="13" thickBo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102"/>
      <c r="M422" s="102"/>
      <c r="N422" s="102"/>
      <c r="O422" s="102"/>
      <c r="P422" s="102"/>
      <c r="Q422" s="102"/>
      <c r="R422" s="102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 spans="1:28" ht="13" thickBo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102"/>
      <c r="M423" s="102"/>
      <c r="N423" s="102"/>
      <c r="O423" s="102"/>
      <c r="P423" s="102"/>
      <c r="Q423" s="102"/>
      <c r="R423" s="102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 spans="1:28" ht="13" thickBo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102"/>
      <c r="M424" s="102"/>
      <c r="N424" s="102"/>
      <c r="O424" s="102"/>
      <c r="P424" s="102"/>
      <c r="Q424" s="102"/>
      <c r="R424" s="102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 spans="1:28" ht="13" thickBo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102"/>
      <c r="M425" s="102"/>
      <c r="N425" s="102"/>
      <c r="O425" s="102"/>
      <c r="P425" s="102"/>
      <c r="Q425" s="102"/>
      <c r="R425" s="102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 spans="1:28" ht="13" thickBo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102"/>
      <c r="M426" s="102"/>
      <c r="N426" s="102"/>
      <c r="O426" s="102"/>
      <c r="P426" s="102"/>
      <c r="Q426" s="102"/>
      <c r="R426" s="102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 spans="1:28" ht="13" thickBo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102"/>
      <c r="M427" s="102"/>
      <c r="N427" s="102"/>
      <c r="O427" s="102"/>
      <c r="P427" s="102"/>
      <c r="Q427" s="102"/>
      <c r="R427" s="102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 spans="1:28" ht="13" thickBo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102"/>
      <c r="M428" s="102"/>
      <c r="N428" s="102"/>
      <c r="O428" s="102"/>
      <c r="P428" s="102"/>
      <c r="Q428" s="102"/>
      <c r="R428" s="102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 spans="1:28" ht="13" thickBo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102"/>
      <c r="M429" s="102"/>
      <c r="N429" s="102"/>
      <c r="O429" s="102"/>
      <c r="P429" s="102"/>
      <c r="Q429" s="102"/>
      <c r="R429" s="102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 spans="1:28" ht="13" thickBo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102"/>
      <c r="M430" s="102"/>
      <c r="N430" s="102"/>
      <c r="O430" s="102"/>
      <c r="P430" s="102"/>
      <c r="Q430" s="102"/>
      <c r="R430" s="102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 spans="1:28" ht="13" thickBo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102"/>
      <c r="M431" s="102"/>
      <c r="N431" s="102"/>
      <c r="O431" s="102"/>
      <c r="P431" s="102"/>
      <c r="Q431" s="102"/>
      <c r="R431" s="102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 spans="1:28" ht="13" thickBo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102"/>
      <c r="M432" s="102"/>
      <c r="N432" s="102"/>
      <c r="O432" s="102"/>
      <c r="P432" s="102"/>
      <c r="Q432" s="102"/>
      <c r="R432" s="102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 spans="1:28" ht="13" thickBo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102"/>
      <c r="M433" s="102"/>
      <c r="N433" s="102"/>
      <c r="O433" s="102"/>
      <c r="P433" s="102"/>
      <c r="Q433" s="102"/>
      <c r="R433" s="102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 spans="1:28" ht="13" thickBo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102"/>
      <c r="M434" s="102"/>
      <c r="N434" s="102"/>
      <c r="O434" s="102"/>
      <c r="P434" s="102"/>
      <c r="Q434" s="102"/>
      <c r="R434" s="102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 spans="1:28" ht="13" thickBo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102"/>
      <c r="M435" s="102"/>
      <c r="N435" s="102"/>
      <c r="O435" s="102"/>
      <c r="P435" s="102"/>
      <c r="Q435" s="102"/>
      <c r="R435" s="102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 spans="1:28" ht="13" thickBo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102"/>
      <c r="M436" s="102"/>
      <c r="N436" s="102"/>
      <c r="O436" s="102"/>
      <c r="P436" s="102"/>
      <c r="Q436" s="102"/>
      <c r="R436" s="102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 spans="1:28" ht="13" thickBo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102"/>
      <c r="M437" s="102"/>
      <c r="N437" s="102"/>
      <c r="O437" s="102"/>
      <c r="P437" s="102"/>
      <c r="Q437" s="102"/>
      <c r="R437" s="102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 spans="1:28" ht="13" thickBo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102"/>
      <c r="M438" s="102"/>
      <c r="N438" s="102"/>
      <c r="O438" s="102"/>
      <c r="P438" s="102"/>
      <c r="Q438" s="102"/>
      <c r="R438" s="102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 spans="1:28" ht="13" thickBo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102"/>
      <c r="M439" s="102"/>
      <c r="N439" s="102"/>
      <c r="O439" s="102"/>
      <c r="P439" s="102"/>
      <c r="Q439" s="102"/>
      <c r="R439" s="102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 spans="1:28" ht="13" thickBo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102"/>
      <c r="M440" s="102"/>
      <c r="N440" s="102"/>
      <c r="O440" s="102"/>
      <c r="P440" s="102"/>
      <c r="Q440" s="102"/>
      <c r="R440" s="102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 spans="1:28" ht="13" thickBo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102"/>
      <c r="M441" s="102"/>
      <c r="N441" s="102"/>
      <c r="O441" s="102"/>
      <c r="P441" s="102"/>
      <c r="Q441" s="102"/>
      <c r="R441" s="102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 spans="1:28" ht="13" thickBo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102"/>
      <c r="M442" s="102"/>
      <c r="N442" s="102"/>
      <c r="O442" s="102"/>
      <c r="P442" s="102"/>
      <c r="Q442" s="102"/>
      <c r="R442" s="102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 spans="1:28" ht="13" thickBo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102"/>
      <c r="M443" s="102"/>
      <c r="N443" s="102"/>
      <c r="O443" s="102"/>
      <c r="P443" s="102"/>
      <c r="Q443" s="102"/>
      <c r="R443" s="102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 spans="1:28" ht="13" thickBo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102"/>
      <c r="M444" s="102"/>
      <c r="N444" s="102"/>
      <c r="O444" s="102"/>
      <c r="P444" s="102"/>
      <c r="Q444" s="102"/>
      <c r="R444" s="102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 spans="1:28" ht="13" thickBo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102"/>
      <c r="M445" s="102"/>
      <c r="N445" s="102"/>
      <c r="O445" s="102"/>
      <c r="P445" s="102"/>
      <c r="Q445" s="102"/>
      <c r="R445" s="102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 spans="1:28" ht="13" thickBo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102"/>
      <c r="M446" s="102"/>
      <c r="N446" s="102"/>
      <c r="O446" s="102"/>
      <c r="P446" s="102"/>
      <c r="Q446" s="102"/>
      <c r="R446" s="102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 spans="1:28" ht="13" thickBo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102"/>
      <c r="M447" s="102"/>
      <c r="N447" s="102"/>
      <c r="O447" s="102"/>
      <c r="P447" s="102"/>
      <c r="Q447" s="102"/>
      <c r="R447" s="102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 spans="1:28" ht="13" thickBo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102"/>
      <c r="M448" s="102"/>
      <c r="N448" s="102"/>
      <c r="O448" s="102"/>
      <c r="P448" s="102"/>
      <c r="Q448" s="102"/>
      <c r="R448" s="102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 spans="1:28" ht="13" thickBo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102"/>
      <c r="M449" s="102"/>
      <c r="N449" s="102"/>
      <c r="O449" s="102"/>
      <c r="P449" s="102"/>
      <c r="Q449" s="102"/>
      <c r="R449" s="102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 spans="1:28" ht="13" thickBo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102"/>
      <c r="M450" s="102"/>
      <c r="N450" s="102"/>
      <c r="O450" s="102"/>
      <c r="P450" s="102"/>
      <c r="Q450" s="102"/>
      <c r="R450" s="102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 spans="1:28" ht="13" thickBo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102"/>
      <c r="M451" s="102"/>
      <c r="N451" s="102"/>
      <c r="O451" s="102"/>
      <c r="P451" s="102"/>
      <c r="Q451" s="102"/>
      <c r="R451" s="102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 spans="1:28" ht="13" thickBo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102"/>
      <c r="M452" s="102"/>
      <c r="N452" s="102"/>
      <c r="O452" s="102"/>
      <c r="P452" s="102"/>
      <c r="Q452" s="102"/>
      <c r="R452" s="102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 spans="1:28" ht="13" thickBo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102"/>
      <c r="M453" s="102"/>
      <c r="N453" s="102"/>
      <c r="O453" s="102"/>
      <c r="P453" s="102"/>
      <c r="Q453" s="102"/>
      <c r="R453" s="102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 spans="1:28" ht="13" thickBo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102"/>
      <c r="M454" s="102"/>
      <c r="N454" s="102"/>
      <c r="O454" s="102"/>
      <c r="P454" s="102"/>
      <c r="Q454" s="102"/>
      <c r="R454" s="102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 spans="1:28" ht="13" thickBo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102"/>
      <c r="M455" s="102"/>
      <c r="N455" s="102"/>
      <c r="O455" s="102"/>
      <c r="P455" s="102"/>
      <c r="Q455" s="102"/>
      <c r="R455" s="102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 spans="1:28" ht="13" thickBo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102"/>
      <c r="M456" s="102"/>
      <c r="N456" s="102"/>
      <c r="O456" s="102"/>
      <c r="P456" s="102"/>
      <c r="Q456" s="102"/>
      <c r="R456" s="102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 spans="1:28" ht="13" thickBo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102"/>
      <c r="M457" s="102"/>
      <c r="N457" s="102"/>
      <c r="O457" s="102"/>
      <c r="P457" s="102"/>
      <c r="Q457" s="102"/>
      <c r="R457" s="102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 spans="1:28" ht="13" thickBo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102"/>
      <c r="M458" s="102"/>
      <c r="N458" s="102"/>
      <c r="O458" s="102"/>
      <c r="P458" s="102"/>
      <c r="Q458" s="102"/>
      <c r="R458" s="102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 spans="1:28" ht="13" thickBo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102"/>
      <c r="M459" s="102"/>
      <c r="N459" s="102"/>
      <c r="O459" s="102"/>
      <c r="P459" s="102"/>
      <c r="Q459" s="102"/>
      <c r="R459" s="102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 spans="1:28" ht="13" thickBo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102"/>
      <c r="M460" s="102"/>
      <c r="N460" s="102"/>
      <c r="O460" s="102"/>
      <c r="P460" s="102"/>
      <c r="Q460" s="102"/>
      <c r="R460" s="102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 spans="1:28" ht="13" thickBo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102"/>
      <c r="M461" s="102"/>
      <c r="N461" s="102"/>
      <c r="O461" s="102"/>
      <c r="P461" s="102"/>
      <c r="Q461" s="102"/>
      <c r="R461" s="102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 spans="1:28" ht="13" thickBo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102"/>
      <c r="M462" s="102"/>
      <c r="N462" s="102"/>
      <c r="O462" s="102"/>
      <c r="P462" s="102"/>
      <c r="Q462" s="102"/>
      <c r="R462" s="102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 spans="1:28" ht="13" thickBo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102"/>
      <c r="M463" s="102"/>
      <c r="N463" s="102"/>
      <c r="O463" s="102"/>
      <c r="P463" s="102"/>
      <c r="Q463" s="102"/>
      <c r="R463" s="102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 spans="1:28" ht="13" thickBo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102"/>
      <c r="M464" s="102"/>
      <c r="N464" s="102"/>
      <c r="O464" s="102"/>
      <c r="P464" s="102"/>
      <c r="Q464" s="102"/>
      <c r="R464" s="102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 spans="1:28" ht="13" thickBo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102"/>
      <c r="M465" s="102"/>
      <c r="N465" s="102"/>
      <c r="O465" s="102"/>
      <c r="P465" s="102"/>
      <c r="Q465" s="102"/>
      <c r="R465" s="102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 spans="1:28" ht="13" thickBo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102"/>
      <c r="M466" s="102"/>
      <c r="N466" s="102"/>
      <c r="O466" s="102"/>
      <c r="P466" s="102"/>
      <c r="Q466" s="102"/>
      <c r="R466" s="102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 spans="1:28" ht="13" thickBo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102"/>
      <c r="M467" s="102"/>
      <c r="N467" s="102"/>
      <c r="O467" s="102"/>
      <c r="P467" s="102"/>
      <c r="Q467" s="102"/>
      <c r="R467" s="102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 spans="1:28" ht="13" thickBo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102"/>
      <c r="M468" s="102"/>
      <c r="N468" s="102"/>
      <c r="O468" s="102"/>
      <c r="P468" s="102"/>
      <c r="Q468" s="102"/>
      <c r="R468" s="102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 spans="1:28" ht="13" thickBo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102"/>
      <c r="M469" s="102"/>
      <c r="N469" s="102"/>
      <c r="O469" s="102"/>
      <c r="P469" s="102"/>
      <c r="Q469" s="102"/>
      <c r="R469" s="102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 spans="1:28" ht="13" thickBo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102"/>
      <c r="M470" s="102"/>
      <c r="N470" s="102"/>
      <c r="O470" s="102"/>
      <c r="P470" s="102"/>
      <c r="Q470" s="102"/>
      <c r="R470" s="102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 spans="1:28" ht="13" thickBo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102"/>
      <c r="M471" s="102"/>
      <c r="N471" s="102"/>
      <c r="O471" s="102"/>
      <c r="P471" s="102"/>
      <c r="Q471" s="102"/>
      <c r="R471" s="102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 spans="1:28" ht="13" thickBo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102"/>
      <c r="M472" s="102"/>
      <c r="N472" s="102"/>
      <c r="O472" s="102"/>
      <c r="P472" s="102"/>
      <c r="Q472" s="102"/>
      <c r="R472" s="102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 spans="1:28" ht="13" thickBo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102"/>
      <c r="M473" s="102"/>
      <c r="N473" s="102"/>
      <c r="O473" s="102"/>
      <c r="P473" s="102"/>
      <c r="Q473" s="102"/>
      <c r="R473" s="102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 spans="1:28" ht="13" thickBo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102"/>
      <c r="M474" s="102"/>
      <c r="N474" s="102"/>
      <c r="O474" s="102"/>
      <c r="P474" s="102"/>
      <c r="Q474" s="102"/>
      <c r="R474" s="102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 spans="1:28" ht="13" thickBo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102"/>
      <c r="M475" s="102"/>
      <c r="N475" s="102"/>
      <c r="O475" s="102"/>
      <c r="P475" s="102"/>
      <c r="Q475" s="102"/>
      <c r="R475" s="102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 spans="1:28" ht="13" thickBo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102"/>
      <c r="M476" s="102"/>
      <c r="N476" s="102"/>
      <c r="O476" s="102"/>
      <c r="P476" s="102"/>
      <c r="Q476" s="102"/>
      <c r="R476" s="102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 spans="1:28" ht="13" thickBo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102"/>
      <c r="M477" s="102"/>
      <c r="N477" s="102"/>
      <c r="O477" s="102"/>
      <c r="P477" s="102"/>
      <c r="Q477" s="102"/>
      <c r="R477" s="102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 spans="1:28" ht="13" thickBo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102"/>
      <c r="M478" s="102"/>
      <c r="N478" s="102"/>
      <c r="O478" s="102"/>
      <c r="P478" s="102"/>
      <c r="Q478" s="102"/>
      <c r="R478" s="102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 spans="1:28" ht="13" thickBo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102"/>
      <c r="M479" s="102"/>
      <c r="N479" s="102"/>
      <c r="O479" s="102"/>
      <c r="P479" s="102"/>
      <c r="Q479" s="102"/>
      <c r="R479" s="102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 spans="1:28" ht="13" thickBo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102"/>
      <c r="M480" s="102"/>
      <c r="N480" s="102"/>
      <c r="O480" s="102"/>
      <c r="P480" s="102"/>
      <c r="Q480" s="102"/>
      <c r="R480" s="102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 spans="1:28" ht="13" thickBo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102"/>
      <c r="M481" s="102"/>
      <c r="N481" s="102"/>
      <c r="O481" s="102"/>
      <c r="P481" s="102"/>
      <c r="Q481" s="102"/>
      <c r="R481" s="102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 spans="1:28" ht="13" thickBo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102"/>
      <c r="M482" s="102"/>
      <c r="N482" s="102"/>
      <c r="O482" s="102"/>
      <c r="P482" s="102"/>
      <c r="Q482" s="102"/>
      <c r="R482" s="102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 spans="1:28" ht="13" thickBo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102"/>
      <c r="M483" s="102"/>
      <c r="N483" s="102"/>
      <c r="O483" s="102"/>
      <c r="P483" s="102"/>
      <c r="Q483" s="102"/>
      <c r="R483" s="102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 spans="1:28" ht="13" thickBo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102"/>
      <c r="M484" s="102"/>
      <c r="N484" s="102"/>
      <c r="O484" s="102"/>
      <c r="P484" s="102"/>
      <c r="Q484" s="102"/>
      <c r="R484" s="102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 spans="1:28" ht="13" thickBo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102"/>
      <c r="M485" s="102"/>
      <c r="N485" s="102"/>
      <c r="O485" s="102"/>
      <c r="P485" s="102"/>
      <c r="Q485" s="102"/>
      <c r="R485" s="102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 spans="1:28" ht="13" thickBo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102"/>
      <c r="M486" s="102"/>
      <c r="N486" s="102"/>
      <c r="O486" s="102"/>
      <c r="P486" s="102"/>
      <c r="Q486" s="102"/>
      <c r="R486" s="102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 spans="1:28" ht="13" thickBo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102"/>
      <c r="M487" s="102"/>
      <c r="N487" s="102"/>
      <c r="O487" s="102"/>
      <c r="P487" s="102"/>
      <c r="Q487" s="102"/>
      <c r="R487" s="102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 spans="1:28" ht="13" thickBo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102"/>
      <c r="M488" s="102"/>
      <c r="N488" s="102"/>
      <c r="O488" s="102"/>
      <c r="P488" s="102"/>
      <c r="Q488" s="102"/>
      <c r="R488" s="102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 spans="1:28" ht="13" thickBo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102"/>
      <c r="M489" s="102"/>
      <c r="N489" s="102"/>
      <c r="O489" s="102"/>
      <c r="P489" s="102"/>
      <c r="Q489" s="102"/>
      <c r="R489" s="102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 spans="1:28" ht="13" thickBo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102"/>
      <c r="M490" s="102"/>
      <c r="N490" s="102"/>
      <c r="O490" s="102"/>
      <c r="P490" s="102"/>
      <c r="Q490" s="102"/>
      <c r="R490" s="102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 spans="1:28" ht="13" thickBo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102"/>
      <c r="M491" s="102"/>
      <c r="N491" s="102"/>
      <c r="O491" s="102"/>
      <c r="P491" s="102"/>
      <c r="Q491" s="102"/>
      <c r="R491" s="102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 spans="1:28" ht="13" thickBo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102"/>
      <c r="M492" s="102"/>
      <c r="N492" s="102"/>
      <c r="O492" s="102"/>
      <c r="P492" s="102"/>
      <c r="Q492" s="102"/>
      <c r="R492" s="102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 spans="1:28" ht="13" thickBo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102"/>
      <c r="M493" s="102"/>
      <c r="N493" s="102"/>
      <c r="O493" s="102"/>
      <c r="P493" s="102"/>
      <c r="Q493" s="102"/>
      <c r="R493" s="102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 spans="1:28" ht="13" thickBo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102"/>
      <c r="M494" s="102"/>
      <c r="N494" s="102"/>
      <c r="O494" s="102"/>
      <c r="P494" s="102"/>
      <c r="Q494" s="102"/>
      <c r="R494" s="102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 spans="1:28" ht="13" thickBo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102"/>
      <c r="M495" s="102"/>
      <c r="N495" s="102"/>
      <c r="O495" s="102"/>
      <c r="P495" s="102"/>
      <c r="Q495" s="102"/>
      <c r="R495" s="102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 spans="1:28" ht="13" thickBo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102"/>
      <c r="M496" s="102"/>
      <c r="N496" s="102"/>
      <c r="O496" s="102"/>
      <c r="P496" s="102"/>
      <c r="Q496" s="102"/>
      <c r="R496" s="102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 spans="1:28" ht="13" thickBo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102"/>
      <c r="M497" s="102"/>
      <c r="N497" s="102"/>
      <c r="O497" s="102"/>
      <c r="P497" s="102"/>
      <c r="Q497" s="102"/>
      <c r="R497" s="102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 spans="1:28" ht="13" thickBo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102"/>
      <c r="M498" s="102"/>
      <c r="N498" s="102"/>
      <c r="O498" s="102"/>
      <c r="P498" s="102"/>
      <c r="Q498" s="102"/>
      <c r="R498" s="102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 spans="1:28" ht="13" thickBo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102"/>
      <c r="M499" s="102"/>
      <c r="N499" s="102"/>
      <c r="O499" s="102"/>
      <c r="P499" s="102"/>
      <c r="Q499" s="102"/>
      <c r="R499" s="102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 spans="1:28" ht="13" thickBo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102"/>
      <c r="M500" s="102"/>
      <c r="N500" s="102"/>
      <c r="O500" s="102"/>
      <c r="P500" s="102"/>
      <c r="Q500" s="102"/>
      <c r="R500" s="102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 spans="1:28" ht="13" thickBo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102"/>
      <c r="M501" s="102"/>
      <c r="N501" s="102"/>
      <c r="O501" s="102"/>
      <c r="P501" s="102"/>
      <c r="Q501" s="102"/>
      <c r="R501" s="102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 spans="1:28" ht="13" thickBo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102"/>
      <c r="M502" s="102"/>
      <c r="N502" s="102"/>
      <c r="O502" s="102"/>
      <c r="P502" s="102"/>
      <c r="Q502" s="102"/>
      <c r="R502" s="102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 spans="1:28" ht="13" thickBo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102"/>
      <c r="M503" s="102"/>
      <c r="N503" s="102"/>
      <c r="O503" s="102"/>
      <c r="P503" s="102"/>
      <c r="Q503" s="102"/>
      <c r="R503" s="102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 spans="1:28" ht="13" thickBo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102"/>
      <c r="M504" s="102"/>
      <c r="N504" s="102"/>
      <c r="O504" s="102"/>
      <c r="P504" s="102"/>
      <c r="Q504" s="102"/>
      <c r="R504" s="102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 spans="1:28" ht="13" thickBo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102"/>
      <c r="M505" s="102"/>
      <c r="N505" s="102"/>
      <c r="O505" s="102"/>
      <c r="P505" s="102"/>
      <c r="Q505" s="102"/>
      <c r="R505" s="102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 spans="1:28" ht="13" thickBo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102"/>
      <c r="M506" s="102"/>
      <c r="N506" s="102"/>
      <c r="O506" s="102"/>
      <c r="P506" s="102"/>
      <c r="Q506" s="102"/>
      <c r="R506" s="102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 spans="1:28" ht="13" thickBo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102"/>
      <c r="M507" s="102"/>
      <c r="N507" s="102"/>
      <c r="O507" s="102"/>
      <c r="P507" s="102"/>
      <c r="Q507" s="102"/>
      <c r="R507" s="102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 spans="1:28" ht="13" thickBo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102"/>
      <c r="M508" s="102"/>
      <c r="N508" s="102"/>
      <c r="O508" s="102"/>
      <c r="P508" s="102"/>
      <c r="Q508" s="102"/>
      <c r="R508" s="102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 spans="1:28" ht="13" thickBo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102"/>
      <c r="M509" s="102"/>
      <c r="N509" s="102"/>
      <c r="O509" s="102"/>
      <c r="P509" s="102"/>
      <c r="Q509" s="102"/>
      <c r="R509" s="102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 spans="1:28" ht="13" thickBo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102"/>
      <c r="M510" s="102"/>
      <c r="N510" s="102"/>
      <c r="O510" s="102"/>
      <c r="P510" s="102"/>
      <c r="Q510" s="102"/>
      <c r="R510" s="102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 spans="1:28" ht="13" thickBo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102"/>
      <c r="M511" s="102"/>
      <c r="N511" s="102"/>
      <c r="O511" s="102"/>
      <c r="P511" s="102"/>
      <c r="Q511" s="102"/>
      <c r="R511" s="102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 spans="1:28" ht="13" thickBo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102"/>
      <c r="M512" s="102"/>
      <c r="N512" s="102"/>
      <c r="O512" s="102"/>
      <c r="P512" s="102"/>
      <c r="Q512" s="102"/>
      <c r="R512" s="102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 spans="1:28" ht="13" thickBo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102"/>
      <c r="M513" s="102"/>
      <c r="N513" s="102"/>
      <c r="O513" s="102"/>
      <c r="P513" s="102"/>
      <c r="Q513" s="102"/>
      <c r="R513" s="102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 spans="1:28" ht="13" thickBo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102"/>
      <c r="M514" s="102"/>
      <c r="N514" s="102"/>
      <c r="O514" s="102"/>
      <c r="P514" s="102"/>
      <c r="Q514" s="102"/>
      <c r="R514" s="102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 spans="1:28" ht="13" thickBo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102"/>
      <c r="M515" s="102"/>
      <c r="N515" s="102"/>
      <c r="O515" s="102"/>
      <c r="P515" s="102"/>
      <c r="Q515" s="102"/>
      <c r="R515" s="102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 spans="1:28" ht="13" thickBo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102"/>
      <c r="M516" s="102"/>
      <c r="N516" s="102"/>
      <c r="O516" s="102"/>
      <c r="P516" s="102"/>
      <c r="Q516" s="102"/>
      <c r="R516" s="102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 spans="1:28" ht="13" thickBo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102"/>
      <c r="M517" s="102"/>
      <c r="N517" s="102"/>
      <c r="O517" s="102"/>
      <c r="P517" s="102"/>
      <c r="Q517" s="102"/>
      <c r="R517" s="102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 spans="1:28" ht="13" thickBo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102"/>
      <c r="M518" s="102"/>
      <c r="N518" s="102"/>
      <c r="O518" s="102"/>
      <c r="P518" s="102"/>
      <c r="Q518" s="102"/>
      <c r="R518" s="102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 spans="1:28" ht="13" thickBo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102"/>
      <c r="M519" s="102"/>
      <c r="N519" s="102"/>
      <c r="O519" s="102"/>
      <c r="P519" s="102"/>
      <c r="Q519" s="102"/>
      <c r="R519" s="102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 spans="1:28" ht="13" thickBo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102"/>
      <c r="M520" s="102"/>
      <c r="N520" s="102"/>
      <c r="O520" s="102"/>
      <c r="P520" s="102"/>
      <c r="Q520" s="102"/>
      <c r="R520" s="102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 spans="1:28" ht="13" thickBo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102"/>
      <c r="M521" s="102"/>
      <c r="N521" s="102"/>
      <c r="O521" s="102"/>
      <c r="P521" s="102"/>
      <c r="Q521" s="102"/>
      <c r="R521" s="102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 spans="1:28" ht="13" thickBo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102"/>
      <c r="M522" s="102"/>
      <c r="N522" s="102"/>
      <c r="O522" s="102"/>
      <c r="P522" s="102"/>
      <c r="Q522" s="102"/>
      <c r="R522" s="102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 spans="1:28" ht="13" thickBo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102"/>
      <c r="M523" s="102"/>
      <c r="N523" s="102"/>
      <c r="O523" s="102"/>
      <c r="P523" s="102"/>
      <c r="Q523" s="102"/>
      <c r="R523" s="102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 spans="1:28" ht="13" thickBo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102"/>
      <c r="M524" s="102"/>
      <c r="N524" s="102"/>
      <c r="O524" s="102"/>
      <c r="P524" s="102"/>
      <c r="Q524" s="102"/>
      <c r="R524" s="102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 spans="1:28" ht="13" thickBo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102"/>
      <c r="M525" s="102"/>
      <c r="N525" s="102"/>
      <c r="O525" s="102"/>
      <c r="P525" s="102"/>
      <c r="Q525" s="102"/>
      <c r="R525" s="102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 spans="1:28" ht="13" thickBo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102"/>
      <c r="M526" s="102"/>
      <c r="N526" s="102"/>
      <c r="O526" s="102"/>
      <c r="P526" s="102"/>
      <c r="Q526" s="102"/>
      <c r="R526" s="102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 spans="1:28" ht="13" thickBo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102"/>
      <c r="M527" s="102"/>
      <c r="N527" s="102"/>
      <c r="O527" s="102"/>
      <c r="P527" s="102"/>
      <c r="Q527" s="102"/>
      <c r="R527" s="102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 spans="1:28" ht="13" thickBo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102"/>
      <c r="M528" s="102"/>
      <c r="N528" s="102"/>
      <c r="O528" s="102"/>
      <c r="P528" s="102"/>
      <c r="Q528" s="102"/>
      <c r="R528" s="102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 spans="1:28" ht="13" thickBo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102"/>
      <c r="M529" s="102"/>
      <c r="N529" s="102"/>
      <c r="O529" s="102"/>
      <c r="P529" s="102"/>
      <c r="Q529" s="102"/>
      <c r="R529" s="102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 spans="1:28" ht="13" thickBo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102"/>
      <c r="M530" s="102"/>
      <c r="N530" s="102"/>
      <c r="O530" s="102"/>
      <c r="P530" s="102"/>
      <c r="Q530" s="102"/>
      <c r="R530" s="102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 spans="1:28" ht="13" thickBo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102"/>
      <c r="M531" s="102"/>
      <c r="N531" s="102"/>
      <c r="O531" s="102"/>
      <c r="P531" s="102"/>
      <c r="Q531" s="102"/>
      <c r="R531" s="102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 spans="1:28" ht="13" thickBo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102"/>
      <c r="M532" s="102"/>
      <c r="N532" s="102"/>
      <c r="O532" s="102"/>
      <c r="P532" s="102"/>
      <c r="Q532" s="102"/>
      <c r="R532" s="102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 spans="1:28" ht="13" thickBo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102"/>
      <c r="M533" s="102"/>
      <c r="N533" s="102"/>
      <c r="O533" s="102"/>
      <c r="P533" s="102"/>
      <c r="Q533" s="102"/>
      <c r="R533" s="102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 spans="1:28" ht="13" thickBo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102"/>
      <c r="M534" s="102"/>
      <c r="N534" s="102"/>
      <c r="O534" s="102"/>
      <c r="P534" s="102"/>
      <c r="Q534" s="102"/>
      <c r="R534" s="102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 spans="1:28" ht="13" thickBo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102"/>
      <c r="M535" s="102"/>
      <c r="N535" s="102"/>
      <c r="O535" s="102"/>
      <c r="P535" s="102"/>
      <c r="Q535" s="102"/>
      <c r="R535" s="102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 spans="1:28" ht="13" thickBo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102"/>
      <c r="M536" s="102"/>
      <c r="N536" s="102"/>
      <c r="O536" s="102"/>
      <c r="P536" s="102"/>
      <c r="Q536" s="102"/>
      <c r="R536" s="102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 spans="1:28" ht="13" thickBo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102"/>
      <c r="M537" s="102"/>
      <c r="N537" s="102"/>
      <c r="O537" s="102"/>
      <c r="P537" s="102"/>
      <c r="Q537" s="102"/>
      <c r="R537" s="102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 spans="1:28" ht="13" thickBo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102"/>
      <c r="M538" s="102"/>
      <c r="N538" s="102"/>
      <c r="O538" s="102"/>
      <c r="P538" s="102"/>
      <c r="Q538" s="102"/>
      <c r="R538" s="102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 spans="1:28" ht="13" thickBo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102"/>
      <c r="M539" s="102"/>
      <c r="N539" s="102"/>
      <c r="O539" s="102"/>
      <c r="P539" s="102"/>
      <c r="Q539" s="102"/>
      <c r="R539" s="102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 spans="1:28" ht="13" thickBo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102"/>
      <c r="M540" s="102"/>
      <c r="N540" s="102"/>
      <c r="O540" s="102"/>
      <c r="P540" s="102"/>
      <c r="Q540" s="102"/>
      <c r="R540" s="102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 spans="1:28" ht="13" thickBo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102"/>
      <c r="M541" s="102"/>
      <c r="N541" s="102"/>
      <c r="O541" s="102"/>
      <c r="P541" s="102"/>
      <c r="Q541" s="102"/>
      <c r="R541" s="102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 spans="1:28" ht="13" thickBo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102"/>
      <c r="M542" s="102"/>
      <c r="N542" s="102"/>
      <c r="O542" s="102"/>
      <c r="P542" s="102"/>
      <c r="Q542" s="102"/>
      <c r="R542" s="102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 spans="1:28" ht="13" thickBo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102"/>
      <c r="M543" s="102"/>
      <c r="N543" s="102"/>
      <c r="O543" s="102"/>
      <c r="P543" s="102"/>
      <c r="Q543" s="102"/>
      <c r="R543" s="102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 spans="1:28" ht="13" thickBo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102"/>
      <c r="M544" s="102"/>
      <c r="N544" s="102"/>
      <c r="O544" s="102"/>
      <c r="P544" s="102"/>
      <c r="Q544" s="102"/>
      <c r="R544" s="102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 spans="1:28" ht="13" thickBo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102"/>
      <c r="M545" s="102"/>
      <c r="N545" s="102"/>
      <c r="O545" s="102"/>
      <c r="P545" s="102"/>
      <c r="Q545" s="102"/>
      <c r="R545" s="102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 spans="1:28" ht="13" thickBo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102"/>
      <c r="M546" s="102"/>
      <c r="N546" s="102"/>
      <c r="O546" s="102"/>
      <c r="P546" s="102"/>
      <c r="Q546" s="102"/>
      <c r="R546" s="102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 spans="1:28" ht="13" thickBo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102"/>
      <c r="M547" s="102"/>
      <c r="N547" s="102"/>
      <c r="O547" s="102"/>
      <c r="P547" s="102"/>
      <c r="Q547" s="102"/>
      <c r="R547" s="102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 spans="1:28" ht="13" thickBo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102"/>
      <c r="M548" s="102"/>
      <c r="N548" s="102"/>
      <c r="O548" s="102"/>
      <c r="P548" s="102"/>
      <c r="Q548" s="102"/>
      <c r="R548" s="102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 spans="1:28" ht="13" thickBo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102"/>
      <c r="M549" s="102"/>
      <c r="N549" s="102"/>
      <c r="O549" s="102"/>
      <c r="P549" s="102"/>
      <c r="Q549" s="102"/>
      <c r="R549" s="102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 spans="1:28" ht="13" thickBo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102"/>
      <c r="M550" s="102"/>
      <c r="N550" s="102"/>
      <c r="O550" s="102"/>
      <c r="P550" s="102"/>
      <c r="Q550" s="102"/>
      <c r="R550" s="102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 spans="1:28" ht="13" thickBo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102"/>
      <c r="M551" s="102"/>
      <c r="N551" s="102"/>
      <c r="O551" s="102"/>
      <c r="P551" s="102"/>
      <c r="Q551" s="102"/>
      <c r="R551" s="102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 spans="1:28" ht="13" thickBo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102"/>
      <c r="M552" s="102"/>
      <c r="N552" s="102"/>
      <c r="O552" s="102"/>
      <c r="P552" s="102"/>
      <c r="Q552" s="102"/>
      <c r="R552" s="102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 spans="1:28" ht="13" thickBo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102"/>
      <c r="M553" s="102"/>
      <c r="N553" s="102"/>
      <c r="O553" s="102"/>
      <c r="P553" s="102"/>
      <c r="Q553" s="102"/>
      <c r="R553" s="102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 spans="1:28" ht="13" thickBo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102"/>
      <c r="M554" s="102"/>
      <c r="N554" s="102"/>
      <c r="O554" s="102"/>
      <c r="P554" s="102"/>
      <c r="Q554" s="102"/>
      <c r="R554" s="102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 spans="1:28" ht="13" thickBo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102"/>
      <c r="M555" s="102"/>
      <c r="N555" s="102"/>
      <c r="O555" s="102"/>
      <c r="P555" s="102"/>
      <c r="Q555" s="102"/>
      <c r="R555" s="102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 spans="1:28" ht="13" thickBo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102"/>
      <c r="M556" s="102"/>
      <c r="N556" s="102"/>
      <c r="O556" s="102"/>
      <c r="P556" s="102"/>
      <c r="Q556" s="102"/>
      <c r="R556" s="102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 spans="1:28" ht="13" thickBo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102"/>
      <c r="M557" s="102"/>
      <c r="N557" s="102"/>
      <c r="O557" s="102"/>
      <c r="P557" s="102"/>
      <c r="Q557" s="102"/>
      <c r="R557" s="102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 spans="1:28" ht="13" thickBo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102"/>
      <c r="M558" s="102"/>
      <c r="N558" s="102"/>
      <c r="O558" s="102"/>
      <c r="P558" s="102"/>
      <c r="Q558" s="102"/>
      <c r="R558" s="102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 spans="1:28" ht="13" thickBo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102"/>
      <c r="M559" s="102"/>
      <c r="N559" s="102"/>
      <c r="O559" s="102"/>
      <c r="P559" s="102"/>
      <c r="Q559" s="102"/>
      <c r="R559" s="102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 spans="1:28" ht="13" thickBo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102"/>
      <c r="M560" s="102"/>
      <c r="N560" s="102"/>
      <c r="O560" s="102"/>
      <c r="P560" s="102"/>
      <c r="Q560" s="102"/>
      <c r="R560" s="102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 spans="1:28" ht="13" thickBo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102"/>
      <c r="M561" s="102"/>
      <c r="N561" s="102"/>
      <c r="O561" s="102"/>
      <c r="P561" s="102"/>
      <c r="Q561" s="102"/>
      <c r="R561" s="102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 spans="1:28" ht="13" thickBo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102"/>
      <c r="M562" s="102"/>
      <c r="N562" s="102"/>
      <c r="O562" s="102"/>
      <c r="P562" s="102"/>
      <c r="Q562" s="102"/>
      <c r="R562" s="102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 spans="1:28" ht="13" thickBo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102"/>
      <c r="M563" s="102"/>
      <c r="N563" s="102"/>
      <c r="O563" s="102"/>
      <c r="P563" s="102"/>
      <c r="Q563" s="102"/>
      <c r="R563" s="102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 spans="1:28" ht="13" thickBo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102"/>
      <c r="M564" s="102"/>
      <c r="N564" s="102"/>
      <c r="O564" s="102"/>
      <c r="P564" s="102"/>
      <c r="Q564" s="102"/>
      <c r="R564" s="102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 spans="1:28" ht="13" thickBo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102"/>
      <c r="M565" s="102"/>
      <c r="N565" s="102"/>
      <c r="O565" s="102"/>
      <c r="P565" s="102"/>
      <c r="Q565" s="102"/>
      <c r="R565" s="102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 spans="1:28" ht="13" thickBo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102"/>
      <c r="M566" s="102"/>
      <c r="N566" s="102"/>
      <c r="O566" s="102"/>
      <c r="P566" s="102"/>
      <c r="Q566" s="102"/>
      <c r="R566" s="102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 spans="1:28" ht="13" thickBo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102"/>
      <c r="M567" s="102"/>
      <c r="N567" s="102"/>
      <c r="O567" s="102"/>
      <c r="P567" s="102"/>
      <c r="Q567" s="102"/>
      <c r="R567" s="102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 spans="1:28" ht="13" thickBo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102"/>
      <c r="M568" s="102"/>
      <c r="N568" s="102"/>
      <c r="O568" s="102"/>
      <c r="P568" s="102"/>
      <c r="Q568" s="102"/>
      <c r="R568" s="102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 spans="1:28" ht="13" thickBo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102"/>
      <c r="M569" s="102"/>
      <c r="N569" s="102"/>
      <c r="O569" s="102"/>
      <c r="P569" s="102"/>
      <c r="Q569" s="102"/>
      <c r="R569" s="102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 spans="1:28" ht="13" thickBo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102"/>
      <c r="M570" s="102"/>
      <c r="N570" s="102"/>
      <c r="O570" s="102"/>
      <c r="P570" s="102"/>
      <c r="Q570" s="102"/>
      <c r="R570" s="102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 spans="1:28" ht="13" thickBo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102"/>
      <c r="M571" s="102"/>
      <c r="N571" s="102"/>
      <c r="O571" s="102"/>
      <c r="P571" s="102"/>
      <c r="Q571" s="102"/>
      <c r="R571" s="102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 spans="1:28" ht="13" thickBo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102"/>
      <c r="M572" s="102"/>
      <c r="N572" s="102"/>
      <c r="O572" s="102"/>
      <c r="P572" s="102"/>
      <c r="Q572" s="102"/>
      <c r="R572" s="102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 spans="1:28" ht="13" thickBo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102"/>
      <c r="M573" s="102"/>
      <c r="N573" s="102"/>
      <c r="O573" s="102"/>
      <c r="P573" s="102"/>
      <c r="Q573" s="102"/>
      <c r="R573" s="102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 spans="1:28" ht="13" thickBo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102"/>
      <c r="M574" s="102"/>
      <c r="N574" s="102"/>
      <c r="O574" s="102"/>
      <c r="P574" s="102"/>
      <c r="Q574" s="102"/>
      <c r="R574" s="102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 spans="1:28" ht="13" thickBo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102"/>
      <c r="M575" s="102"/>
      <c r="N575" s="102"/>
      <c r="O575" s="102"/>
      <c r="P575" s="102"/>
      <c r="Q575" s="102"/>
      <c r="R575" s="102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 spans="1:28" ht="13" thickBo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102"/>
      <c r="M576" s="102"/>
      <c r="N576" s="102"/>
      <c r="O576" s="102"/>
      <c r="P576" s="102"/>
      <c r="Q576" s="102"/>
      <c r="R576" s="102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 spans="1:28" ht="13" thickBo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102"/>
      <c r="M577" s="102"/>
      <c r="N577" s="102"/>
      <c r="O577" s="102"/>
      <c r="P577" s="102"/>
      <c r="Q577" s="102"/>
      <c r="R577" s="102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 spans="1:28" ht="13" thickBo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102"/>
      <c r="M578" s="102"/>
      <c r="N578" s="102"/>
      <c r="O578" s="102"/>
      <c r="P578" s="102"/>
      <c r="Q578" s="102"/>
      <c r="R578" s="102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 spans="1:28" ht="13" thickBo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102"/>
      <c r="M579" s="102"/>
      <c r="N579" s="102"/>
      <c r="O579" s="102"/>
      <c r="P579" s="102"/>
      <c r="Q579" s="102"/>
      <c r="R579" s="102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 spans="1:28" ht="13" thickBo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102"/>
      <c r="M580" s="102"/>
      <c r="N580" s="102"/>
      <c r="O580" s="102"/>
      <c r="P580" s="102"/>
      <c r="Q580" s="102"/>
      <c r="R580" s="102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 spans="1:28" ht="13" thickBo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102"/>
      <c r="M581" s="102"/>
      <c r="N581" s="102"/>
      <c r="O581" s="102"/>
      <c r="P581" s="102"/>
      <c r="Q581" s="102"/>
      <c r="R581" s="102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 spans="1:28" ht="13" thickBo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102"/>
      <c r="M582" s="102"/>
      <c r="N582" s="102"/>
      <c r="O582" s="102"/>
      <c r="P582" s="102"/>
      <c r="Q582" s="102"/>
      <c r="R582" s="102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 spans="1:28" ht="13" thickBo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102"/>
      <c r="M583" s="102"/>
      <c r="N583" s="102"/>
      <c r="O583" s="102"/>
      <c r="P583" s="102"/>
      <c r="Q583" s="102"/>
      <c r="R583" s="102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 spans="1:28" ht="13" thickBo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102"/>
      <c r="M584" s="102"/>
      <c r="N584" s="102"/>
      <c r="O584" s="102"/>
      <c r="P584" s="102"/>
      <c r="Q584" s="102"/>
      <c r="R584" s="102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 spans="1:28" ht="13" thickBo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102"/>
      <c r="M585" s="102"/>
      <c r="N585" s="102"/>
      <c r="O585" s="102"/>
      <c r="P585" s="102"/>
      <c r="Q585" s="102"/>
      <c r="R585" s="102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 spans="1:28" ht="13" thickBo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102"/>
      <c r="M586" s="102"/>
      <c r="N586" s="102"/>
      <c r="O586" s="102"/>
      <c r="P586" s="102"/>
      <c r="Q586" s="102"/>
      <c r="R586" s="102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 spans="1:28" ht="13" thickBo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102"/>
      <c r="M587" s="102"/>
      <c r="N587" s="102"/>
      <c r="O587" s="102"/>
      <c r="P587" s="102"/>
      <c r="Q587" s="102"/>
      <c r="R587" s="102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 spans="1:28" ht="13" thickBo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102"/>
      <c r="M588" s="102"/>
      <c r="N588" s="102"/>
      <c r="O588" s="102"/>
      <c r="P588" s="102"/>
      <c r="Q588" s="102"/>
      <c r="R588" s="102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 spans="1:28" ht="13" thickBo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102"/>
      <c r="M589" s="102"/>
      <c r="N589" s="102"/>
      <c r="O589" s="102"/>
      <c r="P589" s="102"/>
      <c r="Q589" s="102"/>
      <c r="R589" s="102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 spans="1:28" ht="13" thickBo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102"/>
      <c r="M590" s="102"/>
      <c r="N590" s="102"/>
      <c r="O590" s="102"/>
      <c r="P590" s="102"/>
      <c r="Q590" s="102"/>
      <c r="R590" s="102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 spans="1:28" ht="13" thickBo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102"/>
      <c r="M591" s="102"/>
      <c r="N591" s="102"/>
      <c r="O591" s="102"/>
      <c r="P591" s="102"/>
      <c r="Q591" s="102"/>
      <c r="R591" s="102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 spans="1:28" ht="13" thickBo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102"/>
      <c r="M592" s="102"/>
      <c r="N592" s="102"/>
      <c r="O592" s="102"/>
      <c r="P592" s="102"/>
      <c r="Q592" s="102"/>
      <c r="R592" s="102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 spans="1:28" ht="13" thickBo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102"/>
      <c r="M593" s="102"/>
      <c r="N593" s="102"/>
      <c r="O593" s="102"/>
      <c r="P593" s="102"/>
      <c r="Q593" s="102"/>
      <c r="R593" s="102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 spans="1:28" ht="13" thickBo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102"/>
      <c r="M594" s="102"/>
      <c r="N594" s="102"/>
      <c r="O594" s="102"/>
      <c r="P594" s="102"/>
      <c r="Q594" s="102"/>
      <c r="R594" s="102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 spans="1:28" ht="13" thickBo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102"/>
      <c r="M595" s="102"/>
      <c r="N595" s="102"/>
      <c r="O595" s="102"/>
      <c r="P595" s="102"/>
      <c r="Q595" s="102"/>
      <c r="R595" s="102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 spans="1:28" ht="13" thickBo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102"/>
      <c r="M596" s="102"/>
      <c r="N596" s="102"/>
      <c r="O596" s="102"/>
      <c r="P596" s="102"/>
      <c r="Q596" s="102"/>
      <c r="R596" s="102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 spans="1:28" ht="13" thickBo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102"/>
      <c r="M597" s="102"/>
      <c r="N597" s="102"/>
      <c r="O597" s="102"/>
      <c r="P597" s="102"/>
      <c r="Q597" s="102"/>
      <c r="R597" s="102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 spans="1:28" ht="13" thickBo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102"/>
      <c r="M598" s="102"/>
      <c r="N598" s="102"/>
      <c r="O598" s="102"/>
      <c r="P598" s="102"/>
      <c r="Q598" s="102"/>
      <c r="R598" s="102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 spans="1:28" ht="13" thickBo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102"/>
      <c r="M599" s="102"/>
      <c r="N599" s="102"/>
      <c r="O599" s="102"/>
      <c r="P599" s="102"/>
      <c r="Q599" s="102"/>
      <c r="R599" s="102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 spans="1:28" ht="13" thickBo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102"/>
      <c r="M600" s="102"/>
      <c r="N600" s="102"/>
      <c r="O600" s="102"/>
      <c r="P600" s="102"/>
      <c r="Q600" s="102"/>
      <c r="R600" s="102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 spans="1:28" ht="13" thickBo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102"/>
      <c r="M601" s="102"/>
      <c r="N601" s="102"/>
      <c r="O601" s="102"/>
      <c r="P601" s="102"/>
      <c r="Q601" s="102"/>
      <c r="R601" s="102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 spans="1:28" ht="13" thickBo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102"/>
      <c r="M602" s="102"/>
      <c r="N602" s="102"/>
      <c r="O602" s="102"/>
      <c r="P602" s="102"/>
      <c r="Q602" s="102"/>
      <c r="R602" s="102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 spans="1:28" ht="13" thickBo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102"/>
      <c r="M603" s="102"/>
      <c r="N603" s="102"/>
      <c r="O603" s="102"/>
      <c r="P603" s="102"/>
      <c r="Q603" s="102"/>
      <c r="R603" s="102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 spans="1:28" ht="13" thickBo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102"/>
      <c r="M604" s="102"/>
      <c r="N604" s="102"/>
      <c r="O604" s="102"/>
      <c r="P604" s="102"/>
      <c r="Q604" s="102"/>
      <c r="R604" s="102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 spans="1:28" ht="13" thickBo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102"/>
      <c r="M605" s="102"/>
      <c r="N605" s="102"/>
      <c r="O605" s="102"/>
      <c r="P605" s="102"/>
      <c r="Q605" s="102"/>
      <c r="R605" s="102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 spans="1:28" ht="13" thickBo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102"/>
      <c r="M606" s="102"/>
      <c r="N606" s="102"/>
      <c r="O606" s="102"/>
      <c r="P606" s="102"/>
      <c r="Q606" s="102"/>
      <c r="R606" s="102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 spans="1:28" ht="13" thickBo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102"/>
      <c r="M607" s="102"/>
      <c r="N607" s="102"/>
      <c r="O607" s="102"/>
      <c r="P607" s="102"/>
      <c r="Q607" s="102"/>
      <c r="R607" s="102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 spans="1:28" ht="13" thickBo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102"/>
      <c r="M608" s="102"/>
      <c r="N608" s="102"/>
      <c r="O608" s="102"/>
      <c r="P608" s="102"/>
      <c r="Q608" s="102"/>
      <c r="R608" s="102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 spans="1:28" ht="13" thickBo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102"/>
      <c r="M609" s="102"/>
      <c r="N609" s="102"/>
      <c r="O609" s="102"/>
      <c r="P609" s="102"/>
      <c r="Q609" s="102"/>
      <c r="R609" s="102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 spans="1:28" ht="13" thickBo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102"/>
      <c r="M610" s="102"/>
      <c r="N610" s="102"/>
      <c r="O610" s="102"/>
      <c r="P610" s="102"/>
      <c r="Q610" s="102"/>
      <c r="R610" s="102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 spans="1:28" ht="13" thickBo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102"/>
      <c r="M611" s="102"/>
      <c r="N611" s="102"/>
      <c r="O611" s="102"/>
      <c r="P611" s="102"/>
      <c r="Q611" s="102"/>
      <c r="R611" s="102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 spans="1:28" ht="13" thickBo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102"/>
      <c r="M612" s="102"/>
      <c r="N612" s="102"/>
      <c r="O612" s="102"/>
      <c r="P612" s="102"/>
      <c r="Q612" s="102"/>
      <c r="R612" s="102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 spans="1:28" ht="13" thickBo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102"/>
      <c r="M613" s="102"/>
      <c r="N613" s="102"/>
      <c r="O613" s="102"/>
      <c r="P613" s="102"/>
      <c r="Q613" s="102"/>
      <c r="R613" s="102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 spans="1:28" ht="13" thickBo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102"/>
      <c r="M614" s="102"/>
      <c r="N614" s="102"/>
      <c r="O614" s="102"/>
      <c r="P614" s="102"/>
      <c r="Q614" s="102"/>
      <c r="R614" s="102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 spans="1:28" ht="13" thickBo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102"/>
      <c r="M615" s="102"/>
      <c r="N615" s="102"/>
      <c r="O615" s="102"/>
      <c r="P615" s="102"/>
      <c r="Q615" s="102"/>
      <c r="R615" s="102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 spans="1:28" ht="13" thickBo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102"/>
      <c r="M616" s="102"/>
      <c r="N616" s="102"/>
      <c r="O616" s="102"/>
      <c r="P616" s="102"/>
      <c r="Q616" s="102"/>
      <c r="R616" s="102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 spans="1:28" ht="13" thickBo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102"/>
      <c r="M617" s="102"/>
      <c r="N617" s="102"/>
      <c r="O617" s="102"/>
      <c r="P617" s="102"/>
      <c r="Q617" s="102"/>
      <c r="R617" s="102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 spans="1:28" ht="13" thickBo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102"/>
      <c r="M618" s="102"/>
      <c r="N618" s="102"/>
      <c r="O618" s="102"/>
      <c r="P618" s="102"/>
      <c r="Q618" s="102"/>
      <c r="R618" s="102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 spans="1:28" ht="13" thickBo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102"/>
      <c r="M619" s="102"/>
      <c r="N619" s="102"/>
      <c r="O619" s="102"/>
      <c r="P619" s="102"/>
      <c r="Q619" s="102"/>
      <c r="R619" s="102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 spans="1:28" ht="13" thickBo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102"/>
      <c r="M620" s="102"/>
      <c r="N620" s="102"/>
      <c r="O620" s="102"/>
      <c r="P620" s="102"/>
      <c r="Q620" s="102"/>
      <c r="R620" s="102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 spans="1:28" ht="13" thickBo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102"/>
      <c r="M621" s="102"/>
      <c r="N621" s="102"/>
      <c r="O621" s="102"/>
      <c r="P621" s="102"/>
      <c r="Q621" s="102"/>
      <c r="R621" s="102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 spans="1:28" ht="13" thickBo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102"/>
      <c r="M622" s="102"/>
      <c r="N622" s="102"/>
      <c r="O622" s="102"/>
      <c r="P622" s="102"/>
      <c r="Q622" s="102"/>
      <c r="R622" s="102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 spans="1:28" ht="13" thickBo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102"/>
      <c r="M623" s="102"/>
      <c r="N623" s="102"/>
      <c r="O623" s="102"/>
      <c r="P623" s="102"/>
      <c r="Q623" s="102"/>
      <c r="R623" s="102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 spans="1:28" ht="13" thickBo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102"/>
      <c r="M624" s="102"/>
      <c r="N624" s="102"/>
      <c r="O624" s="102"/>
      <c r="P624" s="102"/>
      <c r="Q624" s="102"/>
      <c r="R624" s="102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 spans="1:28" ht="13" thickBo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102"/>
      <c r="M625" s="102"/>
      <c r="N625" s="102"/>
      <c r="O625" s="102"/>
      <c r="P625" s="102"/>
      <c r="Q625" s="102"/>
      <c r="R625" s="102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 spans="1:28" ht="13" thickBo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102"/>
      <c r="M626" s="102"/>
      <c r="N626" s="102"/>
      <c r="O626" s="102"/>
      <c r="P626" s="102"/>
      <c r="Q626" s="102"/>
      <c r="R626" s="102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 spans="1:28" ht="13" thickBo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102"/>
      <c r="M627" s="102"/>
      <c r="N627" s="102"/>
      <c r="O627" s="102"/>
      <c r="P627" s="102"/>
      <c r="Q627" s="102"/>
      <c r="R627" s="102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 spans="1:28" ht="13" thickBo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102"/>
      <c r="M628" s="102"/>
      <c r="N628" s="102"/>
      <c r="O628" s="102"/>
      <c r="P628" s="102"/>
      <c r="Q628" s="102"/>
      <c r="R628" s="102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 spans="1:28" ht="13" thickBo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102"/>
      <c r="M629" s="102"/>
      <c r="N629" s="102"/>
      <c r="O629" s="102"/>
      <c r="P629" s="102"/>
      <c r="Q629" s="102"/>
      <c r="R629" s="102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 spans="1:28" ht="13" thickBo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102"/>
      <c r="M630" s="102"/>
      <c r="N630" s="102"/>
      <c r="O630" s="102"/>
      <c r="P630" s="102"/>
      <c r="Q630" s="102"/>
      <c r="R630" s="102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 spans="1:28" ht="13" thickBo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102"/>
      <c r="M631" s="102"/>
      <c r="N631" s="102"/>
      <c r="O631" s="102"/>
      <c r="P631" s="102"/>
      <c r="Q631" s="102"/>
      <c r="R631" s="102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 spans="1:28" ht="13" thickBo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102"/>
      <c r="M632" s="102"/>
      <c r="N632" s="102"/>
      <c r="O632" s="102"/>
      <c r="P632" s="102"/>
      <c r="Q632" s="102"/>
      <c r="R632" s="102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 spans="1:28" ht="13" thickBo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102"/>
      <c r="M633" s="102"/>
      <c r="N633" s="102"/>
      <c r="O633" s="102"/>
      <c r="P633" s="102"/>
      <c r="Q633" s="102"/>
      <c r="R633" s="102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 spans="1:28" ht="13" thickBo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102"/>
      <c r="M634" s="102"/>
      <c r="N634" s="102"/>
      <c r="O634" s="102"/>
      <c r="P634" s="102"/>
      <c r="Q634" s="102"/>
      <c r="R634" s="102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 spans="1:28" ht="13" thickBo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102"/>
      <c r="M635" s="102"/>
      <c r="N635" s="102"/>
      <c r="O635" s="102"/>
      <c r="P635" s="102"/>
      <c r="Q635" s="102"/>
      <c r="R635" s="102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 spans="1:28" ht="13" thickBo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102"/>
      <c r="M636" s="102"/>
      <c r="N636" s="102"/>
      <c r="O636" s="102"/>
      <c r="P636" s="102"/>
      <c r="Q636" s="102"/>
      <c r="R636" s="102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 spans="1:28" ht="13" thickBo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102"/>
      <c r="M637" s="102"/>
      <c r="N637" s="102"/>
      <c r="O637" s="102"/>
      <c r="P637" s="102"/>
      <c r="Q637" s="102"/>
      <c r="R637" s="102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 spans="1:28" ht="13" thickBo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102"/>
      <c r="M638" s="102"/>
      <c r="N638" s="102"/>
      <c r="O638" s="102"/>
      <c r="P638" s="102"/>
      <c r="Q638" s="102"/>
      <c r="R638" s="102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 spans="1:28" ht="13" thickBo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102"/>
      <c r="M639" s="102"/>
      <c r="N639" s="102"/>
      <c r="O639" s="102"/>
      <c r="P639" s="102"/>
      <c r="Q639" s="102"/>
      <c r="R639" s="102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 spans="1:28" ht="13" thickBo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102"/>
      <c r="M640" s="102"/>
      <c r="N640" s="102"/>
      <c r="O640" s="102"/>
      <c r="P640" s="102"/>
      <c r="Q640" s="102"/>
      <c r="R640" s="102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 spans="1:28" ht="13" thickBo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102"/>
      <c r="M641" s="102"/>
      <c r="N641" s="102"/>
      <c r="O641" s="102"/>
      <c r="P641" s="102"/>
      <c r="Q641" s="102"/>
      <c r="R641" s="102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 spans="1:28" ht="13" thickBo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102"/>
      <c r="M642" s="102"/>
      <c r="N642" s="102"/>
      <c r="O642" s="102"/>
      <c r="P642" s="102"/>
      <c r="Q642" s="102"/>
      <c r="R642" s="102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 spans="1:28" ht="13" thickBo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102"/>
      <c r="M643" s="102"/>
      <c r="N643" s="102"/>
      <c r="O643" s="102"/>
      <c r="P643" s="102"/>
      <c r="Q643" s="102"/>
      <c r="R643" s="102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 spans="1:28" ht="13" thickBo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102"/>
      <c r="M644" s="102"/>
      <c r="N644" s="102"/>
      <c r="O644" s="102"/>
      <c r="P644" s="102"/>
      <c r="Q644" s="102"/>
      <c r="R644" s="102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 spans="1:28" ht="13" thickBo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102"/>
      <c r="M645" s="102"/>
      <c r="N645" s="102"/>
      <c r="O645" s="102"/>
      <c r="P645" s="102"/>
      <c r="Q645" s="102"/>
      <c r="R645" s="102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 spans="1:28" ht="13" thickBo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102"/>
      <c r="M646" s="102"/>
      <c r="N646" s="102"/>
      <c r="O646" s="102"/>
      <c r="P646" s="102"/>
      <c r="Q646" s="102"/>
      <c r="R646" s="102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 spans="1:28" ht="13" thickBo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102"/>
      <c r="M647" s="102"/>
      <c r="N647" s="102"/>
      <c r="O647" s="102"/>
      <c r="P647" s="102"/>
      <c r="Q647" s="102"/>
      <c r="R647" s="102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 spans="1:28" ht="13" thickBo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102"/>
      <c r="M648" s="102"/>
      <c r="N648" s="102"/>
      <c r="O648" s="102"/>
      <c r="P648" s="102"/>
      <c r="Q648" s="102"/>
      <c r="R648" s="102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 spans="1:28" ht="13" thickBo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102"/>
      <c r="M649" s="102"/>
      <c r="N649" s="102"/>
      <c r="O649" s="102"/>
      <c r="P649" s="102"/>
      <c r="Q649" s="102"/>
      <c r="R649" s="102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 spans="1:28" ht="13" thickBo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102"/>
      <c r="M650" s="102"/>
      <c r="N650" s="102"/>
      <c r="O650" s="102"/>
      <c r="P650" s="102"/>
      <c r="Q650" s="102"/>
      <c r="R650" s="102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 spans="1:28" ht="13" thickBo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102"/>
      <c r="M651" s="102"/>
      <c r="N651" s="102"/>
      <c r="O651" s="102"/>
      <c r="P651" s="102"/>
      <c r="Q651" s="102"/>
      <c r="R651" s="102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 spans="1:28" ht="13" thickBo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102"/>
      <c r="M652" s="102"/>
      <c r="N652" s="102"/>
      <c r="O652" s="102"/>
      <c r="P652" s="102"/>
      <c r="Q652" s="102"/>
      <c r="R652" s="102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 spans="1:28" ht="13" thickBo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102"/>
      <c r="M653" s="102"/>
      <c r="N653" s="102"/>
      <c r="O653" s="102"/>
      <c r="P653" s="102"/>
      <c r="Q653" s="102"/>
      <c r="R653" s="102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 spans="1:28" ht="13" thickBo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102"/>
      <c r="M654" s="102"/>
      <c r="N654" s="102"/>
      <c r="O654" s="102"/>
      <c r="P654" s="102"/>
      <c r="Q654" s="102"/>
      <c r="R654" s="102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 spans="1:28" ht="13" thickBo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102"/>
      <c r="M655" s="102"/>
      <c r="N655" s="102"/>
      <c r="O655" s="102"/>
      <c r="P655" s="102"/>
      <c r="Q655" s="102"/>
      <c r="R655" s="102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 spans="1:28" ht="13" thickBo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102"/>
      <c r="M656" s="102"/>
      <c r="N656" s="102"/>
      <c r="O656" s="102"/>
      <c r="P656" s="102"/>
      <c r="Q656" s="102"/>
      <c r="R656" s="102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 spans="1:28" ht="13" thickBo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102"/>
      <c r="M657" s="102"/>
      <c r="N657" s="102"/>
      <c r="O657" s="102"/>
      <c r="P657" s="102"/>
      <c r="Q657" s="102"/>
      <c r="R657" s="102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 spans="1:28" ht="13" thickBo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102"/>
      <c r="M658" s="102"/>
      <c r="N658" s="102"/>
      <c r="O658" s="102"/>
      <c r="P658" s="102"/>
      <c r="Q658" s="102"/>
      <c r="R658" s="102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 spans="1:28" ht="13" thickBo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102"/>
      <c r="M659" s="102"/>
      <c r="N659" s="102"/>
      <c r="O659" s="102"/>
      <c r="P659" s="102"/>
      <c r="Q659" s="102"/>
      <c r="R659" s="102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 spans="1:28" ht="13" thickBo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102"/>
      <c r="M660" s="102"/>
      <c r="N660" s="102"/>
      <c r="O660" s="102"/>
      <c r="P660" s="102"/>
      <c r="Q660" s="102"/>
      <c r="R660" s="102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 spans="1:28" ht="13" thickBo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102"/>
      <c r="M661" s="102"/>
      <c r="N661" s="102"/>
      <c r="O661" s="102"/>
      <c r="P661" s="102"/>
      <c r="Q661" s="102"/>
      <c r="R661" s="102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 spans="1:28" ht="13" thickBo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102"/>
      <c r="M662" s="102"/>
      <c r="N662" s="102"/>
      <c r="O662" s="102"/>
      <c r="P662" s="102"/>
      <c r="Q662" s="102"/>
      <c r="R662" s="102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 spans="1:28" ht="13" thickBo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102"/>
      <c r="M663" s="102"/>
      <c r="N663" s="102"/>
      <c r="O663" s="102"/>
      <c r="P663" s="102"/>
      <c r="Q663" s="102"/>
      <c r="R663" s="102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 spans="1:28" ht="13" thickBo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102"/>
      <c r="M664" s="102"/>
      <c r="N664" s="102"/>
      <c r="O664" s="102"/>
      <c r="P664" s="102"/>
      <c r="Q664" s="102"/>
      <c r="R664" s="102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 spans="1:28" ht="13" thickBo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102"/>
      <c r="M665" s="102"/>
      <c r="N665" s="102"/>
      <c r="O665" s="102"/>
      <c r="P665" s="102"/>
      <c r="Q665" s="102"/>
      <c r="R665" s="102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 spans="1:28" ht="13" thickBo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102"/>
      <c r="M666" s="102"/>
      <c r="N666" s="102"/>
      <c r="O666" s="102"/>
      <c r="P666" s="102"/>
      <c r="Q666" s="102"/>
      <c r="R666" s="102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 spans="1:28" ht="13" thickBo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102"/>
      <c r="M667" s="102"/>
      <c r="N667" s="102"/>
      <c r="O667" s="102"/>
      <c r="P667" s="102"/>
      <c r="Q667" s="102"/>
      <c r="R667" s="102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 spans="1:28" ht="13" thickBo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102"/>
      <c r="M668" s="102"/>
      <c r="N668" s="102"/>
      <c r="O668" s="102"/>
      <c r="P668" s="102"/>
      <c r="Q668" s="102"/>
      <c r="R668" s="102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 spans="1:28" ht="13" thickBo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102"/>
      <c r="M669" s="102"/>
      <c r="N669" s="102"/>
      <c r="O669" s="102"/>
      <c r="P669" s="102"/>
      <c r="Q669" s="102"/>
      <c r="R669" s="102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 spans="1:28" ht="13" thickBo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102"/>
      <c r="M670" s="102"/>
      <c r="N670" s="102"/>
      <c r="O670" s="102"/>
      <c r="P670" s="102"/>
      <c r="Q670" s="102"/>
      <c r="R670" s="102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 spans="1:28" ht="13" thickBo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102"/>
      <c r="M671" s="102"/>
      <c r="N671" s="102"/>
      <c r="O671" s="102"/>
      <c r="P671" s="102"/>
      <c r="Q671" s="102"/>
      <c r="R671" s="102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 spans="1:28" ht="13" thickBo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102"/>
      <c r="M672" s="102"/>
      <c r="N672" s="102"/>
      <c r="O672" s="102"/>
      <c r="P672" s="102"/>
      <c r="Q672" s="102"/>
      <c r="R672" s="102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 spans="1:28" ht="13" thickBo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102"/>
      <c r="M673" s="102"/>
      <c r="N673" s="102"/>
      <c r="O673" s="102"/>
      <c r="P673" s="102"/>
      <c r="Q673" s="102"/>
      <c r="R673" s="102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 spans="1:28" ht="13" thickBo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102"/>
      <c r="M674" s="102"/>
      <c r="N674" s="102"/>
      <c r="O674" s="102"/>
      <c r="P674" s="102"/>
      <c r="Q674" s="102"/>
      <c r="R674" s="102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 spans="1:28" ht="13" thickBo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102"/>
      <c r="M675" s="102"/>
      <c r="N675" s="102"/>
      <c r="O675" s="102"/>
      <c r="P675" s="102"/>
      <c r="Q675" s="102"/>
      <c r="R675" s="102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 spans="1:28" ht="13" thickBo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102"/>
      <c r="M676" s="102"/>
      <c r="N676" s="102"/>
      <c r="O676" s="102"/>
      <c r="P676" s="102"/>
      <c r="Q676" s="102"/>
      <c r="R676" s="102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 spans="1:28" ht="13" thickBo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102"/>
      <c r="M677" s="102"/>
      <c r="N677" s="102"/>
      <c r="O677" s="102"/>
      <c r="P677" s="102"/>
      <c r="Q677" s="102"/>
      <c r="R677" s="102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 spans="1:28" ht="13" thickBo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102"/>
      <c r="M678" s="102"/>
      <c r="N678" s="102"/>
      <c r="O678" s="102"/>
      <c r="P678" s="102"/>
      <c r="Q678" s="102"/>
      <c r="R678" s="102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 spans="1:28" ht="13" thickBo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102"/>
      <c r="M679" s="102"/>
      <c r="N679" s="102"/>
      <c r="O679" s="102"/>
      <c r="P679" s="102"/>
      <c r="Q679" s="102"/>
      <c r="R679" s="102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 spans="1:28" ht="13" thickBo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102"/>
      <c r="M680" s="102"/>
      <c r="N680" s="102"/>
      <c r="O680" s="102"/>
      <c r="P680" s="102"/>
      <c r="Q680" s="102"/>
      <c r="R680" s="102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 spans="1:28" ht="13" thickBo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102"/>
      <c r="M681" s="102"/>
      <c r="N681" s="102"/>
      <c r="O681" s="102"/>
      <c r="P681" s="102"/>
      <c r="Q681" s="102"/>
      <c r="R681" s="102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 spans="1:28" ht="13" thickBo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102"/>
      <c r="M682" s="102"/>
      <c r="N682" s="102"/>
      <c r="O682" s="102"/>
      <c r="P682" s="102"/>
      <c r="Q682" s="102"/>
      <c r="R682" s="102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 spans="1:28" ht="13" thickBo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102"/>
      <c r="M683" s="102"/>
      <c r="N683" s="102"/>
      <c r="O683" s="102"/>
      <c r="P683" s="102"/>
      <c r="Q683" s="102"/>
      <c r="R683" s="102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 spans="1:28" ht="13" thickBo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102"/>
      <c r="M684" s="102"/>
      <c r="N684" s="102"/>
      <c r="O684" s="102"/>
      <c r="P684" s="102"/>
      <c r="Q684" s="102"/>
      <c r="R684" s="102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 spans="1:28" ht="13" thickBo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102"/>
      <c r="M685" s="102"/>
      <c r="N685" s="102"/>
      <c r="O685" s="102"/>
      <c r="P685" s="102"/>
      <c r="Q685" s="102"/>
      <c r="R685" s="102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 spans="1:28" ht="13" thickBo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102"/>
      <c r="M686" s="102"/>
      <c r="N686" s="102"/>
      <c r="O686" s="102"/>
      <c r="P686" s="102"/>
      <c r="Q686" s="102"/>
      <c r="R686" s="102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 spans="1:28" ht="13" thickBo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102"/>
      <c r="M687" s="102"/>
      <c r="N687" s="102"/>
      <c r="O687" s="102"/>
      <c r="P687" s="102"/>
      <c r="Q687" s="102"/>
      <c r="R687" s="102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 spans="1:28" ht="13" thickBo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102"/>
      <c r="M688" s="102"/>
      <c r="N688" s="102"/>
      <c r="O688" s="102"/>
      <c r="P688" s="102"/>
      <c r="Q688" s="102"/>
      <c r="R688" s="102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 spans="1:28" ht="13" thickBo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102"/>
      <c r="M689" s="102"/>
      <c r="N689" s="102"/>
      <c r="O689" s="102"/>
      <c r="P689" s="102"/>
      <c r="Q689" s="102"/>
      <c r="R689" s="102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 spans="1:28" ht="13" thickBo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102"/>
      <c r="M690" s="102"/>
      <c r="N690" s="102"/>
      <c r="O690" s="102"/>
      <c r="P690" s="102"/>
      <c r="Q690" s="102"/>
      <c r="R690" s="102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 spans="1:28" ht="13" thickBo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102"/>
      <c r="M691" s="102"/>
      <c r="N691" s="102"/>
      <c r="O691" s="102"/>
      <c r="P691" s="102"/>
      <c r="Q691" s="102"/>
      <c r="R691" s="102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 spans="1:28" ht="13" thickBo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102"/>
      <c r="M692" s="102"/>
      <c r="N692" s="102"/>
      <c r="O692" s="102"/>
      <c r="P692" s="102"/>
      <c r="Q692" s="102"/>
      <c r="R692" s="102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 spans="1:28" ht="13" thickBo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102"/>
      <c r="M693" s="102"/>
      <c r="N693" s="102"/>
      <c r="O693" s="102"/>
      <c r="P693" s="102"/>
      <c r="Q693" s="102"/>
      <c r="R693" s="102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 spans="1:28" ht="13" thickBo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102"/>
      <c r="M694" s="102"/>
      <c r="N694" s="102"/>
      <c r="O694" s="102"/>
      <c r="P694" s="102"/>
      <c r="Q694" s="102"/>
      <c r="R694" s="102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 spans="1:28" ht="13" thickBo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102"/>
      <c r="M695" s="102"/>
      <c r="N695" s="102"/>
      <c r="O695" s="102"/>
      <c r="P695" s="102"/>
      <c r="Q695" s="102"/>
      <c r="R695" s="102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 spans="1:28" ht="13" thickBo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102"/>
      <c r="M696" s="102"/>
      <c r="N696" s="102"/>
      <c r="O696" s="102"/>
      <c r="P696" s="102"/>
      <c r="Q696" s="102"/>
      <c r="R696" s="102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 spans="1:28" ht="13" thickBo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102"/>
      <c r="M697" s="102"/>
      <c r="N697" s="102"/>
      <c r="O697" s="102"/>
      <c r="P697" s="102"/>
      <c r="Q697" s="102"/>
      <c r="R697" s="102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 spans="1:28" ht="13" thickBo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102"/>
      <c r="M698" s="102"/>
      <c r="N698" s="102"/>
      <c r="O698" s="102"/>
      <c r="P698" s="102"/>
      <c r="Q698" s="102"/>
      <c r="R698" s="102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 spans="1:28" ht="13" thickBo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102"/>
      <c r="M699" s="102"/>
      <c r="N699" s="102"/>
      <c r="O699" s="102"/>
      <c r="P699" s="102"/>
      <c r="Q699" s="102"/>
      <c r="R699" s="102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 spans="1:28" ht="13" thickBo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102"/>
      <c r="M700" s="102"/>
      <c r="N700" s="102"/>
      <c r="O700" s="102"/>
      <c r="P700" s="102"/>
      <c r="Q700" s="102"/>
      <c r="R700" s="102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 spans="1:28" ht="13" thickBo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102"/>
      <c r="M701" s="102"/>
      <c r="N701" s="102"/>
      <c r="O701" s="102"/>
      <c r="P701" s="102"/>
      <c r="Q701" s="102"/>
      <c r="R701" s="102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 spans="1:28" ht="13" thickBo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102"/>
      <c r="M702" s="102"/>
      <c r="N702" s="102"/>
      <c r="O702" s="102"/>
      <c r="P702" s="102"/>
      <c r="Q702" s="102"/>
      <c r="R702" s="102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 spans="1:28" ht="13" thickBo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102"/>
      <c r="M703" s="102"/>
      <c r="N703" s="102"/>
      <c r="O703" s="102"/>
      <c r="P703" s="102"/>
      <c r="Q703" s="102"/>
      <c r="R703" s="102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 spans="1:28" ht="13" thickBo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102"/>
      <c r="M704" s="102"/>
      <c r="N704" s="102"/>
      <c r="O704" s="102"/>
      <c r="P704" s="102"/>
      <c r="Q704" s="102"/>
      <c r="R704" s="102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 spans="1:28" ht="13" thickBo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102"/>
      <c r="M705" s="102"/>
      <c r="N705" s="102"/>
      <c r="O705" s="102"/>
      <c r="P705" s="102"/>
      <c r="Q705" s="102"/>
      <c r="R705" s="102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 spans="1:28" ht="13" thickBo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102"/>
      <c r="M706" s="102"/>
      <c r="N706" s="102"/>
      <c r="O706" s="102"/>
      <c r="P706" s="102"/>
      <c r="Q706" s="102"/>
      <c r="R706" s="102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 spans="1:28" ht="13" thickBo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102"/>
      <c r="M707" s="102"/>
      <c r="N707" s="102"/>
      <c r="O707" s="102"/>
      <c r="P707" s="102"/>
      <c r="Q707" s="102"/>
      <c r="R707" s="102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 spans="1:28" ht="13" thickBo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102"/>
      <c r="M708" s="102"/>
      <c r="N708" s="102"/>
      <c r="O708" s="102"/>
      <c r="P708" s="102"/>
      <c r="Q708" s="102"/>
      <c r="R708" s="102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 spans="1:28" ht="13" thickBo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102"/>
      <c r="M709" s="102"/>
      <c r="N709" s="102"/>
      <c r="O709" s="102"/>
      <c r="P709" s="102"/>
      <c r="Q709" s="102"/>
      <c r="R709" s="102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 spans="1:28" ht="13" thickBo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102"/>
      <c r="M710" s="102"/>
      <c r="N710" s="102"/>
      <c r="O710" s="102"/>
      <c r="P710" s="102"/>
      <c r="Q710" s="102"/>
      <c r="R710" s="102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 spans="1:28" ht="13" thickBo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102"/>
      <c r="M711" s="102"/>
      <c r="N711" s="102"/>
      <c r="O711" s="102"/>
      <c r="P711" s="102"/>
      <c r="Q711" s="102"/>
      <c r="R711" s="102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 spans="1:28" ht="13" thickBo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102"/>
      <c r="M712" s="102"/>
      <c r="N712" s="102"/>
      <c r="O712" s="102"/>
      <c r="P712" s="102"/>
      <c r="Q712" s="102"/>
      <c r="R712" s="102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 spans="1:28" ht="13" thickBo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102"/>
      <c r="M713" s="102"/>
      <c r="N713" s="102"/>
      <c r="O713" s="102"/>
      <c r="P713" s="102"/>
      <c r="Q713" s="102"/>
      <c r="R713" s="102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 spans="1:28" ht="13" thickBo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102"/>
      <c r="M714" s="102"/>
      <c r="N714" s="102"/>
      <c r="O714" s="102"/>
      <c r="P714" s="102"/>
      <c r="Q714" s="102"/>
      <c r="R714" s="102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 spans="1:28" ht="13" thickBo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102"/>
      <c r="M715" s="102"/>
      <c r="N715" s="102"/>
      <c r="O715" s="102"/>
      <c r="P715" s="102"/>
      <c r="Q715" s="102"/>
      <c r="R715" s="102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 spans="1:28" ht="13" thickBo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102"/>
      <c r="M716" s="102"/>
      <c r="N716" s="102"/>
      <c r="O716" s="102"/>
      <c r="P716" s="102"/>
      <c r="Q716" s="102"/>
      <c r="R716" s="102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 spans="1:28" ht="13" thickBo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102"/>
      <c r="M717" s="102"/>
      <c r="N717" s="102"/>
      <c r="O717" s="102"/>
      <c r="P717" s="102"/>
      <c r="Q717" s="102"/>
      <c r="R717" s="102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 spans="1:28" ht="13" thickBo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102"/>
      <c r="M718" s="102"/>
      <c r="N718" s="102"/>
      <c r="O718" s="102"/>
      <c r="P718" s="102"/>
      <c r="Q718" s="102"/>
      <c r="R718" s="102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 spans="1:28" ht="13" thickBo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102"/>
      <c r="M719" s="102"/>
      <c r="N719" s="102"/>
      <c r="O719" s="102"/>
      <c r="P719" s="102"/>
      <c r="Q719" s="102"/>
      <c r="R719" s="102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 spans="1:28" ht="13" thickBo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102"/>
      <c r="M720" s="102"/>
      <c r="N720" s="102"/>
      <c r="O720" s="102"/>
      <c r="P720" s="102"/>
      <c r="Q720" s="102"/>
      <c r="R720" s="102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 spans="1:28" ht="13" thickBo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102"/>
      <c r="M721" s="102"/>
      <c r="N721" s="102"/>
      <c r="O721" s="102"/>
      <c r="P721" s="102"/>
      <c r="Q721" s="102"/>
      <c r="R721" s="102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 spans="1:28" ht="13" thickBo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102"/>
      <c r="M722" s="102"/>
      <c r="N722" s="102"/>
      <c r="O722" s="102"/>
      <c r="P722" s="102"/>
      <c r="Q722" s="102"/>
      <c r="R722" s="102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 spans="1:28" ht="13" thickBo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102"/>
      <c r="M723" s="102"/>
      <c r="N723" s="102"/>
      <c r="O723" s="102"/>
      <c r="P723" s="102"/>
      <c r="Q723" s="102"/>
      <c r="R723" s="102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 spans="1:28" ht="13" thickBo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102"/>
      <c r="M724" s="102"/>
      <c r="N724" s="102"/>
      <c r="O724" s="102"/>
      <c r="P724" s="102"/>
      <c r="Q724" s="102"/>
      <c r="R724" s="102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 spans="1:28" ht="13" thickBo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102"/>
      <c r="M725" s="102"/>
      <c r="N725" s="102"/>
      <c r="O725" s="102"/>
      <c r="P725" s="102"/>
      <c r="Q725" s="102"/>
      <c r="R725" s="102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 spans="1:28" ht="13" thickBo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102"/>
      <c r="M726" s="102"/>
      <c r="N726" s="102"/>
      <c r="O726" s="102"/>
      <c r="P726" s="102"/>
      <c r="Q726" s="102"/>
      <c r="R726" s="102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 spans="1:28" ht="13" thickBo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102"/>
      <c r="M727" s="102"/>
      <c r="N727" s="102"/>
      <c r="O727" s="102"/>
      <c r="P727" s="102"/>
      <c r="Q727" s="102"/>
      <c r="R727" s="102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 spans="1:28" ht="13" thickBo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102"/>
      <c r="M728" s="102"/>
      <c r="N728" s="102"/>
      <c r="O728" s="102"/>
      <c r="P728" s="102"/>
      <c r="Q728" s="102"/>
      <c r="R728" s="102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 spans="1:28" ht="13" thickBo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102"/>
      <c r="M729" s="102"/>
      <c r="N729" s="102"/>
      <c r="O729" s="102"/>
      <c r="P729" s="102"/>
      <c r="Q729" s="102"/>
      <c r="R729" s="102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 spans="1:28" ht="13" thickBo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102"/>
      <c r="M730" s="102"/>
      <c r="N730" s="102"/>
      <c r="O730" s="102"/>
      <c r="P730" s="102"/>
      <c r="Q730" s="102"/>
      <c r="R730" s="102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 spans="1:28" ht="13" thickBo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102"/>
      <c r="M731" s="102"/>
      <c r="N731" s="102"/>
      <c r="O731" s="102"/>
      <c r="P731" s="102"/>
      <c r="Q731" s="102"/>
      <c r="R731" s="102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 spans="1:28" ht="13" thickBo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102"/>
      <c r="M732" s="102"/>
      <c r="N732" s="102"/>
      <c r="O732" s="102"/>
      <c r="P732" s="102"/>
      <c r="Q732" s="102"/>
      <c r="R732" s="102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 spans="1:28" ht="13" thickBo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102"/>
      <c r="M733" s="102"/>
      <c r="N733" s="102"/>
      <c r="O733" s="102"/>
      <c r="P733" s="102"/>
      <c r="Q733" s="102"/>
      <c r="R733" s="102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 spans="1:28" ht="13" thickBo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102"/>
      <c r="M734" s="102"/>
      <c r="N734" s="102"/>
      <c r="O734" s="102"/>
      <c r="P734" s="102"/>
      <c r="Q734" s="102"/>
      <c r="R734" s="102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 spans="1:28" ht="13" thickBo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102"/>
      <c r="M735" s="102"/>
      <c r="N735" s="102"/>
      <c r="O735" s="102"/>
      <c r="P735" s="102"/>
      <c r="Q735" s="102"/>
      <c r="R735" s="102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 spans="1:28" ht="13" thickBo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102"/>
      <c r="M736" s="102"/>
      <c r="N736" s="102"/>
      <c r="O736" s="102"/>
      <c r="P736" s="102"/>
      <c r="Q736" s="102"/>
      <c r="R736" s="102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 spans="1:28" ht="13" thickBo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102"/>
      <c r="M737" s="102"/>
      <c r="N737" s="102"/>
      <c r="O737" s="102"/>
      <c r="P737" s="102"/>
      <c r="Q737" s="102"/>
      <c r="R737" s="102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 spans="1:28" ht="13" thickBo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102"/>
      <c r="M738" s="102"/>
      <c r="N738" s="102"/>
      <c r="O738" s="102"/>
      <c r="P738" s="102"/>
      <c r="Q738" s="102"/>
      <c r="R738" s="102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 spans="1:28" ht="13" thickBo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102"/>
      <c r="M739" s="102"/>
      <c r="N739" s="102"/>
      <c r="O739" s="102"/>
      <c r="P739" s="102"/>
      <c r="Q739" s="102"/>
      <c r="R739" s="102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 spans="1:28" ht="13" thickBo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102"/>
      <c r="M740" s="102"/>
      <c r="N740" s="102"/>
      <c r="O740" s="102"/>
      <c r="P740" s="102"/>
      <c r="Q740" s="102"/>
      <c r="R740" s="102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 spans="1:28" ht="13" thickBo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102"/>
      <c r="M741" s="102"/>
      <c r="N741" s="102"/>
      <c r="O741" s="102"/>
      <c r="P741" s="102"/>
      <c r="Q741" s="102"/>
      <c r="R741" s="102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 spans="1:28" ht="13" thickBo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102"/>
      <c r="M742" s="102"/>
      <c r="N742" s="102"/>
      <c r="O742" s="102"/>
      <c r="P742" s="102"/>
      <c r="Q742" s="102"/>
      <c r="R742" s="102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 spans="1:28" ht="13" thickBo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102"/>
      <c r="M743" s="102"/>
      <c r="N743" s="102"/>
      <c r="O743" s="102"/>
      <c r="P743" s="102"/>
      <c r="Q743" s="102"/>
      <c r="R743" s="102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 spans="1:28" ht="13" thickBo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102"/>
      <c r="M744" s="102"/>
      <c r="N744" s="102"/>
      <c r="O744" s="102"/>
      <c r="P744" s="102"/>
      <c r="Q744" s="102"/>
      <c r="R744" s="102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 spans="1:28" ht="13" thickBo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102"/>
      <c r="M745" s="102"/>
      <c r="N745" s="102"/>
      <c r="O745" s="102"/>
      <c r="P745" s="102"/>
      <c r="Q745" s="102"/>
      <c r="R745" s="102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 spans="1:28" ht="13" thickBo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102"/>
      <c r="M746" s="102"/>
      <c r="N746" s="102"/>
      <c r="O746" s="102"/>
      <c r="P746" s="102"/>
      <c r="Q746" s="102"/>
      <c r="R746" s="102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 spans="1:28" ht="13" thickBo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102"/>
      <c r="M747" s="102"/>
      <c r="N747" s="102"/>
      <c r="O747" s="102"/>
      <c r="P747" s="102"/>
      <c r="Q747" s="102"/>
      <c r="R747" s="102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 spans="1:28" ht="13" thickBo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102"/>
      <c r="M748" s="102"/>
      <c r="N748" s="102"/>
      <c r="O748" s="102"/>
      <c r="P748" s="102"/>
      <c r="Q748" s="102"/>
      <c r="R748" s="102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 spans="1:28" ht="13" thickBo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102"/>
      <c r="M749" s="102"/>
      <c r="N749" s="102"/>
      <c r="O749" s="102"/>
      <c r="P749" s="102"/>
      <c r="Q749" s="102"/>
      <c r="R749" s="102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 spans="1:28" ht="13" thickBo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102"/>
      <c r="M750" s="102"/>
      <c r="N750" s="102"/>
      <c r="O750" s="102"/>
      <c r="P750" s="102"/>
      <c r="Q750" s="102"/>
      <c r="R750" s="102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 spans="1:28" ht="13" thickBo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102"/>
      <c r="M751" s="102"/>
      <c r="N751" s="102"/>
      <c r="O751" s="102"/>
      <c r="P751" s="102"/>
      <c r="Q751" s="102"/>
      <c r="R751" s="102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 spans="1:28" ht="13" thickBo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102"/>
      <c r="M752" s="102"/>
      <c r="N752" s="102"/>
      <c r="O752" s="102"/>
      <c r="P752" s="102"/>
      <c r="Q752" s="102"/>
      <c r="R752" s="102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 spans="1:28" ht="13" thickBo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102"/>
      <c r="M753" s="102"/>
      <c r="N753" s="102"/>
      <c r="O753" s="102"/>
      <c r="P753" s="102"/>
      <c r="Q753" s="102"/>
      <c r="R753" s="102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 spans="1:28" ht="13" thickBo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102"/>
      <c r="M754" s="102"/>
      <c r="N754" s="102"/>
      <c r="O754" s="102"/>
      <c r="P754" s="102"/>
      <c r="Q754" s="102"/>
      <c r="R754" s="102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 spans="1:28" ht="13" thickBo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102"/>
      <c r="M755" s="102"/>
      <c r="N755" s="102"/>
      <c r="O755" s="102"/>
      <c r="P755" s="102"/>
      <c r="Q755" s="102"/>
      <c r="R755" s="102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 spans="1:28" ht="13" thickBo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102"/>
      <c r="M756" s="102"/>
      <c r="N756" s="102"/>
      <c r="O756" s="102"/>
      <c r="P756" s="102"/>
      <c r="Q756" s="102"/>
      <c r="R756" s="102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 spans="1:28" ht="13" thickBo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102"/>
      <c r="M757" s="102"/>
      <c r="N757" s="102"/>
      <c r="O757" s="102"/>
      <c r="P757" s="102"/>
      <c r="Q757" s="102"/>
      <c r="R757" s="102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 spans="1:28" ht="13" thickBo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102"/>
      <c r="M758" s="102"/>
      <c r="N758" s="102"/>
      <c r="O758" s="102"/>
      <c r="P758" s="102"/>
      <c r="Q758" s="102"/>
      <c r="R758" s="102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 spans="1:28" ht="13" thickBo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102"/>
      <c r="M759" s="102"/>
      <c r="N759" s="102"/>
      <c r="O759" s="102"/>
      <c r="P759" s="102"/>
      <c r="Q759" s="102"/>
      <c r="R759" s="102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 spans="1:28" ht="13" thickBo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102"/>
      <c r="M760" s="102"/>
      <c r="N760" s="102"/>
      <c r="O760" s="102"/>
      <c r="P760" s="102"/>
      <c r="Q760" s="102"/>
      <c r="R760" s="102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 spans="1:28" ht="13" thickBo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102"/>
      <c r="M761" s="102"/>
      <c r="N761" s="102"/>
      <c r="O761" s="102"/>
      <c r="P761" s="102"/>
      <c r="Q761" s="102"/>
      <c r="R761" s="102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 spans="1:28" ht="13" thickBo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102"/>
      <c r="M762" s="102"/>
      <c r="N762" s="102"/>
      <c r="O762" s="102"/>
      <c r="P762" s="102"/>
      <c r="Q762" s="102"/>
      <c r="R762" s="102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 spans="1:28" ht="13" thickBo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102"/>
      <c r="M763" s="102"/>
      <c r="N763" s="102"/>
      <c r="O763" s="102"/>
      <c r="P763" s="102"/>
      <c r="Q763" s="102"/>
      <c r="R763" s="102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 spans="1:28" ht="13" thickBo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102"/>
      <c r="M764" s="102"/>
      <c r="N764" s="102"/>
      <c r="O764" s="102"/>
      <c r="P764" s="102"/>
      <c r="Q764" s="102"/>
      <c r="R764" s="102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 spans="1:28" ht="13" thickBo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102"/>
      <c r="M765" s="102"/>
      <c r="N765" s="102"/>
      <c r="O765" s="102"/>
      <c r="P765" s="102"/>
      <c r="Q765" s="102"/>
      <c r="R765" s="102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 spans="1:28" ht="13" thickBo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102"/>
      <c r="M766" s="102"/>
      <c r="N766" s="102"/>
      <c r="O766" s="102"/>
      <c r="P766" s="102"/>
      <c r="Q766" s="102"/>
      <c r="R766" s="102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 spans="1:28" ht="13" thickBo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102"/>
      <c r="M767" s="102"/>
      <c r="N767" s="102"/>
      <c r="O767" s="102"/>
      <c r="P767" s="102"/>
      <c r="Q767" s="102"/>
      <c r="R767" s="102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 spans="1:28" ht="13" thickBo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102"/>
      <c r="M768" s="102"/>
      <c r="N768" s="102"/>
      <c r="O768" s="102"/>
      <c r="P768" s="102"/>
      <c r="Q768" s="102"/>
      <c r="R768" s="102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 spans="1:28" ht="13" thickBo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102"/>
      <c r="M769" s="102"/>
      <c r="N769" s="102"/>
      <c r="O769" s="102"/>
      <c r="P769" s="102"/>
      <c r="Q769" s="102"/>
      <c r="R769" s="102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 spans="1:28" ht="13" thickBo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102"/>
      <c r="M770" s="102"/>
      <c r="N770" s="102"/>
      <c r="O770" s="102"/>
      <c r="P770" s="102"/>
      <c r="Q770" s="102"/>
      <c r="R770" s="102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 spans="1:28" ht="13" thickBo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102"/>
      <c r="M771" s="102"/>
      <c r="N771" s="102"/>
      <c r="O771" s="102"/>
      <c r="P771" s="102"/>
      <c r="Q771" s="102"/>
      <c r="R771" s="102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 spans="1:28" ht="13" thickBo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102"/>
      <c r="M772" s="102"/>
      <c r="N772" s="102"/>
      <c r="O772" s="102"/>
      <c r="P772" s="102"/>
      <c r="Q772" s="102"/>
      <c r="R772" s="102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 spans="1:28" ht="13" thickBo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102"/>
      <c r="M773" s="102"/>
      <c r="N773" s="102"/>
      <c r="O773" s="102"/>
      <c r="P773" s="102"/>
      <c r="Q773" s="102"/>
      <c r="R773" s="102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 spans="1:28" ht="13" thickBo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102"/>
      <c r="M774" s="102"/>
      <c r="N774" s="102"/>
      <c r="O774" s="102"/>
      <c r="P774" s="102"/>
      <c r="Q774" s="102"/>
      <c r="R774" s="102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 spans="1:28" ht="13" thickBo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102"/>
      <c r="M775" s="102"/>
      <c r="N775" s="102"/>
      <c r="O775" s="102"/>
      <c r="P775" s="102"/>
      <c r="Q775" s="102"/>
      <c r="R775" s="102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 spans="1:28" ht="13" thickBo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102"/>
      <c r="M776" s="102"/>
      <c r="N776" s="102"/>
      <c r="O776" s="102"/>
      <c r="P776" s="102"/>
      <c r="Q776" s="102"/>
      <c r="R776" s="102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 spans="1:28" ht="13" thickBo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102"/>
      <c r="M777" s="102"/>
      <c r="N777" s="102"/>
      <c r="O777" s="102"/>
      <c r="P777" s="102"/>
      <c r="Q777" s="102"/>
      <c r="R777" s="102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 spans="1:28" ht="13" thickBo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102"/>
      <c r="M778" s="102"/>
      <c r="N778" s="102"/>
      <c r="O778" s="102"/>
      <c r="P778" s="102"/>
      <c r="Q778" s="102"/>
      <c r="R778" s="102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 spans="1:28" ht="13" thickBo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102"/>
      <c r="M779" s="102"/>
      <c r="N779" s="102"/>
      <c r="O779" s="102"/>
      <c r="P779" s="102"/>
      <c r="Q779" s="102"/>
      <c r="R779" s="102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 spans="1:28" ht="13" thickBo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102"/>
      <c r="M780" s="102"/>
      <c r="N780" s="102"/>
      <c r="O780" s="102"/>
      <c r="P780" s="102"/>
      <c r="Q780" s="102"/>
      <c r="R780" s="102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 spans="1:28" ht="13" thickBo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102"/>
      <c r="M781" s="102"/>
      <c r="N781" s="102"/>
      <c r="O781" s="102"/>
      <c r="P781" s="102"/>
      <c r="Q781" s="102"/>
      <c r="R781" s="102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 spans="1:28" ht="13" thickBo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102"/>
      <c r="M782" s="102"/>
      <c r="N782" s="102"/>
      <c r="O782" s="102"/>
      <c r="P782" s="102"/>
      <c r="Q782" s="102"/>
      <c r="R782" s="102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 spans="1:28" ht="13" thickBo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102"/>
      <c r="M783" s="102"/>
      <c r="N783" s="102"/>
      <c r="O783" s="102"/>
      <c r="P783" s="102"/>
      <c r="Q783" s="102"/>
      <c r="R783" s="102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 spans="1:28" ht="13" thickBo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102"/>
      <c r="M784" s="102"/>
      <c r="N784" s="102"/>
      <c r="O784" s="102"/>
      <c r="P784" s="102"/>
      <c r="Q784" s="102"/>
      <c r="R784" s="102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 spans="1:28" ht="13" thickBo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102"/>
      <c r="M785" s="102"/>
      <c r="N785" s="102"/>
      <c r="O785" s="102"/>
      <c r="P785" s="102"/>
      <c r="Q785" s="102"/>
      <c r="R785" s="102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 spans="1:28" ht="13" thickBo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102"/>
      <c r="M786" s="102"/>
      <c r="N786" s="102"/>
      <c r="O786" s="102"/>
      <c r="P786" s="102"/>
      <c r="Q786" s="102"/>
      <c r="R786" s="102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 spans="1:28" ht="13" thickBo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102"/>
      <c r="M787" s="102"/>
      <c r="N787" s="102"/>
      <c r="O787" s="102"/>
      <c r="P787" s="102"/>
      <c r="Q787" s="102"/>
      <c r="R787" s="102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 spans="1:28" ht="13" thickBo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102"/>
      <c r="M788" s="102"/>
      <c r="N788" s="102"/>
      <c r="O788" s="102"/>
      <c r="P788" s="102"/>
      <c r="Q788" s="102"/>
      <c r="R788" s="102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 spans="1:28" ht="13" thickBo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102"/>
      <c r="M789" s="102"/>
      <c r="N789" s="102"/>
      <c r="O789" s="102"/>
      <c r="P789" s="102"/>
      <c r="Q789" s="102"/>
      <c r="R789" s="102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 spans="1:28" ht="13" thickBo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102"/>
      <c r="M790" s="102"/>
      <c r="N790" s="102"/>
      <c r="O790" s="102"/>
      <c r="P790" s="102"/>
      <c r="Q790" s="102"/>
      <c r="R790" s="102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 spans="1:28" ht="13" thickBo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102"/>
      <c r="M791" s="102"/>
      <c r="N791" s="102"/>
      <c r="O791" s="102"/>
      <c r="P791" s="102"/>
      <c r="Q791" s="102"/>
      <c r="R791" s="102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 spans="1:28" ht="13" thickBo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102"/>
      <c r="M792" s="102"/>
      <c r="N792" s="102"/>
      <c r="O792" s="102"/>
      <c r="P792" s="102"/>
      <c r="Q792" s="102"/>
      <c r="R792" s="102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 spans="1:28" ht="13" thickBo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102"/>
      <c r="M793" s="102"/>
      <c r="N793" s="102"/>
      <c r="O793" s="102"/>
      <c r="P793" s="102"/>
      <c r="Q793" s="102"/>
      <c r="R793" s="102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 spans="1:28" ht="13" thickBo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102"/>
      <c r="M794" s="102"/>
      <c r="N794" s="102"/>
      <c r="O794" s="102"/>
      <c r="P794" s="102"/>
      <c r="Q794" s="102"/>
      <c r="R794" s="102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 spans="1:28" ht="13" thickBo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102"/>
      <c r="M795" s="102"/>
      <c r="N795" s="102"/>
      <c r="O795" s="102"/>
      <c r="P795" s="102"/>
      <c r="Q795" s="102"/>
      <c r="R795" s="102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 spans="1:28" ht="13" thickBo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102"/>
      <c r="M796" s="102"/>
      <c r="N796" s="102"/>
      <c r="O796" s="102"/>
      <c r="P796" s="102"/>
      <c r="Q796" s="102"/>
      <c r="R796" s="102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 spans="1:28" ht="13" thickBo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102"/>
      <c r="M797" s="102"/>
      <c r="N797" s="102"/>
      <c r="O797" s="102"/>
      <c r="P797" s="102"/>
      <c r="Q797" s="102"/>
      <c r="R797" s="102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 spans="1:28" ht="13" thickBo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102"/>
      <c r="M798" s="102"/>
      <c r="N798" s="102"/>
      <c r="O798" s="102"/>
      <c r="P798" s="102"/>
      <c r="Q798" s="102"/>
      <c r="R798" s="102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 spans="1:28" ht="13" thickBo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102"/>
      <c r="M799" s="102"/>
      <c r="N799" s="102"/>
      <c r="O799" s="102"/>
      <c r="P799" s="102"/>
      <c r="Q799" s="102"/>
      <c r="R799" s="102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 spans="1:28" ht="13" thickBo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102"/>
      <c r="M800" s="102"/>
      <c r="N800" s="102"/>
      <c r="O800" s="102"/>
      <c r="P800" s="102"/>
      <c r="Q800" s="102"/>
      <c r="R800" s="102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 spans="1:28" ht="13" thickBo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102"/>
      <c r="M801" s="102"/>
      <c r="N801" s="102"/>
      <c r="O801" s="102"/>
      <c r="P801" s="102"/>
      <c r="Q801" s="102"/>
      <c r="R801" s="102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 spans="1:28" ht="13" thickBo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102"/>
      <c r="M802" s="102"/>
      <c r="N802" s="102"/>
      <c r="O802" s="102"/>
      <c r="P802" s="102"/>
      <c r="Q802" s="102"/>
      <c r="R802" s="102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 spans="1:28" ht="13" thickBo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102"/>
      <c r="M803" s="102"/>
      <c r="N803" s="102"/>
      <c r="O803" s="102"/>
      <c r="P803" s="102"/>
      <c r="Q803" s="102"/>
      <c r="R803" s="102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 spans="1:28" ht="13" thickBo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102"/>
      <c r="M804" s="102"/>
      <c r="N804" s="102"/>
      <c r="O804" s="102"/>
      <c r="P804" s="102"/>
      <c r="Q804" s="102"/>
      <c r="R804" s="102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 spans="1:28" ht="13" thickBo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102"/>
      <c r="M805" s="102"/>
      <c r="N805" s="102"/>
      <c r="O805" s="102"/>
      <c r="P805" s="102"/>
      <c r="Q805" s="102"/>
      <c r="R805" s="102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 spans="1:28" ht="13" thickBo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102"/>
      <c r="M806" s="102"/>
      <c r="N806" s="102"/>
      <c r="O806" s="102"/>
      <c r="P806" s="102"/>
      <c r="Q806" s="102"/>
      <c r="R806" s="102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 spans="1:28" ht="13" thickBo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102"/>
      <c r="M807" s="102"/>
      <c r="N807" s="102"/>
      <c r="O807" s="102"/>
      <c r="P807" s="102"/>
      <c r="Q807" s="102"/>
      <c r="R807" s="102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 spans="1:28" ht="13" thickBo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102"/>
      <c r="M808" s="102"/>
      <c r="N808" s="102"/>
      <c r="O808" s="102"/>
      <c r="P808" s="102"/>
      <c r="Q808" s="102"/>
      <c r="R808" s="102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 spans="1:28" ht="13" thickBo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102"/>
      <c r="M809" s="102"/>
      <c r="N809" s="102"/>
      <c r="O809" s="102"/>
      <c r="P809" s="102"/>
      <c r="Q809" s="102"/>
      <c r="R809" s="102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 spans="1:28" ht="13" thickBo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102"/>
      <c r="M810" s="102"/>
      <c r="N810" s="102"/>
      <c r="O810" s="102"/>
      <c r="P810" s="102"/>
      <c r="Q810" s="102"/>
      <c r="R810" s="102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 spans="1:28" ht="13" thickBo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102"/>
      <c r="M811" s="102"/>
      <c r="N811" s="102"/>
      <c r="O811" s="102"/>
      <c r="P811" s="102"/>
      <c r="Q811" s="102"/>
      <c r="R811" s="102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 spans="1:28" ht="13" thickBo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102"/>
      <c r="M812" s="102"/>
      <c r="N812" s="102"/>
      <c r="O812" s="102"/>
      <c r="P812" s="102"/>
      <c r="Q812" s="102"/>
      <c r="R812" s="102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 spans="1:28" ht="13" thickBo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102"/>
      <c r="M813" s="102"/>
      <c r="N813" s="102"/>
      <c r="O813" s="102"/>
      <c r="P813" s="102"/>
      <c r="Q813" s="102"/>
      <c r="R813" s="102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 spans="1:28" ht="13" thickBo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102"/>
      <c r="M814" s="102"/>
      <c r="N814" s="102"/>
      <c r="O814" s="102"/>
      <c r="P814" s="102"/>
      <c r="Q814" s="102"/>
      <c r="R814" s="102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 spans="1:28" ht="13" thickBo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102"/>
      <c r="M815" s="102"/>
      <c r="N815" s="102"/>
      <c r="O815" s="102"/>
      <c r="P815" s="102"/>
      <c r="Q815" s="102"/>
      <c r="R815" s="102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 spans="1:28" ht="13" thickBo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102"/>
      <c r="M816" s="102"/>
      <c r="N816" s="102"/>
      <c r="O816" s="102"/>
      <c r="P816" s="102"/>
      <c r="Q816" s="102"/>
      <c r="R816" s="102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 spans="1:28" ht="13" thickBo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102"/>
      <c r="M817" s="102"/>
      <c r="N817" s="102"/>
      <c r="O817" s="102"/>
      <c r="P817" s="102"/>
      <c r="Q817" s="102"/>
      <c r="R817" s="102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 spans="1:28" ht="13" thickBo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102"/>
      <c r="M818" s="102"/>
      <c r="N818" s="102"/>
      <c r="O818" s="102"/>
      <c r="P818" s="102"/>
      <c r="Q818" s="102"/>
      <c r="R818" s="102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 spans="1:28" ht="13" thickBo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102"/>
      <c r="M819" s="102"/>
      <c r="N819" s="102"/>
      <c r="O819" s="102"/>
      <c r="P819" s="102"/>
      <c r="Q819" s="102"/>
      <c r="R819" s="102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 spans="1:28" ht="13" thickBo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102"/>
      <c r="M820" s="102"/>
      <c r="N820" s="102"/>
      <c r="O820" s="102"/>
      <c r="P820" s="102"/>
      <c r="Q820" s="102"/>
      <c r="R820" s="102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 spans="1:28" ht="13" thickBo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102"/>
      <c r="M821" s="102"/>
      <c r="N821" s="102"/>
      <c r="O821" s="102"/>
      <c r="P821" s="102"/>
      <c r="Q821" s="102"/>
      <c r="R821" s="102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 spans="1:28" ht="13" thickBo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102"/>
      <c r="M822" s="102"/>
      <c r="N822" s="102"/>
      <c r="O822" s="102"/>
      <c r="P822" s="102"/>
      <c r="Q822" s="102"/>
      <c r="R822" s="102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 spans="1:28" ht="13" thickBo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102"/>
      <c r="M823" s="102"/>
      <c r="N823" s="102"/>
      <c r="O823" s="102"/>
      <c r="P823" s="102"/>
      <c r="Q823" s="102"/>
      <c r="R823" s="102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 spans="1:28" ht="13" thickBo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102"/>
      <c r="M824" s="102"/>
      <c r="N824" s="102"/>
      <c r="O824" s="102"/>
      <c r="P824" s="102"/>
      <c r="Q824" s="102"/>
      <c r="R824" s="102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 spans="1:28" ht="13" thickBo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102"/>
      <c r="M825" s="102"/>
      <c r="N825" s="102"/>
      <c r="O825" s="102"/>
      <c r="P825" s="102"/>
      <c r="Q825" s="102"/>
      <c r="R825" s="102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 spans="1:28" ht="13" thickBo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102"/>
      <c r="M826" s="102"/>
      <c r="N826" s="102"/>
      <c r="O826" s="102"/>
      <c r="P826" s="102"/>
      <c r="Q826" s="102"/>
      <c r="R826" s="102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 spans="1:28" ht="13" thickBo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102"/>
      <c r="M827" s="102"/>
      <c r="N827" s="102"/>
      <c r="O827" s="102"/>
      <c r="P827" s="102"/>
      <c r="Q827" s="102"/>
      <c r="R827" s="102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 spans="1:28" ht="13" thickBo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102"/>
      <c r="M828" s="102"/>
      <c r="N828" s="102"/>
      <c r="O828" s="102"/>
      <c r="P828" s="102"/>
      <c r="Q828" s="102"/>
      <c r="R828" s="102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 spans="1:28" ht="13" thickBo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102"/>
      <c r="M829" s="102"/>
      <c r="N829" s="102"/>
      <c r="O829" s="102"/>
      <c r="P829" s="102"/>
      <c r="Q829" s="102"/>
      <c r="R829" s="102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 spans="1:28" ht="13" thickBo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102"/>
      <c r="M830" s="102"/>
      <c r="N830" s="102"/>
      <c r="O830" s="102"/>
      <c r="P830" s="102"/>
      <c r="Q830" s="102"/>
      <c r="R830" s="102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 spans="1:28" ht="13" thickBo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102"/>
      <c r="M831" s="102"/>
      <c r="N831" s="102"/>
      <c r="O831" s="102"/>
      <c r="P831" s="102"/>
      <c r="Q831" s="102"/>
      <c r="R831" s="102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 spans="1:28" ht="13" thickBo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102"/>
      <c r="M832" s="102"/>
      <c r="N832" s="102"/>
      <c r="O832" s="102"/>
      <c r="P832" s="102"/>
      <c r="Q832" s="102"/>
      <c r="R832" s="102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 spans="1:28" ht="13" thickBo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102"/>
      <c r="M833" s="102"/>
      <c r="N833" s="102"/>
      <c r="O833" s="102"/>
      <c r="P833" s="102"/>
      <c r="Q833" s="102"/>
      <c r="R833" s="102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 spans="1:28" ht="13" thickBo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102"/>
      <c r="M834" s="102"/>
      <c r="N834" s="102"/>
      <c r="O834" s="102"/>
      <c r="P834" s="102"/>
      <c r="Q834" s="102"/>
      <c r="R834" s="102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 spans="1:28" ht="13" thickBo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102"/>
      <c r="M835" s="102"/>
      <c r="N835" s="102"/>
      <c r="O835" s="102"/>
      <c r="P835" s="102"/>
      <c r="Q835" s="102"/>
      <c r="R835" s="102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 spans="1:28" ht="13" thickBo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102"/>
      <c r="M836" s="102"/>
      <c r="N836" s="102"/>
      <c r="O836" s="102"/>
      <c r="P836" s="102"/>
      <c r="Q836" s="102"/>
      <c r="R836" s="102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 spans="1:28" ht="13" thickBo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102"/>
      <c r="M837" s="102"/>
      <c r="N837" s="102"/>
      <c r="O837" s="102"/>
      <c r="P837" s="102"/>
      <c r="Q837" s="102"/>
      <c r="R837" s="102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 spans="1:28" ht="13" thickBo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102"/>
      <c r="M838" s="102"/>
      <c r="N838" s="102"/>
      <c r="O838" s="102"/>
      <c r="P838" s="102"/>
      <c r="Q838" s="102"/>
      <c r="R838" s="102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 spans="1:28" ht="13" thickBo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102"/>
      <c r="M839" s="102"/>
      <c r="N839" s="102"/>
      <c r="O839" s="102"/>
      <c r="P839" s="102"/>
      <c r="Q839" s="102"/>
      <c r="R839" s="102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 spans="1:28" ht="13" thickBo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102"/>
      <c r="M840" s="102"/>
      <c r="N840" s="102"/>
      <c r="O840" s="102"/>
      <c r="P840" s="102"/>
      <c r="Q840" s="102"/>
      <c r="R840" s="102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 spans="1:28" ht="13" thickBo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102"/>
      <c r="M841" s="102"/>
      <c r="N841" s="102"/>
      <c r="O841" s="102"/>
      <c r="P841" s="102"/>
      <c r="Q841" s="102"/>
      <c r="R841" s="102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 spans="1:28" ht="13" thickBo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102"/>
      <c r="M842" s="102"/>
      <c r="N842" s="102"/>
      <c r="O842" s="102"/>
      <c r="P842" s="102"/>
      <c r="Q842" s="102"/>
      <c r="R842" s="102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 spans="1:28" ht="13" thickBo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102"/>
      <c r="M843" s="102"/>
      <c r="N843" s="102"/>
      <c r="O843" s="102"/>
      <c r="P843" s="102"/>
      <c r="Q843" s="102"/>
      <c r="R843" s="102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 spans="1:28" ht="13" thickBo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102"/>
      <c r="M844" s="102"/>
      <c r="N844" s="102"/>
      <c r="O844" s="102"/>
      <c r="P844" s="102"/>
      <c r="Q844" s="102"/>
      <c r="R844" s="102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 spans="1:28" ht="13" thickBo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102"/>
      <c r="M845" s="102"/>
      <c r="N845" s="102"/>
      <c r="O845" s="102"/>
      <c r="P845" s="102"/>
      <c r="Q845" s="102"/>
      <c r="R845" s="102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 spans="1:28" ht="13" thickBo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102"/>
      <c r="M846" s="102"/>
      <c r="N846" s="102"/>
      <c r="O846" s="102"/>
      <c r="P846" s="102"/>
      <c r="Q846" s="102"/>
      <c r="R846" s="102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 spans="1:28" ht="13" thickBo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102"/>
      <c r="M847" s="102"/>
      <c r="N847" s="102"/>
      <c r="O847" s="102"/>
      <c r="P847" s="102"/>
      <c r="Q847" s="102"/>
      <c r="R847" s="102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 spans="1:28" ht="13" thickBo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102"/>
      <c r="M848" s="102"/>
      <c r="N848" s="102"/>
      <c r="O848" s="102"/>
      <c r="P848" s="102"/>
      <c r="Q848" s="102"/>
      <c r="R848" s="102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 spans="1:28" ht="13" thickBo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102"/>
      <c r="M849" s="102"/>
      <c r="N849" s="102"/>
      <c r="O849" s="102"/>
      <c r="P849" s="102"/>
      <c r="Q849" s="102"/>
      <c r="R849" s="102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 spans="1:28" ht="13" thickBo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102"/>
      <c r="M850" s="102"/>
      <c r="N850" s="102"/>
      <c r="O850" s="102"/>
      <c r="P850" s="102"/>
      <c r="Q850" s="102"/>
      <c r="R850" s="102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 spans="1:28" ht="13" thickBo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102"/>
      <c r="M851" s="102"/>
      <c r="N851" s="102"/>
      <c r="O851" s="102"/>
      <c r="P851" s="102"/>
      <c r="Q851" s="102"/>
      <c r="R851" s="102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 spans="1:28" ht="13" thickBo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102"/>
      <c r="M852" s="102"/>
      <c r="N852" s="102"/>
      <c r="O852" s="102"/>
      <c r="P852" s="102"/>
      <c r="Q852" s="102"/>
      <c r="R852" s="102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 spans="1:28" ht="13" thickBo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102"/>
      <c r="M853" s="102"/>
      <c r="N853" s="102"/>
      <c r="O853" s="102"/>
      <c r="P853" s="102"/>
      <c r="Q853" s="102"/>
      <c r="R853" s="102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 spans="1:28" ht="13" thickBo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102"/>
      <c r="M854" s="102"/>
      <c r="N854" s="102"/>
      <c r="O854" s="102"/>
      <c r="P854" s="102"/>
      <c r="Q854" s="102"/>
      <c r="R854" s="102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 spans="1:28" ht="13" thickBo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102"/>
      <c r="M855" s="102"/>
      <c r="N855" s="102"/>
      <c r="O855" s="102"/>
      <c r="P855" s="102"/>
      <c r="Q855" s="102"/>
      <c r="R855" s="102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 spans="1:28" ht="13" thickBo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102"/>
      <c r="M856" s="102"/>
      <c r="N856" s="102"/>
      <c r="O856" s="102"/>
      <c r="P856" s="102"/>
      <c r="Q856" s="102"/>
      <c r="R856" s="102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 spans="1:28" ht="13" thickBo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102"/>
      <c r="M857" s="102"/>
      <c r="N857" s="102"/>
      <c r="O857" s="102"/>
      <c r="P857" s="102"/>
      <c r="Q857" s="102"/>
      <c r="R857" s="102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 spans="1:28" ht="13" thickBo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102"/>
      <c r="M858" s="102"/>
      <c r="N858" s="102"/>
      <c r="O858" s="102"/>
      <c r="P858" s="102"/>
      <c r="Q858" s="102"/>
      <c r="R858" s="102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 spans="1:28" ht="13" thickBo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102"/>
      <c r="M859" s="102"/>
      <c r="N859" s="102"/>
      <c r="O859" s="102"/>
      <c r="P859" s="102"/>
      <c r="Q859" s="102"/>
      <c r="R859" s="102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 spans="1:28" ht="13" thickBo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102"/>
      <c r="M860" s="102"/>
      <c r="N860" s="102"/>
      <c r="O860" s="102"/>
      <c r="P860" s="102"/>
      <c r="Q860" s="102"/>
      <c r="R860" s="102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 spans="1:28" ht="13" thickBo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102"/>
      <c r="M861" s="102"/>
      <c r="N861" s="102"/>
      <c r="O861" s="102"/>
      <c r="P861" s="102"/>
      <c r="Q861" s="102"/>
      <c r="R861" s="102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 spans="1:28" ht="13" thickBo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102"/>
      <c r="M862" s="102"/>
      <c r="N862" s="102"/>
      <c r="O862" s="102"/>
      <c r="P862" s="102"/>
      <c r="Q862" s="102"/>
      <c r="R862" s="102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 spans="1:28" ht="13" thickBo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102"/>
      <c r="M863" s="102"/>
      <c r="N863" s="102"/>
      <c r="O863" s="102"/>
      <c r="P863" s="102"/>
      <c r="Q863" s="102"/>
      <c r="R863" s="102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 spans="1:28" ht="13" thickBo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102"/>
      <c r="M864" s="102"/>
      <c r="N864" s="102"/>
      <c r="O864" s="102"/>
      <c r="P864" s="102"/>
      <c r="Q864" s="102"/>
      <c r="R864" s="102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 spans="1:28" ht="13" thickBo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102"/>
      <c r="M865" s="102"/>
      <c r="N865" s="102"/>
      <c r="O865" s="102"/>
      <c r="P865" s="102"/>
      <c r="Q865" s="102"/>
      <c r="R865" s="102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 spans="1:28" ht="13" thickBo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102"/>
      <c r="M866" s="102"/>
      <c r="N866" s="102"/>
      <c r="O866" s="102"/>
      <c r="P866" s="102"/>
      <c r="Q866" s="102"/>
      <c r="R866" s="102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 spans="1:28" ht="13" thickBo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102"/>
      <c r="M867" s="102"/>
      <c r="N867" s="102"/>
      <c r="O867" s="102"/>
      <c r="P867" s="102"/>
      <c r="Q867" s="102"/>
      <c r="R867" s="102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 spans="1:28" ht="13" thickBo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102"/>
      <c r="M868" s="102"/>
      <c r="N868" s="102"/>
      <c r="O868" s="102"/>
      <c r="P868" s="102"/>
      <c r="Q868" s="102"/>
      <c r="R868" s="102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 spans="1:28" ht="13" thickBo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102"/>
      <c r="M869" s="102"/>
      <c r="N869" s="102"/>
      <c r="O869" s="102"/>
      <c r="P869" s="102"/>
      <c r="Q869" s="102"/>
      <c r="R869" s="102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 spans="1:28" ht="13" thickBo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102"/>
      <c r="M870" s="102"/>
      <c r="N870" s="102"/>
      <c r="O870" s="102"/>
      <c r="P870" s="102"/>
      <c r="Q870" s="102"/>
      <c r="R870" s="102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 spans="1:28" ht="13" thickBo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102"/>
      <c r="M871" s="102"/>
      <c r="N871" s="102"/>
      <c r="O871" s="102"/>
      <c r="P871" s="102"/>
      <c r="Q871" s="102"/>
      <c r="R871" s="102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 spans="1:28" ht="13" thickBo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102"/>
      <c r="M872" s="102"/>
      <c r="N872" s="102"/>
      <c r="O872" s="102"/>
      <c r="P872" s="102"/>
      <c r="Q872" s="102"/>
      <c r="R872" s="102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 spans="1:28" ht="13" thickBo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102"/>
      <c r="M873" s="102"/>
      <c r="N873" s="102"/>
      <c r="O873" s="102"/>
      <c r="P873" s="102"/>
      <c r="Q873" s="102"/>
      <c r="R873" s="102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 spans="1:28" ht="13" thickBo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102"/>
      <c r="M874" s="102"/>
      <c r="N874" s="102"/>
      <c r="O874" s="102"/>
      <c r="P874" s="102"/>
      <c r="Q874" s="102"/>
      <c r="R874" s="102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 spans="1:28" ht="13" thickBo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102"/>
      <c r="M875" s="102"/>
      <c r="N875" s="102"/>
      <c r="O875" s="102"/>
      <c r="P875" s="102"/>
      <c r="Q875" s="102"/>
      <c r="R875" s="102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 spans="1:28" ht="13" thickBo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102"/>
      <c r="M876" s="102"/>
      <c r="N876" s="102"/>
      <c r="O876" s="102"/>
      <c r="P876" s="102"/>
      <c r="Q876" s="102"/>
      <c r="R876" s="102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 spans="1:28" ht="13" thickBo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102"/>
      <c r="M877" s="102"/>
      <c r="N877" s="102"/>
      <c r="O877" s="102"/>
      <c r="P877" s="102"/>
      <c r="Q877" s="102"/>
      <c r="R877" s="102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 spans="1:28" ht="13" thickBo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102"/>
      <c r="M878" s="102"/>
      <c r="N878" s="102"/>
      <c r="O878" s="102"/>
      <c r="P878" s="102"/>
      <c r="Q878" s="102"/>
      <c r="R878" s="102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 spans="1:28" ht="13" thickBo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102"/>
      <c r="M879" s="102"/>
      <c r="N879" s="102"/>
      <c r="O879" s="102"/>
      <c r="P879" s="102"/>
      <c r="Q879" s="102"/>
      <c r="R879" s="102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 spans="1:28" ht="13" thickBo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102"/>
      <c r="M880" s="102"/>
      <c r="N880" s="102"/>
      <c r="O880" s="102"/>
      <c r="P880" s="102"/>
      <c r="Q880" s="102"/>
      <c r="R880" s="102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 spans="1:28" ht="13" thickBo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102"/>
      <c r="M881" s="102"/>
      <c r="N881" s="102"/>
      <c r="O881" s="102"/>
      <c r="P881" s="102"/>
      <c r="Q881" s="102"/>
      <c r="R881" s="102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 spans="1:28" ht="13" thickBo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102"/>
      <c r="M882" s="102"/>
      <c r="N882" s="102"/>
      <c r="O882" s="102"/>
      <c r="P882" s="102"/>
      <c r="Q882" s="102"/>
      <c r="R882" s="102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 spans="1:28" ht="13" thickBo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102"/>
      <c r="M883" s="102"/>
      <c r="N883" s="102"/>
      <c r="O883" s="102"/>
      <c r="P883" s="102"/>
      <c r="Q883" s="102"/>
      <c r="R883" s="102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 spans="1:28" ht="13" thickBo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102"/>
      <c r="M884" s="102"/>
      <c r="N884" s="102"/>
      <c r="O884" s="102"/>
      <c r="P884" s="102"/>
      <c r="Q884" s="102"/>
      <c r="R884" s="102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 spans="1:28" ht="13" thickBo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102"/>
      <c r="M885" s="102"/>
      <c r="N885" s="102"/>
      <c r="O885" s="102"/>
      <c r="P885" s="102"/>
      <c r="Q885" s="102"/>
      <c r="R885" s="102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 spans="1:28" ht="13" thickBo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102"/>
      <c r="M886" s="102"/>
      <c r="N886" s="102"/>
      <c r="O886" s="102"/>
      <c r="P886" s="102"/>
      <c r="Q886" s="102"/>
      <c r="R886" s="102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 spans="1:28" ht="13" thickBo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102"/>
      <c r="M887" s="102"/>
      <c r="N887" s="102"/>
      <c r="O887" s="102"/>
      <c r="P887" s="102"/>
      <c r="Q887" s="102"/>
      <c r="R887" s="102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 spans="1:28" ht="13" thickBo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102"/>
      <c r="M888" s="102"/>
      <c r="N888" s="102"/>
      <c r="O888" s="102"/>
      <c r="P888" s="102"/>
      <c r="Q888" s="102"/>
      <c r="R888" s="102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 spans="1:28" ht="13" thickBo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102"/>
      <c r="M889" s="102"/>
      <c r="N889" s="102"/>
      <c r="O889" s="102"/>
      <c r="P889" s="102"/>
      <c r="Q889" s="102"/>
      <c r="R889" s="102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 spans="1:28" ht="13" thickBo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102"/>
      <c r="M890" s="102"/>
      <c r="N890" s="102"/>
      <c r="O890" s="102"/>
      <c r="P890" s="102"/>
      <c r="Q890" s="102"/>
      <c r="R890" s="102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 spans="1:28" ht="13" thickBo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102"/>
      <c r="M891" s="102"/>
      <c r="N891" s="102"/>
      <c r="O891" s="102"/>
      <c r="P891" s="102"/>
      <c r="Q891" s="102"/>
      <c r="R891" s="102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 spans="1:28" ht="13" thickBo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102"/>
      <c r="M892" s="102"/>
      <c r="N892" s="102"/>
      <c r="O892" s="102"/>
      <c r="P892" s="102"/>
      <c r="Q892" s="102"/>
      <c r="R892" s="102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 spans="1:28" ht="13" thickBo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102"/>
      <c r="M893" s="102"/>
      <c r="N893" s="102"/>
      <c r="O893" s="102"/>
      <c r="P893" s="102"/>
      <c r="Q893" s="102"/>
      <c r="R893" s="102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 spans="1:28" ht="13" thickBo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102"/>
      <c r="M894" s="102"/>
      <c r="N894" s="102"/>
      <c r="O894" s="102"/>
      <c r="P894" s="102"/>
      <c r="Q894" s="102"/>
      <c r="R894" s="102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 spans="1:28" ht="13" thickBo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102"/>
      <c r="M895" s="102"/>
      <c r="N895" s="102"/>
      <c r="O895" s="102"/>
      <c r="P895" s="102"/>
      <c r="Q895" s="102"/>
      <c r="R895" s="102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 spans="1:28" ht="13" thickBo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102"/>
      <c r="M896" s="102"/>
      <c r="N896" s="102"/>
      <c r="O896" s="102"/>
      <c r="P896" s="102"/>
      <c r="Q896" s="102"/>
      <c r="R896" s="102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 spans="1:28" ht="13" thickBo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102"/>
      <c r="M897" s="102"/>
      <c r="N897" s="102"/>
      <c r="O897" s="102"/>
      <c r="P897" s="102"/>
      <c r="Q897" s="102"/>
      <c r="R897" s="102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 spans="1:28" ht="13" thickBo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102"/>
      <c r="M898" s="102"/>
      <c r="N898" s="102"/>
      <c r="O898" s="102"/>
      <c r="P898" s="102"/>
      <c r="Q898" s="102"/>
      <c r="R898" s="102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 spans="1:28" ht="13" thickBo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102"/>
      <c r="M899" s="102"/>
      <c r="N899" s="102"/>
      <c r="O899" s="102"/>
      <c r="P899" s="102"/>
      <c r="Q899" s="102"/>
      <c r="R899" s="102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 spans="1:28" ht="13" thickBo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102"/>
      <c r="M900" s="102"/>
      <c r="N900" s="102"/>
      <c r="O900" s="102"/>
      <c r="P900" s="102"/>
      <c r="Q900" s="102"/>
      <c r="R900" s="102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 spans="1:28" ht="13" thickBo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102"/>
      <c r="M901" s="102"/>
      <c r="N901" s="102"/>
      <c r="O901" s="102"/>
      <c r="P901" s="102"/>
      <c r="Q901" s="102"/>
      <c r="R901" s="102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 spans="1:28" ht="13" thickBo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102"/>
      <c r="M902" s="102"/>
      <c r="N902" s="102"/>
      <c r="O902" s="102"/>
      <c r="P902" s="102"/>
      <c r="Q902" s="102"/>
      <c r="R902" s="102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 spans="1:28" ht="13" thickBo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102"/>
      <c r="M903" s="102"/>
      <c r="N903" s="102"/>
      <c r="O903" s="102"/>
      <c r="P903" s="102"/>
      <c r="Q903" s="102"/>
      <c r="R903" s="102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 spans="1:28" ht="13" thickBo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102"/>
      <c r="M904" s="102"/>
      <c r="N904" s="102"/>
      <c r="O904" s="102"/>
      <c r="P904" s="102"/>
      <c r="Q904" s="102"/>
      <c r="R904" s="102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 spans="1:28" ht="13" thickBo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102"/>
      <c r="M905" s="102"/>
      <c r="N905" s="102"/>
      <c r="O905" s="102"/>
      <c r="P905" s="102"/>
      <c r="Q905" s="102"/>
      <c r="R905" s="102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 spans="1:28" ht="13" thickBo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102"/>
      <c r="M906" s="102"/>
      <c r="N906" s="102"/>
      <c r="O906" s="102"/>
      <c r="P906" s="102"/>
      <c r="Q906" s="102"/>
      <c r="R906" s="102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 spans="1:28" ht="13" thickBo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102"/>
      <c r="M907" s="102"/>
      <c r="N907" s="102"/>
      <c r="O907" s="102"/>
      <c r="P907" s="102"/>
      <c r="Q907" s="102"/>
      <c r="R907" s="102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 spans="1:28" ht="13" thickBo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102"/>
      <c r="M908" s="102"/>
      <c r="N908" s="102"/>
      <c r="O908" s="102"/>
      <c r="P908" s="102"/>
      <c r="Q908" s="102"/>
      <c r="R908" s="102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 spans="1:28" ht="13" thickBo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102"/>
      <c r="M909" s="102"/>
      <c r="N909" s="102"/>
      <c r="O909" s="102"/>
      <c r="P909" s="102"/>
      <c r="Q909" s="102"/>
      <c r="R909" s="102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 spans="1:28" ht="13" thickBo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102"/>
      <c r="M910" s="102"/>
      <c r="N910" s="102"/>
      <c r="O910" s="102"/>
      <c r="P910" s="102"/>
      <c r="Q910" s="102"/>
      <c r="R910" s="102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 spans="1:28" ht="13" thickBo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102"/>
      <c r="M911" s="102"/>
      <c r="N911" s="102"/>
      <c r="O911" s="102"/>
      <c r="P911" s="102"/>
      <c r="Q911" s="102"/>
      <c r="R911" s="102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 spans="1:28" ht="13" thickBo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102"/>
      <c r="M912" s="102"/>
      <c r="N912" s="102"/>
      <c r="O912" s="102"/>
      <c r="P912" s="102"/>
      <c r="Q912" s="102"/>
      <c r="R912" s="102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 spans="1:28" ht="13" thickBo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102"/>
      <c r="M913" s="102"/>
      <c r="N913" s="102"/>
      <c r="O913" s="102"/>
      <c r="P913" s="102"/>
      <c r="Q913" s="102"/>
      <c r="R913" s="102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 spans="1:28" ht="13" thickBo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102"/>
      <c r="M914" s="102"/>
      <c r="N914" s="102"/>
      <c r="O914" s="102"/>
      <c r="P914" s="102"/>
      <c r="Q914" s="102"/>
      <c r="R914" s="102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 spans="1:28" ht="13" thickBo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102"/>
      <c r="M915" s="102"/>
      <c r="N915" s="102"/>
      <c r="O915" s="102"/>
      <c r="P915" s="102"/>
      <c r="Q915" s="102"/>
      <c r="R915" s="102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 spans="1:28" ht="13" thickBo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102"/>
      <c r="M916" s="102"/>
      <c r="N916" s="102"/>
      <c r="O916" s="102"/>
      <c r="P916" s="102"/>
      <c r="Q916" s="102"/>
      <c r="R916" s="102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 spans="1:28" ht="13" thickBo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102"/>
      <c r="M917" s="102"/>
      <c r="N917" s="102"/>
      <c r="O917" s="102"/>
      <c r="P917" s="102"/>
      <c r="Q917" s="102"/>
      <c r="R917" s="102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 spans="1:28" ht="13" thickBo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102"/>
      <c r="M918" s="102"/>
      <c r="N918" s="102"/>
      <c r="O918" s="102"/>
      <c r="P918" s="102"/>
      <c r="Q918" s="102"/>
      <c r="R918" s="102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 spans="1:28" ht="13" thickBo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102"/>
      <c r="M919" s="102"/>
      <c r="N919" s="102"/>
      <c r="O919" s="102"/>
      <c r="P919" s="102"/>
      <c r="Q919" s="102"/>
      <c r="R919" s="102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 spans="1:28" ht="13" thickBo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102"/>
      <c r="M920" s="102"/>
      <c r="N920" s="102"/>
      <c r="O920" s="102"/>
      <c r="P920" s="102"/>
      <c r="Q920" s="102"/>
      <c r="R920" s="102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 spans="1:28" ht="13" thickBo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102"/>
      <c r="M921" s="102"/>
      <c r="N921" s="102"/>
      <c r="O921" s="102"/>
      <c r="P921" s="102"/>
      <c r="Q921" s="102"/>
      <c r="R921" s="102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 spans="1:28" ht="13" thickBo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102"/>
      <c r="M922" s="102"/>
      <c r="N922" s="102"/>
      <c r="O922" s="102"/>
      <c r="P922" s="102"/>
      <c r="Q922" s="102"/>
      <c r="R922" s="102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 spans="1:28" ht="13" thickBo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102"/>
      <c r="M923" s="102"/>
      <c r="N923" s="102"/>
      <c r="O923" s="102"/>
      <c r="P923" s="102"/>
      <c r="Q923" s="102"/>
      <c r="R923" s="102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 spans="1:28" ht="13" thickBo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102"/>
      <c r="M924" s="102"/>
      <c r="N924" s="102"/>
      <c r="O924" s="102"/>
      <c r="P924" s="102"/>
      <c r="Q924" s="102"/>
      <c r="R924" s="102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 spans="1:28" ht="13" thickBo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102"/>
      <c r="M925" s="102"/>
      <c r="N925" s="102"/>
      <c r="O925" s="102"/>
      <c r="P925" s="102"/>
      <c r="Q925" s="102"/>
      <c r="R925" s="102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 spans="1:28" ht="13" thickBo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102"/>
      <c r="M926" s="102"/>
      <c r="N926" s="102"/>
      <c r="O926" s="102"/>
      <c r="P926" s="102"/>
      <c r="Q926" s="102"/>
      <c r="R926" s="102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 spans="1:28" ht="13" thickBo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102"/>
      <c r="M927" s="102"/>
      <c r="N927" s="102"/>
      <c r="O927" s="102"/>
      <c r="P927" s="102"/>
      <c r="Q927" s="102"/>
      <c r="R927" s="102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 spans="1:28" ht="13" thickBo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102"/>
      <c r="M928" s="102"/>
      <c r="N928" s="102"/>
      <c r="O928" s="102"/>
      <c r="P928" s="102"/>
      <c r="Q928" s="102"/>
      <c r="R928" s="102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 spans="1:28" ht="13" thickBo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102"/>
      <c r="M929" s="102"/>
      <c r="N929" s="102"/>
      <c r="O929" s="102"/>
      <c r="P929" s="102"/>
      <c r="Q929" s="102"/>
      <c r="R929" s="102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 spans="1:28" ht="13" thickBo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102"/>
      <c r="M930" s="102"/>
      <c r="N930" s="102"/>
      <c r="O930" s="102"/>
      <c r="P930" s="102"/>
      <c r="Q930" s="102"/>
      <c r="R930" s="102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 spans="1:28" ht="13" thickBo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102"/>
      <c r="M931" s="102"/>
      <c r="N931" s="102"/>
      <c r="O931" s="102"/>
      <c r="P931" s="102"/>
      <c r="Q931" s="102"/>
      <c r="R931" s="102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 spans="1:28" ht="13" thickBo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102"/>
      <c r="M932" s="102"/>
      <c r="N932" s="102"/>
      <c r="O932" s="102"/>
      <c r="P932" s="102"/>
      <c r="Q932" s="102"/>
      <c r="R932" s="102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 spans="1:28" ht="13" thickBo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102"/>
      <c r="M933" s="102"/>
      <c r="N933" s="102"/>
      <c r="O933" s="102"/>
      <c r="P933" s="102"/>
      <c r="Q933" s="102"/>
      <c r="R933" s="102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 spans="1:28" ht="13" thickBo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102"/>
      <c r="M934" s="102"/>
      <c r="N934" s="102"/>
      <c r="O934" s="102"/>
      <c r="P934" s="102"/>
      <c r="Q934" s="102"/>
      <c r="R934" s="102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 spans="1:28" ht="13" thickBo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102"/>
      <c r="M935" s="102"/>
      <c r="N935" s="102"/>
      <c r="O935" s="102"/>
      <c r="P935" s="102"/>
      <c r="Q935" s="102"/>
      <c r="R935" s="102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 spans="1:28" ht="13" thickBo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102"/>
      <c r="M936" s="102"/>
      <c r="N936" s="102"/>
      <c r="O936" s="102"/>
      <c r="P936" s="102"/>
      <c r="Q936" s="102"/>
      <c r="R936" s="102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 spans="1:28" ht="13" thickBo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102"/>
      <c r="M937" s="102"/>
      <c r="N937" s="102"/>
      <c r="O937" s="102"/>
      <c r="P937" s="102"/>
      <c r="Q937" s="102"/>
      <c r="R937" s="102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 spans="1:28" ht="13" thickBo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102"/>
      <c r="M938" s="102"/>
      <c r="N938" s="102"/>
      <c r="O938" s="102"/>
      <c r="P938" s="102"/>
      <c r="Q938" s="102"/>
      <c r="R938" s="102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 spans="1:28" ht="13" thickBo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102"/>
      <c r="M939" s="102"/>
      <c r="N939" s="102"/>
      <c r="O939" s="102"/>
      <c r="P939" s="102"/>
      <c r="Q939" s="102"/>
      <c r="R939" s="102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 spans="1:28" ht="13" thickBo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102"/>
      <c r="M940" s="102"/>
      <c r="N940" s="102"/>
      <c r="O940" s="102"/>
      <c r="P940" s="102"/>
      <c r="Q940" s="102"/>
      <c r="R940" s="102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 spans="1:28" ht="13" thickBo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102"/>
      <c r="M941" s="102"/>
      <c r="N941" s="102"/>
      <c r="O941" s="102"/>
      <c r="P941" s="102"/>
      <c r="Q941" s="102"/>
      <c r="R941" s="102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 spans="1:28" ht="13" thickBo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102"/>
      <c r="M942" s="102"/>
      <c r="N942" s="102"/>
      <c r="O942" s="102"/>
      <c r="P942" s="102"/>
      <c r="Q942" s="102"/>
      <c r="R942" s="102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 spans="1:28" ht="13" thickBo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102"/>
      <c r="M943" s="102"/>
      <c r="N943" s="102"/>
      <c r="O943" s="102"/>
      <c r="P943" s="102"/>
      <c r="Q943" s="102"/>
      <c r="R943" s="102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 spans="1:28" ht="13" thickBo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102"/>
      <c r="M944" s="102"/>
      <c r="N944" s="102"/>
      <c r="O944" s="102"/>
      <c r="P944" s="102"/>
      <c r="Q944" s="102"/>
      <c r="R944" s="102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 spans="1:28" ht="13" thickBo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102"/>
      <c r="M945" s="102"/>
      <c r="N945" s="102"/>
      <c r="O945" s="102"/>
      <c r="P945" s="102"/>
      <c r="Q945" s="102"/>
      <c r="R945" s="102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 spans="1:28" ht="13" thickBo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102"/>
      <c r="M946" s="102"/>
      <c r="N946" s="102"/>
      <c r="O946" s="102"/>
      <c r="P946" s="102"/>
      <c r="Q946" s="102"/>
      <c r="R946" s="102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 spans="1:28" ht="13" thickBo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102"/>
      <c r="M947" s="102"/>
      <c r="N947" s="102"/>
      <c r="O947" s="102"/>
      <c r="P947" s="102"/>
      <c r="Q947" s="102"/>
      <c r="R947" s="102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 spans="1:28" ht="13" thickBo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102"/>
      <c r="M948" s="102"/>
      <c r="N948" s="102"/>
      <c r="O948" s="102"/>
      <c r="P948" s="102"/>
      <c r="Q948" s="102"/>
      <c r="R948" s="102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 spans="1:28" ht="13" thickBo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102"/>
      <c r="M949" s="102"/>
      <c r="N949" s="102"/>
      <c r="O949" s="102"/>
      <c r="P949" s="102"/>
      <c r="Q949" s="102"/>
      <c r="R949" s="102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 spans="1:28" ht="13" thickBo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102"/>
      <c r="M950" s="102"/>
      <c r="N950" s="102"/>
      <c r="O950" s="102"/>
      <c r="P950" s="102"/>
      <c r="Q950" s="102"/>
      <c r="R950" s="102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 spans="1:28" ht="13" thickBo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102"/>
      <c r="M951" s="102"/>
      <c r="N951" s="102"/>
      <c r="O951" s="102"/>
      <c r="P951" s="102"/>
      <c r="Q951" s="102"/>
      <c r="R951" s="102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 spans="1:28" ht="13" thickBo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102"/>
      <c r="M952" s="102"/>
      <c r="N952" s="102"/>
      <c r="O952" s="102"/>
      <c r="P952" s="102"/>
      <c r="Q952" s="102"/>
      <c r="R952" s="102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 spans="1:28" ht="13" thickBo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102"/>
      <c r="M953" s="102"/>
      <c r="N953" s="102"/>
      <c r="O953" s="102"/>
      <c r="P953" s="102"/>
      <c r="Q953" s="102"/>
      <c r="R953" s="102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 spans="1:28" ht="13" thickBo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102"/>
      <c r="M954" s="102"/>
      <c r="N954" s="102"/>
      <c r="O954" s="102"/>
      <c r="P954" s="102"/>
      <c r="Q954" s="102"/>
      <c r="R954" s="102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 spans="1:28" ht="13" thickBo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102"/>
      <c r="M955" s="102"/>
      <c r="N955" s="102"/>
      <c r="O955" s="102"/>
      <c r="P955" s="102"/>
      <c r="Q955" s="102"/>
      <c r="R955" s="102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 spans="1:28" ht="13" thickBo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102"/>
      <c r="M956" s="102"/>
      <c r="N956" s="102"/>
      <c r="O956" s="102"/>
      <c r="P956" s="102"/>
      <c r="Q956" s="102"/>
      <c r="R956" s="102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 spans="1:28" ht="13" thickBo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102"/>
      <c r="M957" s="102"/>
      <c r="N957" s="102"/>
      <c r="O957" s="102"/>
      <c r="P957" s="102"/>
      <c r="Q957" s="102"/>
      <c r="R957" s="102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 spans="1:28" ht="13" thickBo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102"/>
      <c r="M958" s="102"/>
      <c r="N958" s="102"/>
      <c r="O958" s="102"/>
      <c r="P958" s="102"/>
      <c r="Q958" s="102"/>
      <c r="R958" s="102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 spans="1:28" ht="13" thickBo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102"/>
      <c r="M959" s="102"/>
      <c r="N959" s="102"/>
      <c r="O959" s="102"/>
      <c r="P959" s="102"/>
      <c r="Q959" s="102"/>
      <c r="R959" s="102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 spans="1:28" ht="13" thickBo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102"/>
      <c r="M960" s="102"/>
      <c r="N960" s="102"/>
      <c r="O960" s="102"/>
      <c r="P960" s="102"/>
      <c r="Q960" s="102"/>
      <c r="R960" s="102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 spans="1:28" ht="13" thickBo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102"/>
      <c r="M961" s="102"/>
      <c r="N961" s="102"/>
      <c r="O961" s="102"/>
      <c r="P961" s="102"/>
      <c r="Q961" s="102"/>
      <c r="R961" s="102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 spans="1:28" ht="13" thickBo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102"/>
      <c r="M962" s="102"/>
      <c r="N962" s="102"/>
      <c r="O962" s="102"/>
      <c r="P962" s="102"/>
      <c r="Q962" s="102"/>
      <c r="R962" s="102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 spans="1:28" ht="13" thickBo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102"/>
      <c r="M963" s="102"/>
      <c r="N963" s="102"/>
      <c r="O963" s="102"/>
      <c r="P963" s="102"/>
      <c r="Q963" s="102"/>
      <c r="R963" s="102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 spans="1:28" ht="13" thickBo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102"/>
      <c r="M964" s="102"/>
      <c r="N964" s="102"/>
      <c r="O964" s="102"/>
      <c r="P964" s="102"/>
      <c r="Q964" s="102"/>
      <c r="R964" s="102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 spans="1:28" ht="13" thickBo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102"/>
      <c r="M965" s="102"/>
      <c r="N965" s="102"/>
      <c r="O965" s="102"/>
      <c r="P965" s="102"/>
      <c r="Q965" s="102"/>
      <c r="R965" s="102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 spans="1:28" ht="13" thickBo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102"/>
      <c r="M966" s="102"/>
      <c r="N966" s="102"/>
      <c r="O966" s="102"/>
      <c r="P966" s="102"/>
      <c r="Q966" s="102"/>
      <c r="R966" s="102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 spans="1:28" ht="13" thickBo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102"/>
      <c r="M967" s="102"/>
      <c r="N967" s="102"/>
      <c r="O967" s="102"/>
      <c r="P967" s="102"/>
      <c r="Q967" s="102"/>
      <c r="R967" s="102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 spans="1:28" ht="13" thickBo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102"/>
      <c r="M968" s="102"/>
      <c r="N968" s="102"/>
      <c r="O968" s="102"/>
      <c r="P968" s="102"/>
      <c r="Q968" s="102"/>
      <c r="R968" s="102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 spans="1:28" ht="13" thickBo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102"/>
      <c r="M969" s="102"/>
      <c r="N969" s="102"/>
      <c r="O969" s="102"/>
      <c r="P969" s="102"/>
      <c r="Q969" s="102"/>
      <c r="R969" s="102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 spans="1:28" ht="13" thickBo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102"/>
      <c r="M970" s="102"/>
      <c r="N970" s="102"/>
      <c r="O970" s="102"/>
      <c r="P970" s="102"/>
      <c r="Q970" s="102"/>
      <c r="R970" s="102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 spans="1:28" ht="13" thickBo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102"/>
      <c r="M971" s="102"/>
      <c r="N971" s="102"/>
      <c r="O971" s="102"/>
      <c r="P971" s="102"/>
      <c r="Q971" s="102"/>
      <c r="R971" s="102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 spans="1:28" ht="13" thickBo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102"/>
      <c r="M972" s="102"/>
      <c r="N972" s="102"/>
      <c r="O972" s="102"/>
      <c r="P972" s="102"/>
      <c r="Q972" s="102"/>
      <c r="R972" s="102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 spans="1:28" ht="13" thickBo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102"/>
      <c r="M973" s="102"/>
      <c r="N973" s="102"/>
      <c r="O973" s="102"/>
      <c r="P973" s="102"/>
      <c r="Q973" s="102"/>
      <c r="R973" s="102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 spans="1:28" ht="13" thickBo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102"/>
      <c r="M974" s="102"/>
      <c r="N974" s="102"/>
      <c r="O974" s="102"/>
      <c r="P974" s="102"/>
      <c r="Q974" s="102"/>
      <c r="R974" s="102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 spans="1:28" ht="13" thickBo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102"/>
      <c r="M975" s="102"/>
      <c r="N975" s="102"/>
      <c r="O975" s="102"/>
      <c r="P975" s="102"/>
      <c r="Q975" s="102"/>
      <c r="R975" s="102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 spans="1:28" ht="13" thickBo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102"/>
      <c r="M976" s="102"/>
      <c r="N976" s="102"/>
      <c r="O976" s="102"/>
      <c r="P976" s="102"/>
      <c r="Q976" s="102"/>
      <c r="R976" s="102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 spans="1:28" ht="13" thickBo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102"/>
      <c r="M977" s="102"/>
      <c r="N977" s="102"/>
      <c r="O977" s="102"/>
      <c r="P977" s="102"/>
      <c r="Q977" s="102"/>
      <c r="R977" s="102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 spans="1:28" ht="13" thickBo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102"/>
      <c r="M978" s="102"/>
      <c r="N978" s="102"/>
      <c r="O978" s="102"/>
      <c r="P978" s="102"/>
      <c r="Q978" s="102"/>
      <c r="R978" s="102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 spans="1:28" ht="13" thickBo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102"/>
      <c r="M979" s="102"/>
      <c r="N979" s="102"/>
      <c r="O979" s="102"/>
      <c r="P979" s="102"/>
      <c r="Q979" s="102"/>
      <c r="R979" s="102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 spans="1:28" ht="13" thickBo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102"/>
      <c r="M980" s="102"/>
      <c r="N980" s="102"/>
      <c r="O980" s="102"/>
      <c r="P980" s="102"/>
      <c r="Q980" s="102"/>
      <c r="R980" s="102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 spans="1:28" ht="13" thickBo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102"/>
      <c r="M981" s="102"/>
      <c r="N981" s="102"/>
      <c r="O981" s="102"/>
      <c r="P981" s="102"/>
      <c r="Q981" s="102"/>
      <c r="R981" s="102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 spans="1:28" ht="13" thickBo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102"/>
      <c r="M982" s="102"/>
      <c r="N982" s="102"/>
      <c r="O982" s="102"/>
      <c r="P982" s="102"/>
      <c r="Q982" s="102"/>
      <c r="R982" s="102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 spans="1:28" ht="13" thickBo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102"/>
      <c r="M983" s="102"/>
      <c r="N983" s="102"/>
      <c r="O983" s="102"/>
      <c r="P983" s="102"/>
      <c r="Q983" s="102"/>
      <c r="R983" s="102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 spans="1:28" ht="13" thickBo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102"/>
      <c r="M984" s="102"/>
      <c r="N984" s="102"/>
      <c r="O984" s="102"/>
      <c r="P984" s="102"/>
      <c r="Q984" s="102"/>
      <c r="R984" s="102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 spans="1:28" ht="13" thickBo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102"/>
      <c r="M985" s="102"/>
      <c r="N985" s="102"/>
      <c r="O985" s="102"/>
      <c r="P985" s="102"/>
      <c r="Q985" s="102"/>
      <c r="R985" s="102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 spans="1:28" ht="13" thickBo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102"/>
      <c r="M986" s="102"/>
      <c r="N986" s="102"/>
      <c r="O986" s="102"/>
      <c r="P986" s="102"/>
      <c r="Q986" s="102"/>
      <c r="R986" s="102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 spans="1:28" ht="13" thickBo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102"/>
      <c r="M987" s="102"/>
      <c r="N987" s="102"/>
      <c r="O987" s="102"/>
      <c r="P987" s="102"/>
      <c r="Q987" s="102"/>
      <c r="R987" s="102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 spans="1:28" ht="13" thickBo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102"/>
      <c r="M988" s="102"/>
      <c r="N988" s="102"/>
      <c r="O988" s="102"/>
      <c r="P988" s="102"/>
      <c r="Q988" s="102"/>
      <c r="R988" s="102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 spans="1:28" ht="13" thickBo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102"/>
      <c r="M989" s="102"/>
      <c r="N989" s="102"/>
      <c r="O989" s="102"/>
      <c r="P989" s="102"/>
      <c r="Q989" s="102"/>
      <c r="R989" s="102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 spans="1:28" ht="13" thickBo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102"/>
      <c r="M990" s="102"/>
      <c r="N990" s="102"/>
      <c r="O990" s="102"/>
      <c r="P990" s="102"/>
      <c r="Q990" s="102"/>
      <c r="R990" s="102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 spans="1:28" ht="13" thickBo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102"/>
      <c r="M991" s="102"/>
      <c r="N991" s="102"/>
      <c r="O991" s="102"/>
      <c r="P991" s="102"/>
      <c r="Q991" s="102"/>
      <c r="R991" s="102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 spans="1:28" ht="13" thickBo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102"/>
      <c r="M992" s="102"/>
      <c r="N992" s="102"/>
      <c r="O992" s="102"/>
      <c r="P992" s="102"/>
      <c r="Q992" s="102"/>
      <c r="R992" s="102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 spans="1:28" ht="13" thickBo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102"/>
      <c r="M993" s="102"/>
      <c r="N993" s="102"/>
      <c r="O993" s="102"/>
      <c r="P993" s="102"/>
      <c r="Q993" s="102"/>
      <c r="R993" s="102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 spans="1:28" ht="13" thickBo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102"/>
      <c r="M994" s="102"/>
      <c r="N994" s="102"/>
      <c r="O994" s="102"/>
      <c r="P994" s="102"/>
      <c r="Q994" s="102"/>
      <c r="R994" s="102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 spans="1:28" ht="13" thickBo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102"/>
      <c r="M995" s="102"/>
      <c r="N995" s="102"/>
      <c r="O995" s="102"/>
      <c r="P995" s="102"/>
      <c r="Q995" s="102"/>
      <c r="R995" s="102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 spans="1:28" ht="13" thickBo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102"/>
      <c r="M996" s="102"/>
      <c r="N996" s="102"/>
      <c r="O996" s="102"/>
      <c r="P996" s="102"/>
      <c r="Q996" s="102"/>
      <c r="R996" s="102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 spans="1:28" ht="13" thickBo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102"/>
      <c r="M997" s="102"/>
      <c r="N997" s="102"/>
      <c r="O997" s="102"/>
      <c r="P997" s="102"/>
      <c r="Q997" s="102"/>
      <c r="R997" s="102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 spans="1:28" ht="13" thickBo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102"/>
      <c r="M998" s="102"/>
      <c r="N998" s="102"/>
      <c r="O998" s="102"/>
      <c r="P998" s="102"/>
      <c r="Q998" s="102"/>
      <c r="R998" s="102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 spans="1:28" ht="13" thickBo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102"/>
      <c r="M999" s="102"/>
      <c r="N999" s="102"/>
      <c r="O999" s="102"/>
      <c r="P999" s="102"/>
      <c r="Q999" s="102"/>
      <c r="R999" s="102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 spans="1:28" ht="13" thickBo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102"/>
      <c r="M1000" s="102"/>
      <c r="N1000" s="102"/>
      <c r="O1000" s="102"/>
      <c r="P1000" s="102"/>
      <c r="Q1000" s="102"/>
      <c r="R1000" s="102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"/>
  <sheetViews>
    <sheetView zoomScale="130" zoomScaleNormal="130" workbookViewId="0">
      <pane ySplit="1" topLeftCell="A3" activePane="bottomLeft" state="frozen"/>
      <selection pane="bottomLeft" activeCell="F280" sqref="F280"/>
    </sheetView>
  </sheetViews>
  <sheetFormatPr baseColWidth="10" defaultRowHeight="14"/>
  <cols>
    <col min="6" max="6" width="14.33203125" bestFit="1" customWidth="1"/>
  </cols>
  <sheetData>
    <row r="1" spans="1:11">
      <c r="A1" s="5" t="s">
        <v>19</v>
      </c>
      <c r="B1" s="5" t="s">
        <v>21</v>
      </c>
      <c r="C1" s="5" t="s">
        <v>20</v>
      </c>
      <c r="D1" s="5" t="s">
        <v>17</v>
      </c>
      <c r="E1" s="5" t="s">
        <v>23</v>
      </c>
      <c r="F1" s="9" t="s">
        <v>22</v>
      </c>
      <c r="G1" s="5" t="s">
        <v>16</v>
      </c>
      <c r="H1" s="4"/>
      <c r="I1" s="5" t="s">
        <v>21</v>
      </c>
      <c r="J1" s="5" t="s">
        <v>20</v>
      </c>
      <c r="K1" s="5" t="s">
        <v>19</v>
      </c>
    </row>
    <row r="2" spans="1:11">
      <c r="A2" s="5" t="str">
        <f t="shared" ref="A2:A65" si="0">VLOOKUP(C2,$J$2:$K$9,2,FALSE)</f>
        <v>Quilmes</v>
      </c>
      <c r="B2" s="5" t="s">
        <v>8</v>
      </c>
      <c r="C2" s="5" t="s">
        <v>9</v>
      </c>
      <c r="D2" s="5" t="s">
        <v>12</v>
      </c>
      <c r="E2" s="7">
        <v>45566</v>
      </c>
      <c r="F2" s="6">
        <v>11830300</v>
      </c>
      <c r="G2" s="5" t="str">
        <f t="shared" ref="G2:G65" si="1">VLOOKUP(D2,$I$12:$J$15,2,FALSE)</f>
        <v>Ingreso</v>
      </c>
      <c r="H2" s="4"/>
      <c r="I2" s="5" t="s">
        <v>8</v>
      </c>
      <c r="J2" s="5" t="s">
        <v>9</v>
      </c>
      <c r="K2" s="5" t="s">
        <v>9</v>
      </c>
    </row>
    <row r="3" spans="1:11">
      <c r="A3" s="5" t="str">
        <f t="shared" si="0"/>
        <v>San Telmo</v>
      </c>
      <c r="B3" s="5" t="s">
        <v>8</v>
      </c>
      <c r="C3" s="5" t="s">
        <v>99</v>
      </c>
      <c r="D3" s="5" t="s">
        <v>12</v>
      </c>
      <c r="E3" s="7">
        <v>45566</v>
      </c>
      <c r="F3" s="6">
        <v>21228068.695652176</v>
      </c>
      <c r="G3" s="5" t="str">
        <f t="shared" si="1"/>
        <v>Ingreso</v>
      </c>
      <c r="H3" s="4"/>
      <c r="I3" s="5" t="s">
        <v>8</v>
      </c>
      <c r="J3" s="5" t="s">
        <v>99</v>
      </c>
      <c r="K3" s="5" t="s">
        <v>4</v>
      </c>
    </row>
    <row r="4" spans="1:11">
      <c r="A4" s="5" t="str">
        <f t="shared" si="0"/>
        <v>Centro</v>
      </c>
      <c r="B4" s="5" t="s">
        <v>2</v>
      </c>
      <c r="C4" s="5" t="s">
        <v>7</v>
      </c>
      <c r="D4" s="5" t="s">
        <v>12</v>
      </c>
      <c r="E4" s="7">
        <v>45566</v>
      </c>
      <c r="F4" s="6">
        <v>35956360</v>
      </c>
      <c r="G4" s="5" t="str">
        <f t="shared" si="1"/>
        <v>Ingreso</v>
      </c>
      <c r="H4" s="4"/>
      <c r="I4" s="5" t="s">
        <v>2</v>
      </c>
      <c r="J4" s="5" t="s">
        <v>7</v>
      </c>
      <c r="K4" s="5" t="s">
        <v>18</v>
      </c>
    </row>
    <row r="5" spans="1:11">
      <c r="A5" s="5" t="str">
        <f t="shared" si="0"/>
        <v>Centro</v>
      </c>
      <c r="B5" s="5" t="s">
        <v>2</v>
      </c>
      <c r="C5" s="5" t="s">
        <v>6</v>
      </c>
      <c r="D5" s="5" t="s">
        <v>12</v>
      </c>
      <c r="E5" s="7">
        <v>45566</v>
      </c>
      <c r="F5" s="6" t="s">
        <v>13</v>
      </c>
      <c r="G5" s="5" t="str">
        <f t="shared" si="1"/>
        <v>Ingreso</v>
      </c>
      <c r="H5" s="4"/>
      <c r="I5" s="5" t="s">
        <v>2</v>
      </c>
      <c r="J5" s="5" t="s">
        <v>6</v>
      </c>
      <c r="K5" s="5" t="s">
        <v>18</v>
      </c>
    </row>
    <row r="6" spans="1:11">
      <c r="A6" s="5" t="str">
        <f t="shared" si="0"/>
        <v>Centro</v>
      </c>
      <c r="B6" s="5" t="s">
        <v>2</v>
      </c>
      <c r="C6" s="5" t="s">
        <v>5</v>
      </c>
      <c r="D6" s="5" t="s">
        <v>12</v>
      </c>
      <c r="E6" s="7">
        <v>45566</v>
      </c>
      <c r="F6" s="6">
        <v>19356680</v>
      </c>
      <c r="G6" s="5" t="str">
        <f t="shared" si="1"/>
        <v>Ingreso</v>
      </c>
      <c r="H6" s="4"/>
      <c r="I6" s="5" t="s">
        <v>2</v>
      </c>
      <c r="J6" s="5" t="s">
        <v>5</v>
      </c>
      <c r="K6" s="5" t="s">
        <v>18</v>
      </c>
    </row>
    <row r="7" spans="1:11">
      <c r="A7" s="5" t="str">
        <f t="shared" si="0"/>
        <v>San Telmo</v>
      </c>
      <c r="B7" s="5" t="s">
        <v>2</v>
      </c>
      <c r="C7" s="5" t="s">
        <v>4</v>
      </c>
      <c r="D7" s="5" t="s">
        <v>12</v>
      </c>
      <c r="E7" s="7">
        <v>45566</v>
      </c>
      <c r="F7" s="6">
        <v>37017710.434782609</v>
      </c>
      <c r="G7" s="5" t="str">
        <f t="shared" si="1"/>
        <v>Ingreso</v>
      </c>
      <c r="H7" s="4"/>
      <c r="I7" s="5" t="s">
        <v>2</v>
      </c>
      <c r="J7" s="5" t="s">
        <v>4</v>
      </c>
      <c r="K7" s="5" t="s">
        <v>4</v>
      </c>
    </row>
    <row r="8" spans="1:11">
      <c r="A8" s="5" t="str">
        <f t="shared" si="0"/>
        <v>San Telmo</v>
      </c>
      <c r="B8" s="5" t="s">
        <v>2</v>
      </c>
      <c r="C8" s="5" t="s">
        <v>3</v>
      </c>
      <c r="D8" s="5" t="s">
        <v>12</v>
      </c>
      <c r="E8" s="7">
        <v>45566</v>
      </c>
      <c r="F8" s="6">
        <v>4641540</v>
      </c>
      <c r="G8" s="5" t="str">
        <f t="shared" si="1"/>
        <v>Ingreso</v>
      </c>
      <c r="H8" s="4"/>
      <c r="I8" s="5" t="s">
        <v>2</v>
      </c>
      <c r="J8" s="5" t="s">
        <v>3</v>
      </c>
      <c r="K8" s="5" t="s">
        <v>4</v>
      </c>
    </row>
    <row r="9" spans="1:11">
      <c r="A9" s="5" t="str">
        <f t="shared" si="0"/>
        <v>San Telmo</v>
      </c>
      <c r="B9" s="5" t="s">
        <v>2</v>
      </c>
      <c r="C9" s="5" t="s">
        <v>1</v>
      </c>
      <c r="D9" s="5" t="s">
        <v>12</v>
      </c>
      <c r="E9" s="7">
        <v>45566</v>
      </c>
      <c r="F9" s="6">
        <v>15939080.000000002</v>
      </c>
      <c r="G9" s="5" t="str">
        <f t="shared" si="1"/>
        <v>Ingreso</v>
      </c>
      <c r="H9" s="4"/>
      <c r="I9" s="5" t="s">
        <v>2</v>
      </c>
      <c r="J9" s="5" t="s">
        <v>1</v>
      </c>
      <c r="K9" s="5" t="s">
        <v>4</v>
      </c>
    </row>
    <row r="10" spans="1:11">
      <c r="A10" s="5" t="str">
        <f t="shared" si="0"/>
        <v>Quilmes</v>
      </c>
      <c r="B10" s="5" t="s">
        <v>8</v>
      </c>
      <c r="C10" s="5" t="s">
        <v>9</v>
      </c>
      <c r="D10" s="5" t="s">
        <v>11</v>
      </c>
      <c r="E10" s="7">
        <v>45566</v>
      </c>
      <c r="F10" s="6">
        <v>1606892.53</v>
      </c>
      <c r="G10" s="5" t="str">
        <f t="shared" si="1"/>
        <v>Gasto</v>
      </c>
      <c r="H10" s="4"/>
      <c r="I10" s="4"/>
      <c r="J10" s="1"/>
      <c r="K10" s="1"/>
    </row>
    <row r="11" spans="1:11">
      <c r="A11" s="5" t="str">
        <f t="shared" si="0"/>
        <v>San Telmo</v>
      </c>
      <c r="B11" s="5" t="s">
        <v>8</v>
      </c>
      <c r="C11" s="5" t="s">
        <v>99</v>
      </c>
      <c r="D11" s="5" t="s">
        <v>11</v>
      </c>
      <c r="E11" s="7">
        <v>45566</v>
      </c>
      <c r="F11" s="6">
        <v>1630700.79</v>
      </c>
      <c r="G11" s="5" t="str">
        <f t="shared" si="1"/>
        <v>Gasto</v>
      </c>
      <c r="H11" s="4"/>
      <c r="I11" s="5" t="s">
        <v>17</v>
      </c>
      <c r="J11" s="5" t="s">
        <v>16</v>
      </c>
      <c r="K11" s="1"/>
    </row>
    <row r="12" spans="1:11">
      <c r="A12" s="5" t="str">
        <f t="shared" si="0"/>
        <v>Centro</v>
      </c>
      <c r="B12" s="5" t="s">
        <v>2</v>
      </c>
      <c r="C12" s="5" t="s">
        <v>7</v>
      </c>
      <c r="D12" s="5" t="s">
        <v>11</v>
      </c>
      <c r="E12" s="7">
        <v>45566</v>
      </c>
      <c r="F12" s="6">
        <v>2818816</v>
      </c>
      <c r="G12" s="5" t="str">
        <f t="shared" si="1"/>
        <v>Gasto</v>
      </c>
      <c r="H12" s="4"/>
      <c r="I12" s="5" t="s">
        <v>12</v>
      </c>
      <c r="J12" s="5" t="s">
        <v>15</v>
      </c>
      <c r="K12" s="1"/>
    </row>
    <row r="13" spans="1:11">
      <c r="A13" s="5" t="str">
        <f t="shared" si="0"/>
        <v>Centro</v>
      </c>
      <c r="B13" s="5" t="s">
        <v>2</v>
      </c>
      <c r="C13" s="5" t="s">
        <v>6</v>
      </c>
      <c r="D13" s="5" t="s">
        <v>11</v>
      </c>
      <c r="E13" s="7">
        <v>45566</v>
      </c>
      <c r="F13" s="6"/>
      <c r="G13" s="5" t="str">
        <f t="shared" si="1"/>
        <v>Gasto</v>
      </c>
      <c r="H13" s="4"/>
      <c r="I13" s="5" t="s">
        <v>11</v>
      </c>
      <c r="J13" s="5" t="s">
        <v>14</v>
      </c>
      <c r="K13" s="1"/>
    </row>
    <row r="14" spans="1:11">
      <c r="A14" s="5" t="str">
        <f t="shared" si="0"/>
        <v>Centro</v>
      </c>
      <c r="B14" s="5" t="s">
        <v>2</v>
      </c>
      <c r="C14" s="5" t="s">
        <v>5</v>
      </c>
      <c r="D14" s="5" t="s">
        <v>11</v>
      </c>
      <c r="E14" s="7">
        <v>45566</v>
      </c>
      <c r="F14" s="6">
        <v>3494431.2199999997</v>
      </c>
      <c r="G14" s="5" t="str">
        <f t="shared" si="1"/>
        <v>Gasto</v>
      </c>
      <c r="H14" s="4"/>
      <c r="I14" s="5" t="s">
        <v>10</v>
      </c>
      <c r="J14" s="5" t="s">
        <v>14</v>
      </c>
      <c r="K14" s="1"/>
    </row>
    <row r="15" spans="1:11">
      <c r="A15" s="5" t="str">
        <f t="shared" si="0"/>
        <v>San Telmo</v>
      </c>
      <c r="B15" s="5" t="s">
        <v>2</v>
      </c>
      <c r="C15" s="5" t="s">
        <v>4</v>
      </c>
      <c r="D15" s="5" t="s">
        <v>11</v>
      </c>
      <c r="E15" s="7">
        <v>45566</v>
      </c>
      <c r="F15" s="6">
        <v>2471458.4</v>
      </c>
      <c r="G15" s="5" t="str">
        <f t="shared" si="1"/>
        <v>Gasto</v>
      </c>
      <c r="H15" s="4"/>
      <c r="I15" s="5" t="s">
        <v>0</v>
      </c>
      <c r="J15" s="5" t="s">
        <v>14</v>
      </c>
      <c r="K15" s="1"/>
    </row>
    <row r="16" spans="1:11">
      <c r="A16" s="5" t="str">
        <f t="shared" si="0"/>
        <v>San Telmo</v>
      </c>
      <c r="B16" s="5" t="s">
        <v>2</v>
      </c>
      <c r="C16" s="5" t="s">
        <v>3</v>
      </c>
      <c r="D16" s="5" t="s">
        <v>11</v>
      </c>
      <c r="E16" s="7">
        <v>45566</v>
      </c>
      <c r="F16" s="6">
        <v>338800</v>
      </c>
      <c r="G16" s="5" t="str">
        <f t="shared" si="1"/>
        <v>Gasto</v>
      </c>
      <c r="H16" s="4"/>
      <c r="I16" s="4"/>
      <c r="J16" s="1"/>
      <c r="K16" s="1"/>
    </row>
    <row r="17" spans="1:11">
      <c r="A17" s="5" t="str">
        <f t="shared" si="0"/>
        <v>San Telmo</v>
      </c>
      <c r="B17" s="5" t="s">
        <v>2</v>
      </c>
      <c r="C17" s="5" t="s">
        <v>1</v>
      </c>
      <c r="D17" s="5" t="s">
        <v>11</v>
      </c>
      <c r="E17" s="7">
        <v>45566</v>
      </c>
      <c r="F17" s="6">
        <v>290400</v>
      </c>
      <c r="G17" s="5" t="str">
        <f t="shared" si="1"/>
        <v>Gasto</v>
      </c>
      <c r="H17" s="4"/>
      <c r="I17" s="5" t="s">
        <v>45</v>
      </c>
      <c r="J17" s="5" t="s">
        <v>90</v>
      </c>
      <c r="K17" s="1"/>
    </row>
    <row r="18" spans="1:11">
      <c r="A18" s="5" t="str">
        <f t="shared" si="0"/>
        <v>Quilmes</v>
      </c>
      <c r="B18" s="5" t="s">
        <v>8</v>
      </c>
      <c r="C18" s="5" t="s">
        <v>9</v>
      </c>
      <c r="D18" s="5" t="s">
        <v>10</v>
      </c>
      <c r="E18" s="7">
        <v>45566</v>
      </c>
      <c r="F18" s="6">
        <v>2468990.9487600001</v>
      </c>
      <c r="G18" s="5" t="str">
        <f t="shared" si="1"/>
        <v>Gasto</v>
      </c>
      <c r="H18" s="4"/>
      <c r="I18" s="5" t="s">
        <v>91</v>
      </c>
      <c r="J18" s="38">
        <v>4</v>
      </c>
      <c r="K18" s="1"/>
    </row>
    <row r="19" spans="1:11">
      <c r="A19" s="5" t="str">
        <f t="shared" si="0"/>
        <v>San Telmo</v>
      </c>
      <c r="B19" s="5" t="s">
        <v>8</v>
      </c>
      <c r="C19" s="5" t="s">
        <v>99</v>
      </c>
      <c r="D19" s="5" t="s">
        <v>10</v>
      </c>
      <c r="E19" s="7">
        <v>45566</v>
      </c>
      <c r="F19" s="6">
        <v>3601426.8515400002</v>
      </c>
      <c r="G19" s="5" t="str">
        <f t="shared" si="1"/>
        <v>Gasto</v>
      </c>
      <c r="H19" s="4"/>
      <c r="I19" s="5" t="s">
        <v>7</v>
      </c>
      <c r="J19" s="38">
        <v>5</v>
      </c>
      <c r="K19" s="1"/>
    </row>
    <row r="20" spans="1:11">
      <c r="A20" s="5" t="str">
        <f t="shared" si="0"/>
        <v>Centro</v>
      </c>
      <c r="B20" s="5" t="s">
        <v>2</v>
      </c>
      <c r="C20" s="5" t="s">
        <v>7</v>
      </c>
      <c r="D20" s="5" t="s">
        <v>10</v>
      </c>
      <c r="E20" s="7">
        <v>45566</v>
      </c>
      <c r="F20" s="6">
        <v>4652999.2996200006</v>
      </c>
      <c r="G20" s="5" t="str">
        <f t="shared" si="1"/>
        <v>Gasto</v>
      </c>
      <c r="H20" s="4"/>
      <c r="I20" s="5" t="s">
        <v>89</v>
      </c>
      <c r="J20" s="38">
        <v>3</v>
      </c>
      <c r="K20" s="1"/>
    </row>
    <row r="21" spans="1:11">
      <c r="A21" s="5" t="str">
        <f t="shared" si="0"/>
        <v>Centro</v>
      </c>
      <c r="B21" s="5" t="s">
        <v>2</v>
      </c>
      <c r="C21" s="5" t="s">
        <v>6</v>
      </c>
      <c r="D21" s="5" t="s">
        <v>10</v>
      </c>
      <c r="E21" s="7">
        <v>45566</v>
      </c>
      <c r="F21" s="6"/>
      <c r="G21" s="5" t="str">
        <f t="shared" si="1"/>
        <v>Gasto</v>
      </c>
      <c r="H21" s="4"/>
      <c r="I21" s="5" t="s">
        <v>92</v>
      </c>
      <c r="J21" s="38">
        <v>2</v>
      </c>
      <c r="K21" s="1"/>
    </row>
    <row r="22" spans="1:11">
      <c r="A22" s="5" t="str">
        <f t="shared" si="0"/>
        <v>Centro</v>
      </c>
      <c r="B22" s="5" t="s">
        <v>2</v>
      </c>
      <c r="C22" s="5" t="s">
        <v>5</v>
      </c>
      <c r="D22" s="5" t="s">
        <v>10</v>
      </c>
      <c r="E22" s="7">
        <v>45566</v>
      </c>
      <c r="F22" s="6">
        <v>2488006.7301600003</v>
      </c>
      <c r="G22" s="5" t="str">
        <f t="shared" si="1"/>
        <v>Gasto</v>
      </c>
      <c r="H22" s="4"/>
      <c r="I22" s="5" t="s">
        <v>5</v>
      </c>
      <c r="J22" s="38">
        <v>3</v>
      </c>
      <c r="K22" s="1"/>
    </row>
    <row r="23" spans="1:11">
      <c r="A23" s="5" t="str">
        <f t="shared" si="0"/>
        <v>San Telmo</v>
      </c>
      <c r="B23" s="5" t="s">
        <v>2</v>
      </c>
      <c r="C23" s="5" t="s">
        <v>4</v>
      </c>
      <c r="D23" s="5" t="s">
        <v>10</v>
      </c>
      <c r="E23" s="7">
        <v>45566</v>
      </c>
      <c r="F23" s="6">
        <v>3789384.4598400006</v>
      </c>
      <c r="G23" s="5" t="str">
        <f t="shared" si="1"/>
        <v>Gasto</v>
      </c>
      <c r="H23" s="4"/>
      <c r="I23" s="5" t="s">
        <v>4</v>
      </c>
      <c r="J23" s="38">
        <v>4</v>
      </c>
      <c r="K23" s="1"/>
    </row>
    <row r="24" spans="1:11">
      <c r="A24" s="5" t="str">
        <f t="shared" si="0"/>
        <v>San Telmo</v>
      </c>
      <c r="B24" s="5" t="s">
        <v>2</v>
      </c>
      <c r="C24" s="5" t="s">
        <v>3</v>
      </c>
      <c r="D24" s="5" t="s">
        <v>10</v>
      </c>
      <c r="E24" s="7">
        <v>45566</v>
      </c>
      <c r="F24" s="6"/>
      <c r="G24" s="5" t="str">
        <f t="shared" si="1"/>
        <v>Gasto</v>
      </c>
      <c r="H24" s="4"/>
      <c r="I24" s="5" t="s">
        <v>3</v>
      </c>
      <c r="J24" s="38">
        <v>2</v>
      </c>
      <c r="K24" s="1"/>
    </row>
    <row r="25" spans="1:11">
      <c r="A25" s="5" t="str">
        <f t="shared" si="0"/>
        <v>San Telmo</v>
      </c>
      <c r="B25" s="5" t="s">
        <v>2</v>
      </c>
      <c r="C25" s="5" t="s">
        <v>1</v>
      </c>
      <c r="D25" s="5" t="s">
        <v>10</v>
      </c>
      <c r="E25" s="7">
        <v>45566</v>
      </c>
      <c r="F25" s="6">
        <v>2556874.0184400002</v>
      </c>
      <c r="G25" s="5" t="str">
        <f t="shared" si="1"/>
        <v>Gasto</v>
      </c>
      <c r="H25" s="4"/>
      <c r="I25" s="4"/>
      <c r="J25" s="1"/>
      <c r="K25" s="1"/>
    </row>
    <row r="26" spans="1:11">
      <c r="A26" s="5" t="str">
        <f t="shared" si="0"/>
        <v>Quilmes</v>
      </c>
      <c r="B26" s="5" t="s">
        <v>8</v>
      </c>
      <c r="C26" s="5" t="s">
        <v>9</v>
      </c>
      <c r="D26" s="5" t="s">
        <v>0</v>
      </c>
      <c r="E26" s="7">
        <v>45566</v>
      </c>
      <c r="F26" s="6">
        <v>34383.560653137509</v>
      </c>
      <c r="G26" s="5" t="str">
        <f t="shared" si="1"/>
        <v>Gasto</v>
      </c>
      <c r="H26" s="4"/>
      <c r="I26" s="4"/>
      <c r="J26" s="1"/>
      <c r="K26" s="1"/>
    </row>
    <row r="27" spans="1:11">
      <c r="A27" s="5" t="str">
        <f t="shared" si="0"/>
        <v>San Telmo</v>
      </c>
      <c r="B27" s="5" t="s">
        <v>8</v>
      </c>
      <c r="C27" s="5" t="s">
        <v>99</v>
      </c>
      <c r="D27" s="5" t="s">
        <v>0</v>
      </c>
      <c r="E27" s="7">
        <v>45566</v>
      </c>
      <c r="F27" s="6">
        <v>164655.38710742129</v>
      </c>
      <c r="G27" s="5" t="str">
        <f t="shared" si="1"/>
        <v>Gasto</v>
      </c>
      <c r="H27" s="4"/>
      <c r="I27" s="4"/>
      <c r="J27" s="1"/>
      <c r="K27" s="1"/>
    </row>
    <row r="28" spans="1:11">
      <c r="A28" s="5" t="str">
        <f t="shared" si="0"/>
        <v>Centro</v>
      </c>
      <c r="B28" s="5" t="s">
        <v>2</v>
      </c>
      <c r="C28" s="5" t="s">
        <v>7</v>
      </c>
      <c r="D28" s="5" t="s">
        <v>0</v>
      </c>
      <c r="E28" s="7">
        <v>45566</v>
      </c>
      <c r="F28" s="6">
        <v>465612.92398798396</v>
      </c>
      <c r="G28" s="5" t="str">
        <f t="shared" si="1"/>
        <v>Gasto</v>
      </c>
      <c r="H28" s="4"/>
      <c r="I28" s="4"/>
      <c r="J28" s="1"/>
      <c r="K28" s="1"/>
    </row>
    <row r="29" spans="1:11">
      <c r="A29" s="5" t="str">
        <f t="shared" si="0"/>
        <v>Centro</v>
      </c>
      <c r="B29" s="5" t="s">
        <v>2</v>
      </c>
      <c r="C29" s="5" t="s">
        <v>6</v>
      </c>
      <c r="D29" s="5" t="s">
        <v>0</v>
      </c>
      <c r="E29" s="7">
        <v>45566</v>
      </c>
      <c r="F29" s="6"/>
      <c r="G29" s="5" t="str">
        <f t="shared" si="1"/>
        <v>Gasto</v>
      </c>
      <c r="H29" s="4"/>
      <c r="I29" s="4"/>
      <c r="J29" s="1"/>
      <c r="K29" s="1"/>
    </row>
    <row r="30" spans="1:11">
      <c r="A30" s="5" t="str">
        <f t="shared" si="0"/>
        <v>Centro</v>
      </c>
      <c r="B30" s="5" t="s">
        <v>2</v>
      </c>
      <c r="C30" s="5" t="s">
        <v>5</v>
      </c>
      <c r="D30" s="5" t="s">
        <v>0</v>
      </c>
      <c r="E30" s="7">
        <v>45566</v>
      </c>
      <c r="F30" s="6">
        <v>111552.10668287141</v>
      </c>
      <c r="G30" s="5" t="str">
        <f t="shared" si="1"/>
        <v>Gasto</v>
      </c>
      <c r="H30" s="4"/>
      <c r="I30" s="4"/>
      <c r="J30" s="1"/>
      <c r="K30" s="1"/>
    </row>
    <row r="31" spans="1:11">
      <c r="A31" s="5" t="str">
        <f t="shared" si="0"/>
        <v>San Telmo</v>
      </c>
      <c r="B31" s="5" t="s">
        <v>2</v>
      </c>
      <c r="C31" s="5" t="s">
        <v>4</v>
      </c>
      <c r="D31" s="5" t="s">
        <v>0</v>
      </c>
      <c r="E31" s="7">
        <v>45566</v>
      </c>
      <c r="F31" s="6">
        <v>210546.37080425932</v>
      </c>
      <c r="G31" s="5" t="str">
        <f t="shared" si="1"/>
        <v>Gasto</v>
      </c>
      <c r="H31" s="4"/>
      <c r="I31" s="4"/>
      <c r="J31" s="1"/>
      <c r="K31" s="1"/>
    </row>
    <row r="32" spans="1:11">
      <c r="A32" s="5" t="str">
        <f t="shared" si="0"/>
        <v>San Telmo</v>
      </c>
      <c r="B32" s="5" t="s">
        <v>2</v>
      </c>
      <c r="C32" s="5" t="s">
        <v>3</v>
      </c>
      <c r="D32" s="5" t="s">
        <v>0</v>
      </c>
      <c r="E32" s="7">
        <v>45566</v>
      </c>
      <c r="F32" s="6">
        <v>0</v>
      </c>
      <c r="G32" s="5" t="str">
        <f t="shared" si="1"/>
        <v>Gasto</v>
      </c>
      <c r="H32" s="4"/>
      <c r="I32" s="4"/>
      <c r="J32" s="1"/>
      <c r="K32" s="1"/>
    </row>
    <row r="33" spans="1:11">
      <c r="A33" s="5" t="str">
        <f t="shared" si="0"/>
        <v>San Telmo</v>
      </c>
      <c r="B33" s="5" t="s">
        <v>2</v>
      </c>
      <c r="C33" s="5" t="s">
        <v>1</v>
      </c>
      <c r="D33" s="5" t="s">
        <v>0</v>
      </c>
      <c r="E33" s="7">
        <v>45566</v>
      </c>
      <c r="F33" s="6">
        <v>149283.48076432644</v>
      </c>
      <c r="G33" s="5" t="str">
        <f t="shared" si="1"/>
        <v>Gasto</v>
      </c>
      <c r="H33" s="4"/>
      <c r="I33" s="4"/>
      <c r="J33" s="1"/>
      <c r="K33" s="1"/>
    </row>
    <row r="34" spans="1:11">
      <c r="A34" s="5" t="str">
        <f t="shared" si="0"/>
        <v>Quilmes</v>
      </c>
      <c r="B34" s="5" t="s">
        <v>8</v>
      </c>
      <c r="C34" s="5" t="s">
        <v>9</v>
      </c>
      <c r="D34" s="5" t="s">
        <v>12</v>
      </c>
      <c r="E34" s="7">
        <v>45597</v>
      </c>
      <c r="F34" s="8">
        <v>13752388</v>
      </c>
      <c r="G34" s="5" t="str">
        <f t="shared" si="1"/>
        <v>Ingreso</v>
      </c>
      <c r="H34" s="4"/>
      <c r="I34" s="4"/>
      <c r="J34" s="1"/>
      <c r="K34" s="1"/>
    </row>
    <row r="35" spans="1:11">
      <c r="A35" s="5" t="str">
        <f t="shared" si="0"/>
        <v>San Telmo</v>
      </c>
      <c r="B35" s="5" t="s">
        <v>8</v>
      </c>
      <c r="C35" s="5" t="s">
        <v>99</v>
      </c>
      <c r="D35" s="5" t="s">
        <v>12</v>
      </c>
      <c r="E35" s="7">
        <v>45597</v>
      </c>
      <c r="F35" s="8">
        <v>17536740</v>
      </c>
      <c r="G35" s="5" t="str">
        <f t="shared" si="1"/>
        <v>Ingreso</v>
      </c>
      <c r="H35" s="4"/>
      <c r="I35" s="4"/>
      <c r="J35" s="1"/>
      <c r="K35" s="1"/>
    </row>
    <row r="36" spans="1:11">
      <c r="A36" s="5" t="str">
        <f t="shared" si="0"/>
        <v>Centro</v>
      </c>
      <c r="B36" s="5" t="s">
        <v>2</v>
      </c>
      <c r="C36" s="5" t="s">
        <v>7</v>
      </c>
      <c r="D36" s="5" t="s">
        <v>12</v>
      </c>
      <c r="E36" s="7">
        <v>45597</v>
      </c>
      <c r="F36" s="8">
        <v>53095660</v>
      </c>
      <c r="G36" s="5" t="str">
        <f t="shared" si="1"/>
        <v>Ingreso</v>
      </c>
      <c r="H36" s="4"/>
      <c r="I36" s="4"/>
      <c r="J36" s="1"/>
      <c r="K36" s="1"/>
    </row>
    <row r="37" spans="1:11">
      <c r="A37" s="5" t="str">
        <f t="shared" si="0"/>
        <v>Centro</v>
      </c>
      <c r="B37" s="5" t="s">
        <v>2</v>
      </c>
      <c r="C37" s="5" t="s">
        <v>6</v>
      </c>
      <c r="D37" s="5" t="s">
        <v>12</v>
      </c>
      <c r="E37" s="7">
        <v>45597</v>
      </c>
      <c r="F37" s="8" t="s">
        <v>13</v>
      </c>
      <c r="G37" s="5" t="str">
        <f t="shared" si="1"/>
        <v>Ingreso</v>
      </c>
      <c r="H37" s="4"/>
      <c r="I37" s="4"/>
      <c r="J37" s="1"/>
      <c r="K37" s="1"/>
    </row>
    <row r="38" spans="1:11">
      <c r="A38" s="5" t="str">
        <f t="shared" si="0"/>
        <v>Centro</v>
      </c>
      <c r="B38" s="5" t="s">
        <v>2</v>
      </c>
      <c r="C38" s="5" t="s">
        <v>5</v>
      </c>
      <c r="D38" s="5" t="s">
        <v>12</v>
      </c>
      <c r="E38" s="7">
        <v>45597</v>
      </c>
      <c r="F38" s="8">
        <v>24784418</v>
      </c>
      <c r="G38" s="5" t="str">
        <f t="shared" si="1"/>
        <v>Ingreso</v>
      </c>
      <c r="H38" s="4"/>
      <c r="I38" s="4"/>
      <c r="J38" s="1"/>
      <c r="K38" s="1"/>
    </row>
    <row r="39" spans="1:11">
      <c r="A39" s="5" t="str">
        <f t="shared" si="0"/>
        <v>San Telmo</v>
      </c>
      <c r="B39" s="5" t="s">
        <v>2</v>
      </c>
      <c r="C39" s="5" t="s">
        <v>4</v>
      </c>
      <c r="D39" s="5" t="s">
        <v>12</v>
      </c>
      <c r="E39" s="7">
        <v>45597</v>
      </c>
      <c r="F39" s="8">
        <v>43480130</v>
      </c>
      <c r="G39" s="5" t="str">
        <f t="shared" si="1"/>
        <v>Ingreso</v>
      </c>
      <c r="H39" s="4"/>
      <c r="I39" s="4"/>
      <c r="J39" s="1"/>
      <c r="K39" s="1"/>
    </row>
    <row r="40" spans="1:11">
      <c r="A40" s="5" t="str">
        <f t="shared" si="0"/>
        <v>San Telmo</v>
      </c>
      <c r="B40" s="5" t="s">
        <v>2</v>
      </c>
      <c r="C40" s="5" t="s">
        <v>3</v>
      </c>
      <c r="D40" s="5" t="s">
        <v>12</v>
      </c>
      <c r="E40" s="7">
        <v>45597</v>
      </c>
      <c r="F40" s="8">
        <v>11886640</v>
      </c>
      <c r="G40" s="5" t="str">
        <f t="shared" si="1"/>
        <v>Ingreso</v>
      </c>
      <c r="H40" s="4"/>
      <c r="I40" s="4"/>
      <c r="J40" s="1"/>
      <c r="K40" s="1"/>
    </row>
    <row r="41" spans="1:11">
      <c r="A41" s="5" t="str">
        <f t="shared" si="0"/>
        <v>San Telmo</v>
      </c>
      <c r="B41" s="5" t="s">
        <v>2</v>
      </c>
      <c r="C41" s="5" t="s">
        <v>1</v>
      </c>
      <c r="D41" s="5" t="s">
        <v>12</v>
      </c>
      <c r="E41" s="7">
        <v>45597</v>
      </c>
      <c r="F41" s="8">
        <v>20913610</v>
      </c>
      <c r="G41" s="5" t="str">
        <f t="shared" si="1"/>
        <v>Ingreso</v>
      </c>
      <c r="H41" s="4"/>
      <c r="I41" s="4"/>
      <c r="J41" s="1"/>
      <c r="K41" s="1"/>
    </row>
    <row r="42" spans="1:11">
      <c r="A42" s="5" t="str">
        <f t="shared" si="0"/>
        <v>Quilmes</v>
      </c>
      <c r="B42" s="5" t="s">
        <v>8</v>
      </c>
      <c r="C42" s="5" t="s">
        <v>9</v>
      </c>
      <c r="D42" s="5" t="s">
        <v>11</v>
      </c>
      <c r="E42" s="7">
        <v>45597</v>
      </c>
      <c r="F42" s="8">
        <v>1729968.26</v>
      </c>
      <c r="G42" s="5" t="str">
        <f t="shared" si="1"/>
        <v>Gasto</v>
      </c>
      <c r="H42" s="4"/>
      <c r="I42" s="4"/>
      <c r="J42" s="1"/>
      <c r="K42" s="1"/>
    </row>
    <row r="43" spans="1:11">
      <c r="A43" s="5" t="str">
        <f t="shared" si="0"/>
        <v>San Telmo</v>
      </c>
      <c r="B43" s="5" t="s">
        <v>8</v>
      </c>
      <c r="C43" s="5" t="s">
        <v>99</v>
      </c>
      <c r="D43" s="5" t="s">
        <v>11</v>
      </c>
      <c r="E43" s="7">
        <v>45597</v>
      </c>
      <c r="F43" s="8">
        <v>2306662.44</v>
      </c>
      <c r="G43" s="5" t="str">
        <f t="shared" si="1"/>
        <v>Gasto</v>
      </c>
      <c r="H43" s="4"/>
      <c r="I43" s="4"/>
      <c r="J43" s="1"/>
      <c r="K43" s="1"/>
    </row>
    <row r="44" spans="1:11">
      <c r="A44" s="5" t="str">
        <f t="shared" si="0"/>
        <v>Centro</v>
      </c>
      <c r="B44" s="5" t="s">
        <v>2</v>
      </c>
      <c r="C44" s="5" t="s">
        <v>7</v>
      </c>
      <c r="D44" s="5" t="s">
        <v>11</v>
      </c>
      <c r="E44" s="7">
        <v>45597</v>
      </c>
      <c r="F44" s="8">
        <v>4552028.9800000004</v>
      </c>
      <c r="G44" s="5" t="str">
        <f t="shared" si="1"/>
        <v>Gasto</v>
      </c>
      <c r="H44" s="4"/>
      <c r="I44" s="4"/>
      <c r="J44" s="1"/>
      <c r="K44" s="1"/>
    </row>
    <row r="45" spans="1:11">
      <c r="A45" s="5" t="str">
        <f t="shared" si="0"/>
        <v>Centro</v>
      </c>
      <c r="B45" s="5" t="s">
        <v>2</v>
      </c>
      <c r="C45" s="5" t="s">
        <v>6</v>
      </c>
      <c r="D45" s="5" t="s">
        <v>11</v>
      </c>
      <c r="E45" s="7">
        <v>45597</v>
      </c>
      <c r="F45" s="8"/>
      <c r="G45" s="5" t="str">
        <f t="shared" si="1"/>
        <v>Gasto</v>
      </c>
      <c r="H45" s="4"/>
      <c r="I45" s="4"/>
      <c r="J45" s="1"/>
      <c r="K45" s="1"/>
    </row>
    <row r="46" spans="1:11">
      <c r="A46" s="5" t="str">
        <f t="shared" si="0"/>
        <v>Centro</v>
      </c>
      <c r="B46" s="5" t="s">
        <v>2</v>
      </c>
      <c r="C46" s="5" t="s">
        <v>5</v>
      </c>
      <c r="D46" s="5" t="s">
        <v>11</v>
      </c>
      <c r="E46" s="7">
        <v>45597</v>
      </c>
      <c r="F46" s="8">
        <v>4079471.48</v>
      </c>
      <c r="G46" s="5" t="str">
        <f t="shared" si="1"/>
        <v>Gasto</v>
      </c>
      <c r="H46" s="4"/>
      <c r="I46" s="4"/>
      <c r="J46" s="1"/>
      <c r="K46" s="1"/>
    </row>
    <row r="47" spans="1:11">
      <c r="A47" s="5" t="str">
        <f t="shared" si="0"/>
        <v>San Telmo</v>
      </c>
      <c r="B47" s="5" t="s">
        <v>2</v>
      </c>
      <c r="C47" s="5" t="s">
        <v>4</v>
      </c>
      <c r="D47" s="5" t="s">
        <v>11</v>
      </c>
      <c r="E47" s="7">
        <v>45597</v>
      </c>
      <c r="F47" s="8">
        <v>3799769.75</v>
      </c>
      <c r="G47" s="5" t="str">
        <f t="shared" si="1"/>
        <v>Gasto</v>
      </c>
      <c r="H47" s="4"/>
      <c r="I47" s="4"/>
      <c r="J47" s="1"/>
      <c r="K47" s="1"/>
    </row>
    <row r="48" spans="1:11">
      <c r="A48" s="5" t="str">
        <f t="shared" si="0"/>
        <v>San Telmo</v>
      </c>
      <c r="B48" s="5" t="s">
        <v>2</v>
      </c>
      <c r="C48" s="5" t="s">
        <v>3</v>
      </c>
      <c r="D48" s="5" t="s">
        <v>11</v>
      </c>
      <c r="E48" s="7">
        <v>45597</v>
      </c>
      <c r="F48" s="8">
        <v>1527520.99</v>
      </c>
      <c r="G48" s="5" t="str">
        <f t="shared" si="1"/>
        <v>Gasto</v>
      </c>
      <c r="H48" s="4"/>
      <c r="I48" s="4"/>
      <c r="J48" s="1"/>
      <c r="K48" s="1"/>
    </row>
    <row r="49" spans="1:11">
      <c r="A49" s="5" t="str">
        <f t="shared" si="0"/>
        <v>San Telmo</v>
      </c>
      <c r="B49" s="5" t="s">
        <v>2</v>
      </c>
      <c r="C49" s="5" t="s">
        <v>1</v>
      </c>
      <c r="D49" s="5" t="s">
        <v>11</v>
      </c>
      <c r="E49" s="7">
        <v>45597</v>
      </c>
      <c r="F49" s="8">
        <v>689700</v>
      </c>
      <c r="G49" s="5" t="str">
        <f t="shared" si="1"/>
        <v>Gasto</v>
      </c>
      <c r="H49" s="4"/>
      <c r="I49" s="4"/>
      <c r="J49" s="1"/>
      <c r="K49" s="1"/>
    </row>
    <row r="50" spans="1:11">
      <c r="A50" s="5" t="str">
        <f t="shared" si="0"/>
        <v>Quilmes</v>
      </c>
      <c r="B50" s="5" t="s">
        <v>8</v>
      </c>
      <c r="C50" s="5" t="s">
        <v>9</v>
      </c>
      <c r="D50" s="5" t="s">
        <v>10</v>
      </c>
      <c r="E50" s="7">
        <v>45597</v>
      </c>
      <c r="F50" s="8">
        <v>3130141.64</v>
      </c>
      <c r="G50" s="5" t="str">
        <f t="shared" si="1"/>
        <v>Gasto</v>
      </c>
      <c r="H50" s="4"/>
      <c r="I50" s="4"/>
      <c r="J50" s="1"/>
      <c r="K50" s="1"/>
    </row>
    <row r="51" spans="1:11">
      <c r="A51" s="5" t="str">
        <f t="shared" si="0"/>
        <v>San Telmo</v>
      </c>
      <c r="B51" s="5" t="s">
        <v>8</v>
      </c>
      <c r="C51" s="5" t="s">
        <v>99</v>
      </c>
      <c r="D51" s="5" t="s">
        <v>10</v>
      </c>
      <c r="E51" s="7">
        <v>45597</v>
      </c>
      <c r="F51" s="8">
        <v>3650327.46</v>
      </c>
      <c r="G51" s="5" t="str">
        <f t="shared" si="1"/>
        <v>Gasto</v>
      </c>
      <c r="H51" s="4"/>
      <c r="I51" s="4"/>
      <c r="J51" s="1"/>
      <c r="K51" s="1"/>
    </row>
    <row r="52" spans="1:11">
      <c r="A52" s="5" t="str">
        <f t="shared" si="0"/>
        <v>Centro</v>
      </c>
      <c r="B52" s="5" t="s">
        <v>2</v>
      </c>
      <c r="C52" s="5" t="s">
        <v>7</v>
      </c>
      <c r="D52" s="5" t="s">
        <v>10</v>
      </c>
      <c r="E52" s="7">
        <v>45597</v>
      </c>
      <c r="F52" s="8">
        <v>5145049.3499999996</v>
      </c>
      <c r="G52" s="5" t="str">
        <f t="shared" si="1"/>
        <v>Gasto</v>
      </c>
      <c r="H52" s="4"/>
      <c r="I52" s="4"/>
      <c r="J52" s="1"/>
      <c r="K52" s="1"/>
    </row>
    <row r="53" spans="1:11">
      <c r="A53" s="5" t="str">
        <f t="shared" si="0"/>
        <v>Centro</v>
      </c>
      <c r="B53" s="5" t="s">
        <v>2</v>
      </c>
      <c r="C53" s="5" t="s">
        <v>6</v>
      </c>
      <c r="D53" s="5" t="s">
        <v>10</v>
      </c>
      <c r="E53" s="7">
        <v>45597</v>
      </c>
      <c r="F53" s="8"/>
      <c r="G53" s="5" t="str">
        <f t="shared" si="1"/>
        <v>Gasto</v>
      </c>
      <c r="H53" s="4"/>
      <c r="I53" s="4"/>
      <c r="J53" s="1"/>
      <c r="K53" s="1"/>
    </row>
    <row r="54" spans="1:11">
      <c r="A54" s="5" t="str">
        <f t="shared" si="0"/>
        <v>Centro</v>
      </c>
      <c r="B54" s="5" t="s">
        <v>2</v>
      </c>
      <c r="C54" s="5" t="s">
        <v>5</v>
      </c>
      <c r="D54" s="5" t="s">
        <v>10</v>
      </c>
      <c r="E54" s="7">
        <v>45597</v>
      </c>
      <c r="F54" s="8">
        <v>1809020.33</v>
      </c>
      <c r="G54" s="5" t="str">
        <f t="shared" si="1"/>
        <v>Gasto</v>
      </c>
      <c r="H54" s="4"/>
      <c r="I54" s="4"/>
      <c r="J54" s="1"/>
      <c r="K54" s="1"/>
    </row>
    <row r="55" spans="1:11">
      <c r="A55" s="5" t="str">
        <f t="shared" si="0"/>
        <v>San Telmo</v>
      </c>
      <c r="B55" s="5" t="s">
        <v>2</v>
      </c>
      <c r="C55" s="5" t="s">
        <v>4</v>
      </c>
      <c r="D55" s="5" t="s">
        <v>10</v>
      </c>
      <c r="E55" s="7">
        <v>45597</v>
      </c>
      <c r="F55" s="8">
        <v>3166669.57</v>
      </c>
      <c r="G55" s="5" t="str">
        <f t="shared" si="1"/>
        <v>Gasto</v>
      </c>
      <c r="H55" s="4"/>
      <c r="I55" s="4"/>
      <c r="J55" s="1"/>
      <c r="K55" s="1"/>
    </row>
    <row r="56" spans="1:11">
      <c r="A56" s="5" t="str">
        <f t="shared" si="0"/>
        <v>San Telmo</v>
      </c>
      <c r="B56" s="5" t="s">
        <v>2</v>
      </c>
      <c r="C56" s="5" t="s">
        <v>3</v>
      </c>
      <c r="D56" s="5" t="s">
        <v>10</v>
      </c>
      <c r="E56" s="7">
        <v>45597</v>
      </c>
      <c r="F56" s="8">
        <v>2029211.32</v>
      </c>
      <c r="G56" s="5" t="str">
        <f t="shared" si="1"/>
        <v>Gasto</v>
      </c>
      <c r="H56" s="4"/>
      <c r="I56" s="4"/>
      <c r="J56" s="1"/>
      <c r="K56" s="1"/>
    </row>
    <row r="57" spans="1:11">
      <c r="A57" s="5" t="str">
        <f t="shared" si="0"/>
        <v>San Telmo</v>
      </c>
      <c r="B57" s="5" t="s">
        <v>2</v>
      </c>
      <c r="C57" s="5" t="s">
        <v>1</v>
      </c>
      <c r="D57" s="5" t="s">
        <v>10</v>
      </c>
      <c r="E57" s="7">
        <v>45597</v>
      </c>
      <c r="F57" s="8">
        <v>2710714.63</v>
      </c>
      <c r="G57" s="5" t="str">
        <f t="shared" si="1"/>
        <v>Gasto</v>
      </c>
      <c r="H57" s="4"/>
      <c r="I57" s="4"/>
      <c r="J57" s="1"/>
      <c r="K57" s="1"/>
    </row>
    <row r="58" spans="1:11">
      <c r="A58" s="5" t="str">
        <f t="shared" si="0"/>
        <v>Quilmes</v>
      </c>
      <c r="B58" s="5" t="s">
        <v>8</v>
      </c>
      <c r="C58" s="5" t="s">
        <v>9</v>
      </c>
      <c r="D58" s="5" t="s">
        <v>0</v>
      </c>
      <c r="E58" s="7">
        <v>45597</v>
      </c>
      <c r="F58" s="8">
        <v>217746.88</v>
      </c>
      <c r="G58" s="5" t="str">
        <f t="shared" si="1"/>
        <v>Gasto</v>
      </c>
      <c r="H58" s="4"/>
      <c r="I58" s="4"/>
      <c r="J58" s="1"/>
      <c r="K58" s="1"/>
    </row>
    <row r="59" spans="1:11">
      <c r="A59" s="5" t="str">
        <f t="shared" si="0"/>
        <v>San Telmo</v>
      </c>
      <c r="B59" s="5" t="s">
        <v>8</v>
      </c>
      <c r="C59" s="5" t="s">
        <v>99</v>
      </c>
      <c r="D59" s="5" t="s">
        <v>0</v>
      </c>
      <c r="E59" s="7">
        <v>45597</v>
      </c>
      <c r="F59" s="8">
        <v>0</v>
      </c>
      <c r="G59" s="5" t="str">
        <f t="shared" si="1"/>
        <v>Gasto</v>
      </c>
      <c r="H59" s="4"/>
      <c r="I59" s="4"/>
      <c r="J59" s="1"/>
      <c r="K59" s="1"/>
    </row>
    <row r="60" spans="1:11">
      <c r="A60" s="5" t="str">
        <f t="shared" si="0"/>
        <v>Centro</v>
      </c>
      <c r="B60" s="5" t="s">
        <v>2</v>
      </c>
      <c r="C60" s="5" t="s">
        <v>7</v>
      </c>
      <c r="D60" s="5" t="s">
        <v>0</v>
      </c>
      <c r="E60" s="7">
        <v>45597</v>
      </c>
      <c r="F60" s="8">
        <v>756202.58000000007</v>
      </c>
      <c r="G60" s="5" t="str">
        <f t="shared" si="1"/>
        <v>Gasto</v>
      </c>
      <c r="H60" s="4"/>
      <c r="I60" s="4"/>
      <c r="J60" s="1"/>
      <c r="K60" s="1"/>
    </row>
    <row r="61" spans="1:11">
      <c r="A61" s="5" t="str">
        <f t="shared" si="0"/>
        <v>Centro</v>
      </c>
      <c r="B61" s="5" t="s">
        <v>2</v>
      </c>
      <c r="C61" s="5" t="s">
        <v>6</v>
      </c>
      <c r="D61" s="5" t="s">
        <v>0</v>
      </c>
      <c r="E61" s="7">
        <v>45597</v>
      </c>
      <c r="F61" s="8"/>
      <c r="G61" s="5" t="str">
        <f t="shared" si="1"/>
        <v>Gasto</v>
      </c>
      <c r="H61" s="4"/>
      <c r="I61" s="4"/>
      <c r="J61" s="1"/>
      <c r="K61" s="1"/>
    </row>
    <row r="62" spans="1:11">
      <c r="A62" s="5" t="str">
        <f t="shared" si="0"/>
        <v>Centro</v>
      </c>
      <c r="B62" s="5" t="s">
        <v>2</v>
      </c>
      <c r="C62" s="5" t="s">
        <v>5</v>
      </c>
      <c r="D62" s="5" t="s">
        <v>0</v>
      </c>
      <c r="E62" s="7">
        <v>45597</v>
      </c>
      <c r="F62" s="8">
        <v>143345.34</v>
      </c>
      <c r="G62" s="5" t="str">
        <f t="shared" si="1"/>
        <v>Gasto</v>
      </c>
      <c r="H62" s="4"/>
      <c r="I62" s="4"/>
      <c r="J62" s="1"/>
      <c r="K62" s="1"/>
    </row>
    <row r="63" spans="1:11">
      <c r="A63" s="5" t="str">
        <f t="shared" si="0"/>
        <v>San Telmo</v>
      </c>
      <c r="B63" s="5" t="s">
        <v>2</v>
      </c>
      <c r="C63" s="5" t="s">
        <v>4</v>
      </c>
      <c r="D63" s="5" t="s">
        <v>0</v>
      </c>
      <c r="E63" s="7">
        <v>45597</v>
      </c>
      <c r="F63" s="8">
        <v>1055345.05</v>
      </c>
      <c r="G63" s="5" t="str">
        <f t="shared" si="1"/>
        <v>Gasto</v>
      </c>
      <c r="H63" s="4"/>
      <c r="I63" s="4"/>
      <c r="J63" s="1"/>
      <c r="K63" s="1"/>
    </row>
    <row r="64" spans="1:11">
      <c r="A64" s="5" t="str">
        <f t="shared" si="0"/>
        <v>San Telmo</v>
      </c>
      <c r="B64" s="5" t="s">
        <v>2</v>
      </c>
      <c r="C64" s="5" t="s">
        <v>3</v>
      </c>
      <c r="D64" s="5" t="s">
        <v>0</v>
      </c>
      <c r="E64" s="7">
        <v>45597</v>
      </c>
      <c r="F64" s="8">
        <v>7499.63</v>
      </c>
      <c r="G64" s="5" t="str">
        <f t="shared" si="1"/>
        <v>Gasto</v>
      </c>
      <c r="H64" s="4"/>
      <c r="I64" s="4"/>
      <c r="J64" s="1"/>
      <c r="K64" s="1"/>
    </row>
    <row r="65" spans="1:11">
      <c r="A65" s="5" t="str">
        <f t="shared" si="0"/>
        <v>San Telmo</v>
      </c>
      <c r="B65" s="5" t="s">
        <v>2</v>
      </c>
      <c r="C65" s="5" t="s">
        <v>1</v>
      </c>
      <c r="D65" s="5" t="s">
        <v>0</v>
      </c>
      <c r="E65" s="7">
        <v>45597</v>
      </c>
      <c r="F65" s="8">
        <v>234487.71</v>
      </c>
      <c r="G65" s="5" t="str">
        <f t="shared" si="1"/>
        <v>Gasto</v>
      </c>
      <c r="H65" s="4"/>
      <c r="I65" s="4"/>
      <c r="J65" s="1"/>
      <c r="K65" s="1"/>
    </row>
    <row r="66" spans="1:11">
      <c r="A66" s="5" t="str">
        <f t="shared" ref="A66:A129" si="2">VLOOKUP(C66,$J$2:$K$9,2,FALSE)</f>
        <v>Quilmes</v>
      </c>
      <c r="B66" s="5" t="s">
        <v>8</v>
      </c>
      <c r="C66" s="5" t="s">
        <v>9</v>
      </c>
      <c r="D66" s="5" t="s">
        <v>12</v>
      </c>
      <c r="E66" s="7">
        <v>45627</v>
      </c>
      <c r="F66" s="8">
        <v>15338731</v>
      </c>
      <c r="G66" s="5" t="str">
        <f t="shared" ref="G66:G129" si="3">VLOOKUP(D66,$I$12:$J$15,2,FALSE)</f>
        <v>Ingreso</v>
      </c>
      <c r="H66" s="4"/>
      <c r="I66" s="4"/>
      <c r="J66" s="1"/>
      <c r="K66" s="1"/>
    </row>
    <row r="67" spans="1:11">
      <c r="A67" s="5" t="str">
        <f t="shared" si="2"/>
        <v>San Telmo</v>
      </c>
      <c r="B67" s="5" t="s">
        <v>8</v>
      </c>
      <c r="C67" s="5" t="s">
        <v>99</v>
      </c>
      <c r="D67" s="5" t="s">
        <v>12</v>
      </c>
      <c r="E67" s="7">
        <v>45627</v>
      </c>
      <c r="F67" s="8">
        <v>19509198</v>
      </c>
      <c r="G67" s="5" t="str">
        <f t="shared" si="3"/>
        <v>Ingreso</v>
      </c>
      <c r="H67" s="4"/>
      <c r="I67" s="4"/>
      <c r="J67" s="1"/>
      <c r="K67" s="1"/>
    </row>
    <row r="68" spans="1:11">
      <c r="A68" s="5" t="str">
        <f t="shared" si="2"/>
        <v>Centro</v>
      </c>
      <c r="B68" s="5" t="s">
        <v>2</v>
      </c>
      <c r="C68" s="5" t="s">
        <v>7</v>
      </c>
      <c r="D68" s="5" t="s">
        <v>12</v>
      </c>
      <c r="E68" s="7">
        <v>45627</v>
      </c>
      <c r="F68" s="8">
        <v>45648693</v>
      </c>
      <c r="G68" s="5" t="str">
        <f t="shared" si="3"/>
        <v>Ingreso</v>
      </c>
      <c r="H68" s="4"/>
      <c r="I68" s="4"/>
      <c r="J68" s="1"/>
      <c r="K68" s="1"/>
    </row>
    <row r="69" spans="1:11">
      <c r="A69" s="5" t="str">
        <f t="shared" si="2"/>
        <v>Centro</v>
      </c>
      <c r="B69" s="5" t="s">
        <v>2</v>
      </c>
      <c r="C69" s="5" t="s">
        <v>6</v>
      </c>
      <c r="D69" s="5" t="s">
        <v>12</v>
      </c>
      <c r="E69" s="7">
        <v>45627</v>
      </c>
      <c r="F69" s="8" t="s">
        <v>13</v>
      </c>
      <c r="G69" s="5" t="str">
        <f t="shared" si="3"/>
        <v>Ingreso</v>
      </c>
      <c r="H69" s="4"/>
      <c r="I69" s="4"/>
      <c r="J69" s="1"/>
      <c r="K69" s="1"/>
    </row>
    <row r="70" spans="1:11">
      <c r="A70" s="5" t="str">
        <f t="shared" si="2"/>
        <v>Centro</v>
      </c>
      <c r="B70" s="5" t="s">
        <v>2</v>
      </c>
      <c r="C70" s="5" t="s">
        <v>5</v>
      </c>
      <c r="D70" s="5" t="s">
        <v>12</v>
      </c>
      <c r="E70" s="7">
        <v>45627</v>
      </c>
      <c r="F70" s="8">
        <v>29104610</v>
      </c>
      <c r="G70" s="5" t="str">
        <f t="shared" si="3"/>
        <v>Ingreso</v>
      </c>
      <c r="H70" s="4"/>
      <c r="I70" s="4"/>
      <c r="J70" s="1"/>
      <c r="K70" s="1"/>
    </row>
    <row r="71" spans="1:11">
      <c r="A71" s="5" t="str">
        <f t="shared" si="2"/>
        <v>San Telmo</v>
      </c>
      <c r="B71" s="5" t="s">
        <v>2</v>
      </c>
      <c r="C71" s="5" t="s">
        <v>4</v>
      </c>
      <c r="D71" s="5" t="s">
        <v>12</v>
      </c>
      <c r="E71" s="7">
        <v>45627</v>
      </c>
      <c r="F71" s="8">
        <v>41362060</v>
      </c>
      <c r="G71" s="5" t="str">
        <f t="shared" si="3"/>
        <v>Ingreso</v>
      </c>
      <c r="H71" s="4"/>
      <c r="I71" s="4"/>
      <c r="J71" s="1"/>
      <c r="K71" s="1"/>
    </row>
    <row r="72" spans="1:11">
      <c r="A72" s="5" t="str">
        <f t="shared" si="2"/>
        <v>San Telmo</v>
      </c>
      <c r="B72" s="5" t="s">
        <v>2</v>
      </c>
      <c r="C72" s="5" t="s">
        <v>3</v>
      </c>
      <c r="D72" s="5" t="s">
        <v>12</v>
      </c>
      <c r="E72" s="7">
        <v>45627</v>
      </c>
      <c r="F72" s="8">
        <v>7214280</v>
      </c>
      <c r="G72" s="5" t="str">
        <f t="shared" si="3"/>
        <v>Ingreso</v>
      </c>
      <c r="H72" s="4"/>
      <c r="I72" s="4"/>
      <c r="J72" s="1"/>
      <c r="K72" s="1"/>
    </row>
    <row r="73" spans="1:11">
      <c r="A73" s="5" t="str">
        <f t="shared" si="2"/>
        <v>San Telmo</v>
      </c>
      <c r="B73" s="5" t="s">
        <v>2</v>
      </c>
      <c r="C73" s="5" t="s">
        <v>1</v>
      </c>
      <c r="D73" s="5" t="s">
        <v>12</v>
      </c>
      <c r="E73" s="7">
        <v>45627</v>
      </c>
      <c r="F73" s="8">
        <v>21646780</v>
      </c>
      <c r="G73" s="5" t="str">
        <f t="shared" si="3"/>
        <v>Ingreso</v>
      </c>
      <c r="H73" s="4"/>
      <c r="I73" s="4"/>
      <c r="J73" s="1"/>
      <c r="K73" s="1"/>
    </row>
    <row r="74" spans="1:11">
      <c r="A74" s="5" t="str">
        <f t="shared" si="2"/>
        <v>Quilmes</v>
      </c>
      <c r="B74" s="5" t="s">
        <v>8</v>
      </c>
      <c r="C74" s="5" t="s">
        <v>9</v>
      </c>
      <c r="D74" s="5" t="s">
        <v>11</v>
      </c>
      <c r="E74" s="7">
        <v>45627</v>
      </c>
      <c r="F74" s="8">
        <v>2500000</v>
      </c>
      <c r="G74" s="5" t="str">
        <f t="shared" si="3"/>
        <v>Gasto</v>
      </c>
      <c r="H74" s="4"/>
      <c r="I74" s="4"/>
      <c r="J74" s="1"/>
      <c r="K74" s="1"/>
    </row>
    <row r="75" spans="1:11">
      <c r="A75" s="5" t="str">
        <f t="shared" si="2"/>
        <v>San Telmo</v>
      </c>
      <c r="B75" s="5" t="s">
        <v>8</v>
      </c>
      <c r="C75" s="5" t="s">
        <v>99</v>
      </c>
      <c r="D75" s="5" t="s">
        <v>11</v>
      </c>
      <c r="E75" s="7">
        <v>45627</v>
      </c>
      <c r="F75" s="8">
        <v>2095161</v>
      </c>
      <c r="G75" s="5" t="str">
        <f t="shared" si="3"/>
        <v>Gasto</v>
      </c>
      <c r="H75" s="4"/>
      <c r="I75" s="4"/>
      <c r="J75" s="1"/>
      <c r="K75" s="1"/>
    </row>
    <row r="76" spans="1:11">
      <c r="A76" s="5" t="str">
        <f t="shared" si="2"/>
        <v>Centro</v>
      </c>
      <c r="B76" s="5" t="s">
        <v>2</v>
      </c>
      <c r="C76" s="5" t="s">
        <v>7</v>
      </c>
      <c r="D76" s="5" t="s">
        <v>11</v>
      </c>
      <c r="E76" s="7">
        <v>45627</v>
      </c>
      <c r="F76" s="8">
        <v>3222965</v>
      </c>
      <c r="G76" s="5" t="str">
        <f t="shared" si="3"/>
        <v>Gasto</v>
      </c>
      <c r="H76" s="4"/>
      <c r="I76" s="4"/>
      <c r="J76" s="1"/>
      <c r="K76" s="1"/>
    </row>
    <row r="77" spans="1:11">
      <c r="A77" s="5" t="str">
        <f t="shared" si="2"/>
        <v>Centro</v>
      </c>
      <c r="B77" s="5" t="s">
        <v>2</v>
      </c>
      <c r="C77" s="5" t="s">
        <v>6</v>
      </c>
      <c r="D77" s="5" t="s">
        <v>11</v>
      </c>
      <c r="E77" s="7">
        <v>45627</v>
      </c>
      <c r="F77" s="8"/>
      <c r="G77" s="5" t="str">
        <f t="shared" si="3"/>
        <v>Gasto</v>
      </c>
      <c r="H77" s="4"/>
      <c r="I77" s="4"/>
      <c r="J77" s="1"/>
      <c r="K77" s="1"/>
    </row>
    <row r="78" spans="1:11">
      <c r="A78" s="5" t="str">
        <f t="shared" si="2"/>
        <v>Centro</v>
      </c>
      <c r="B78" s="5" t="s">
        <v>2</v>
      </c>
      <c r="C78" s="5" t="s">
        <v>5</v>
      </c>
      <c r="D78" s="5" t="s">
        <v>11</v>
      </c>
      <c r="E78" s="7">
        <v>45627</v>
      </c>
      <c r="F78" s="8">
        <v>3718046</v>
      </c>
      <c r="G78" s="5" t="str">
        <f t="shared" si="3"/>
        <v>Gasto</v>
      </c>
      <c r="H78" s="4"/>
      <c r="I78" s="4"/>
      <c r="J78" s="1"/>
      <c r="K78" s="1"/>
    </row>
    <row r="79" spans="1:11">
      <c r="A79" s="5" t="str">
        <f t="shared" si="2"/>
        <v>San Telmo</v>
      </c>
      <c r="B79" s="5" t="s">
        <v>2</v>
      </c>
      <c r="C79" s="5" t="s">
        <v>4</v>
      </c>
      <c r="D79" s="5" t="s">
        <v>11</v>
      </c>
      <c r="E79" s="7">
        <v>45627</v>
      </c>
      <c r="F79" s="8">
        <v>3026738</v>
      </c>
      <c r="G79" s="5" t="str">
        <f t="shared" si="3"/>
        <v>Gasto</v>
      </c>
      <c r="H79" s="4"/>
      <c r="I79" s="4"/>
      <c r="J79" s="1"/>
      <c r="K79" s="1"/>
    </row>
    <row r="80" spans="1:11">
      <c r="A80" s="5" t="str">
        <f t="shared" si="2"/>
        <v>San Telmo</v>
      </c>
      <c r="B80" s="5" t="s">
        <v>2</v>
      </c>
      <c r="C80" s="5" t="s">
        <v>3</v>
      </c>
      <c r="D80" s="5" t="s">
        <v>11</v>
      </c>
      <c r="E80" s="7">
        <v>45627</v>
      </c>
      <c r="F80" s="8">
        <v>1128900</v>
      </c>
      <c r="G80" s="5" t="str">
        <f t="shared" si="3"/>
        <v>Gasto</v>
      </c>
      <c r="H80" s="4"/>
      <c r="I80" s="4"/>
      <c r="J80" s="1"/>
      <c r="K80" s="1"/>
    </row>
    <row r="81" spans="1:11">
      <c r="A81" s="5" t="str">
        <f t="shared" si="2"/>
        <v>San Telmo</v>
      </c>
      <c r="B81" s="5" t="s">
        <v>2</v>
      </c>
      <c r="C81" s="5" t="s">
        <v>1</v>
      </c>
      <c r="D81" s="5" t="s">
        <v>11</v>
      </c>
      <c r="E81" s="7">
        <v>45627</v>
      </c>
      <c r="F81" s="8">
        <v>771406</v>
      </c>
      <c r="G81" s="5" t="str">
        <f t="shared" si="3"/>
        <v>Gasto</v>
      </c>
      <c r="H81" s="4"/>
      <c r="I81" s="4"/>
      <c r="J81" s="1"/>
      <c r="K81" s="1"/>
    </row>
    <row r="82" spans="1:11">
      <c r="A82" s="5" t="str">
        <f t="shared" si="2"/>
        <v>Quilmes</v>
      </c>
      <c r="B82" s="5" t="s">
        <v>8</v>
      </c>
      <c r="C82" s="5" t="s">
        <v>9</v>
      </c>
      <c r="D82" s="5" t="s">
        <v>10</v>
      </c>
      <c r="E82" s="7">
        <v>45627</v>
      </c>
      <c r="F82" s="8">
        <v>2532389.9580000001</v>
      </c>
      <c r="G82" s="5" t="str">
        <f t="shared" si="3"/>
        <v>Gasto</v>
      </c>
      <c r="H82" s="4"/>
      <c r="I82" s="4"/>
      <c r="J82" s="1"/>
      <c r="K82" s="1"/>
    </row>
    <row r="83" spans="1:11">
      <c r="A83" s="5" t="str">
        <f t="shared" si="2"/>
        <v>San Telmo</v>
      </c>
      <c r="B83" s="5" t="s">
        <v>8</v>
      </c>
      <c r="C83" s="5" t="s">
        <v>99</v>
      </c>
      <c r="D83" s="5" t="s">
        <v>10</v>
      </c>
      <c r="E83" s="7">
        <v>45627</v>
      </c>
      <c r="F83" s="8">
        <v>3098824.7220000001</v>
      </c>
      <c r="G83" s="5" t="str">
        <f t="shared" si="3"/>
        <v>Gasto</v>
      </c>
      <c r="H83" s="4"/>
      <c r="I83" s="4"/>
      <c r="J83" s="1"/>
      <c r="K83" s="1"/>
    </row>
    <row r="84" spans="1:11">
      <c r="A84" s="5" t="str">
        <f t="shared" si="2"/>
        <v>Centro</v>
      </c>
      <c r="B84" s="5" t="s">
        <v>2</v>
      </c>
      <c r="C84" s="5" t="s">
        <v>7</v>
      </c>
      <c r="D84" s="5" t="s">
        <v>10</v>
      </c>
      <c r="E84" s="7">
        <v>45627</v>
      </c>
      <c r="F84" s="8">
        <v>4223329.6140000001</v>
      </c>
      <c r="G84" s="5" t="str">
        <f t="shared" si="3"/>
        <v>Gasto</v>
      </c>
      <c r="H84" s="4"/>
      <c r="I84" s="4"/>
      <c r="J84" s="1"/>
      <c r="K84" s="1"/>
    </row>
    <row r="85" spans="1:11">
      <c r="A85" s="5" t="str">
        <f t="shared" si="2"/>
        <v>Centro</v>
      </c>
      <c r="B85" s="5" t="s">
        <v>2</v>
      </c>
      <c r="C85" s="5" t="s">
        <v>6</v>
      </c>
      <c r="D85" s="5" t="s">
        <v>10</v>
      </c>
      <c r="E85" s="7">
        <v>45627</v>
      </c>
      <c r="F85" s="8"/>
      <c r="G85" s="5" t="str">
        <f t="shared" si="3"/>
        <v>Gasto</v>
      </c>
      <c r="H85" s="4"/>
      <c r="I85" s="4"/>
      <c r="J85" s="1"/>
      <c r="K85" s="1"/>
    </row>
    <row r="86" spans="1:11">
      <c r="A86" s="5" t="str">
        <f t="shared" si="2"/>
        <v>Centro</v>
      </c>
      <c r="B86" s="5" t="s">
        <v>2</v>
      </c>
      <c r="C86" s="5" t="s">
        <v>5</v>
      </c>
      <c r="D86" s="5" t="s">
        <v>10</v>
      </c>
      <c r="E86" s="7">
        <v>45627</v>
      </c>
      <c r="F86" s="8">
        <v>1415519.7115499999</v>
      </c>
      <c r="G86" s="5" t="str">
        <f t="shared" si="3"/>
        <v>Gasto</v>
      </c>
      <c r="H86" s="4"/>
      <c r="I86" s="4"/>
      <c r="J86" s="1"/>
      <c r="K86" s="1"/>
    </row>
    <row r="87" spans="1:11">
      <c r="A87" s="5" t="str">
        <f t="shared" si="2"/>
        <v>San Telmo</v>
      </c>
      <c r="B87" s="5" t="s">
        <v>2</v>
      </c>
      <c r="C87" s="5" t="s">
        <v>4</v>
      </c>
      <c r="D87" s="5" t="s">
        <v>10</v>
      </c>
      <c r="E87" s="7">
        <v>45627</v>
      </c>
      <c r="F87" s="8">
        <v>2193441.4530000002</v>
      </c>
      <c r="G87" s="5" t="str">
        <f t="shared" si="3"/>
        <v>Gasto</v>
      </c>
      <c r="H87" s="4"/>
      <c r="I87" s="4"/>
      <c r="J87" s="1"/>
      <c r="K87" s="1"/>
    </row>
    <row r="88" spans="1:11">
      <c r="A88" s="5" t="str">
        <f t="shared" si="2"/>
        <v>San Telmo</v>
      </c>
      <c r="B88" s="5" t="s">
        <v>2</v>
      </c>
      <c r="C88" s="5" t="s">
        <v>3</v>
      </c>
      <c r="D88" s="5" t="s">
        <v>10</v>
      </c>
      <c r="E88" s="7">
        <v>45627</v>
      </c>
      <c r="F88" s="8">
        <v>1543292.1</v>
      </c>
      <c r="G88" s="5" t="str">
        <f t="shared" si="3"/>
        <v>Gasto</v>
      </c>
      <c r="H88" s="4"/>
      <c r="I88" s="4"/>
      <c r="J88" s="1"/>
      <c r="K88" s="1"/>
    </row>
    <row r="89" spans="1:11">
      <c r="A89" s="5" t="str">
        <f t="shared" si="2"/>
        <v>San Telmo</v>
      </c>
      <c r="B89" s="5" t="s">
        <v>2</v>
      </c>
      <c r="C89" s="5" t="s">
        <v>1</v>
      </c>
      <c r="D89" s="5" t="s">
        <v>10</v>
      </c>
      <c r="E89" s="7">
        <v>45627</v>
      </c>
      <c r="F89" s="8">
        <v>2228679.9360000002</v>
      </c>
      <c r="G89" s="5" t="str">
        <f t="shared" si="3"/>
        <v>Gasto</v>
      </c>
      <c r="H89" s="4"/>
      <c r="I89" s="4"/>
      <c r="J89" s="1"/>
      <c r="K89" s="1"/>
    </row>
    <row r="90" spans="1:11">
      <c r="A90" s="5" t="str">
        <f t="shared" si="2"/>
        <v>Quilmes</v>
      </c>
      <c r="B90" s="5" t="s">
        <v>8</v>
      </c>
      <c r="C90" s="5" t="s">
        <v>9</v>
      </c>
      <c r="D90" s="5" t="s">
        <v>0</v>
      </c>
      <c r="E90" s="7">
        <v>45627</v>
      </c>
      <c r="F90" s="8">
        <v>303256.34000000003</v>
      </c>
      <c r="G90" s="5" t="str">
        <f t="shared" si="3"/>
        <v>Gasto</v>
      </c>
      <c r="H90" s="4"/>
      <c r="I90" s="4"/>
      <c r="J90" s="1"/>
      <c r="K90" s="1"/>
    </row>
    <row r="91" spans="1:11">
      <c r="A91" s="5" t="str">
        <f t="shared" si="2"/>
        <v>San Telmo</v>
      </c>
      <c r="B91" s="5" t="s">
        <v>8</v>
      </c>
      <c r="C91" s="5" t="s">
        <v>99</v>
      </c>
      <c r="D91" s="5" t="s">
        <v>0</v>
      </c>
      <c r="E91" s="7">
        <v>45627</v>
      </c>
      <c r="F91" s="8">
        <v>218161.16</v>
      </c>
      <c r="G91" s="5" t="str">
        <f t="shared" si="3"/>
        <v>Gasto</v>
      </c>
      <c r="H91" s="4"/>
      <c r="I91" s="4"/>
      <c r="J91" s="1"/>
      <c r="K91" s="1"/>
    </row>
    <row r="92" spans="1:11">
      <c r="A92" s="5" t="str">
        <f t="shared" si="2"/>
        <v>Centro</v>
      </c>
      <c r="B92" s="5" t="s">
        <v>2</v>
      </c>
      <c r="C92" s="5" t="s">
        <v>7</v>
      </c>
      <c r="D92" s="5" t="s">
        <v>0</v>
      </c>
      <c r="E92" s="7">
        <v>45627</v>
      </c>
      <c r="F92" s="8">
        <v>1603001.09</v>
      </c>
      <c r="G92" s="5" t="str">
        <f t="shared" si="3"/>
        <v>Gasto</v>
      </c>
      <c r="H92" s="4"/>
      <c r="I92" s="4"/>
      <c r="J92" s="1"/>
      <c r="K92" s="1"/>
    </row>
    <row r="93" spans="1:11">
      <c r="A93" s="5" t="str">
        <f t="shared" si="2"/>
        <v>Centro</v>
      </c>
      <c r="B93" s="5" t="s">
        <v>2</v>
      </c>
      <c r="C93" s="5" t="s">
        <v>6</v>
      </c>
      <c r="D93" s="5" t="s">
        <v>0</v>
      </c>
      <c r="E93" s="7">
        <v>45627</v>
      </c>
      <c r="F93" s="8"/>
      <c r="G93" s="5" t="str">
        <f t="shared" si="3"/>
        <v>Gasto</v>
      </c>
      <c r="H93" s="4"/>
      <c r="I93" s="4"/>
      <c r="J93" s="1"/>
      <c r="K93" s="1"/>
    </row>
    <row r="94" spans="1:11">
      <c r="A94" s="5" t="str">
        <f t="shared" si="2"/>
        <v>Centro</v>
      </c>
      <c r="B94" s="5" t="s">
        <v>2</v>
      </c>
      <c r="C94" s="5" t="s">
        <v>5</v>
      </c>
      <c r="D94" s="5" t="s">
        <v>0</v>
      </c>
      <c r="E94" s="7">
        <v>45627</v>
      </c>
      <c r="F94" s="8">
        <v>218062.77</v>
      </c>
      <c r="G94" s="5" t="str">
        <f t="shared" si="3"/>
        <v>Gasto</v>
      </c>
      <c r="H94" s="4"/>
      <c r="I94" s="4"/>
      <c r="J94" s="1"/>
      <c r="K94" s="1"/>
    </row>
    <row r="95" spans="1:11">
      <c r="A95" s="5" t="str">
        <f t="shared" si="2"/>
        <v>San Telmo</v>
      </c>
      <c r="B95" s="5" t="s">
        <v>2</v>
      </c>
      <c r="C95" s="5" t="s">
        <v>4</v>
      </c>
      <c r="D95" s="5" t="s">
        <v>0</v>
      </c>
      <c r="E95" s="7">
        <v>45627</v>
      </c>
      <c r="F95" s="8">
        <v>161568.42000000001</v>
      </c>
      <c r="G95" s="5" t="str">
        <f t="shared" si="3"/>
        <v>Gasto</v>
      </c>
      <c r="H95" s="4"/>
      <c r="I95" s="4"/>
      <c r="J95" s="1"/>
      <c r="K95" s="1"/>
    </row>
    <row r="96" spans="1:11">
      <c r="A96" s="5" t="str">
        <f t="shared" si="2"/>
        <v>San Telmo</v>
      </c>
      <c r="B96" s="5" t="s">
        <v>2</v>
      </c>
      <c r="C96" s="5" t="s">
        <v>3</v>
      </c>
      <c r="D96" s="5" t="s">
        <v>0</v>
      </c>
      <c r="E96" s="7">
        <v>45627</v>
      </c>
      <c r="F96" s="8">
        <v>112764.68</v>
      </c>
      <c r="G96" s="5" t="str">
        <f t="shared" si="3"/>
        <v>Gasto</v>
      </c>
      <c r="H96" s="4"/>
      <c r="I96" s="4"/>
      <c r="J96" s="1"/>
      <c r="K96" s="1"/>
    </row>
    <row r="97" spans="1:11">
      <c r="A97" s="5" t="str">
        <f t="shared" si="2"/>
        <v>San Telmo</v>
      </c>
      <c r="B97" s="5" t="s">
        <v>2</v>
      </c>
      <c r="C97" s="5" t="s">
        <v>1</v>
      </c>
      <c r="D97" s="5" t="s">
        <v>0</v>
      </c>
      <c r="E97" s="7">
        <v>45627</v>
      </c>
      <c r="F97" s="8">
        <v>345406.49</v>
      </c>
      <c r="G97" s="5" t="str">
        <f t="shared" si="3"/>
        <v>Gasto</v>
      </c>
      <c r="H97" s="4"/>
      <c r="I97" s="4"/>
      <c r="J97" s="1"/>
      <c r="K97" s="1"/>
    </row>
    <row r="98" spans="1:11">
      <c r="A98" s="5" t="str">
        <f t="shared" si="2"/>
        <v>Quilmes</v>
      </c>
      <c r="B98" s="5" t="s">
        <v>8</v>
      </c>
      <c r="C98" s="5" t="s">
        <v>9</v>
      </c>
      <c r="D98" s="5" t="s">
        <v>12</v>
      </c>
      <c r="E98" s="7">
        <v>45658</v>
      </c>
      <c r="F98" s="8">
        <v>11999960</v>
      </c>
      <c r="G98" s="5" t="str">
        <f t="shared" si="3"/>
        <v>Ingreso</v>
      </c>
      <c r="H98" s="4"/>
      <c r="I98" s="4"/>
      <c r="J98" s="1"/>
      <c r="K98" s="1"/>
    </row>
    <row r="99" spans="1:11">
      <c r="A99" s="5" t="str">
        <f t="shared" si="2"/>
        <v>San Telmo</v>
      </c>
      <c r="B99" s="5" t="s">
        <v>8</v>
      </c>
      <c r="C99" s="5" t="s">
        <v>99</v>
      </c>
      <c r="D99" s="5" t="s">
        <v>12</v>
      </c>
      <c r="E99" s="7">
        <v>45658</v>
      </c>
      <c r="F99" s="8">
        <v>14424775</v>
      </c>
      <c r="G99" s="5" t="str">
        <f t="shared" si="3"/>
        <v>Ingreso</v>
      </c>
      <c r="H99" s="4"/>
      <c r="I99" s="4"/>
      <c r="J99" s="1"/>
      <c r="K99" s="1"/>
    </row>
    <row r="100" spans="1:11">
      <c r="A100" s="5" t="str">
        <f t="shared" si="2"/>
        <v>Centro</v>
      </c>
      <c r="B100" s="5" t="s">
        <v>2</v>
      </c>
      <c r="C100" s="5" t="s">
        <v>7</v>
      </c>
      <c r="D100" s="5" t="s">
        <v>12</v>
      </c>
      <c r="E100" s="7">
        <v>45658</v>
      </c>
      <c r="F100" s="8">
        <v>40118678</v>
      </c>
      <c r="G100" s="5" t="str">
        <f t="shared" si="3"/>
        <v>Ingreso</v>
      </c>
      <c r="H100" s="4"/>
      <c r="I100" s="4"/>
      <c r="J100" s="1"/>
      <c r="K100" s="1"/>
    </row>
    <row r="101" spans="1:11">
      <c r="A101" s="5" t="str">
        <f t="shared" si="2"/>
        <v>Centro</v>
      </c>
      <c r="B101" s="5" t="s">
        <v>2</v>
      </c>
      <c r="C101" s="5" t="s">
        <v>6</v>
      </c>
      <c r="D101" s="5" t="s">
        <v>12</v>
      </c>
      <c r="E101" s="7">
        <v>45658</v>
      </c>
      <c r="F101" s="8">
        <v>2607560</v>
      </c>
      <c r="G101" s="5" t="str">
        <f t="shared" si="3"/>
        <v>Ingreso</v>
      </c>
      <c r="H101" s="4"/>
      <c r="I101" s="4"/>
      <c r="J101" s="1"/>
      <c r="K101" s="1"/>
    </row>
    <row r="102" spans="1:11">
      <c r="A102" s="5" t="str">
        <f t="shared" si="2"/>
        <v>Centro</v>
      </c>
      <c r="B102" s="5" t="s">
        <v>2</v>
      </c>
      <c r="C102" s="5" t="s">
        <v>5</v>
      </c>
      <c r="D102" s="5" t="s">
        <v>12</v>
      </c>
      <c r="E102" s="7">
        <v>45658</v>
      </c>
      <c r="F102" s="8">
        <v>20476370</v>
      </c>
      <c r="G102" s="5" t="str">
        <f t="shared" si="3"/>
        <v>Ingreso</v>
      </c>
      <c r="H102" s="4"/>
      <c r="I102" s="4"/>
      <c r="J102" s="1"/>
      <c r="K102" s="1"/>
    </row>
    <row r="103" spans="1:11">
      <c r="A103" s="5" t="str">
        <f t="shared" si="2"/>
        <v>San Telmo</v>
      </c>
      <c r="B103" s="5" t="s">
        <v>2</v>
      </c>
      <c r="C103" s="5" t="s">
        <v>4</v>
      </c>
      <c r="D103" s="5" t="s">
        <v>12</v>
      </c>
      <c r="E103" s="7">
        <v>45658</v>
      </c>
      <c r="F103" s="8">
        <v>40058419</v>
      </c>
      <c r="G103" s="5" t="str">
        <f t="shared" si="3"/>
        <v>Ingreso</v>
      </c>
      <c r="H103" s="4"/>
      <c r="I103" s="4"/>
      <c r="J103" s="1"/>
      <c r="K103" s="1"/>
    </row>
    <row r="104" spans="1:11">
      <c r="A104" s="5" t="str">
        <f t="shared" si="2"/>
        <v>San Telmo</v>
      </c>
      <c r="B104" s="5" t="s">
        <v>2</v>
      </c>
      <c r="C104" s="5" t="s">
        <v>3</v>
      </c>
      <c r="D104" s="5" t="s">
        <v>12</v>
      </c>
      <c r="E104" s="7">
        <v>45658</v>
      </c>
      <c r="F104" s="8">
        <v>2472710</v>
      </c>
      <c r="G104" s="5" t="str">
        <f t="shared" si="3"/>
        <v>Ingreso</v>
      </c>
      <c r="H104" s="4"/>
      <c r="I104" s="4"/>
      <c r="J104" s="1"/>
      <c r="K104" s="1"/>
    </row>
    <row r="105" spans="1:11">
      <c r="A105" s="5" t="str">
        <f t="shared" si="2"/>
        <v>San Telmo</v>
      </c>
      <c r="B105" s="5" t="s">
        <v>2</v>
      </c>
      <c r="C105" s="5" t="s">
        <v>1</v>
      </c>
      <c r="D105" s="5" t="s">
        <v>12</v>
      </c>
      <c r="E105" s="7">
        <v>45658</v>
      </c>
      <c r="F105" s="8">
        <v>15489470</v>
      </c>
      <c r="G105" s="5" t="str">
        <f t="shared" si="3"/>
        <v>Ingreso</v>
      </c>
      <c r="H105" s="4"/>
      <c r="I105" s="4"/>
      <c r="J105" s="1"/>
      <c r="K105" s="1"/>
    </row>
    <row r="106" spans="1:11">
      <c r="A106" s="5" t="str">
        <f t="shared" si="2"/>
        <v>Quilmes</v>
      </c>
      <c r="B106" s="5" t="s">
        <v>8</v>
      </c>
      <c r="C106" s="5" t="s">
        <v>9</v>
      </c>
      <c r="D106" s="5" t="s">
        <v>11</v>
      </c>
      <c r="E106" s="7">
        <v>45658</v>
      </c>
      <c r="F106" s="8">
        <v>3359529.12</v>
      </c>
      <c r="G106" s="5" t="str">
        <f t="shared" si="3"/>
        <v>Gasto</v>
      </c>
      <c r="H106" s="4"/>
      <c r="I106" s="4"/>
      <c r="J106" s="1"/>
      <c r="K106" s="1"/>
    </row>
    <row r="107" spans="1:11">
      <c r="A107" s="5" t="str">
        <f t="shared" si="2"/>
        <v>San Telmo</v>
      </c>
      <c r="B107" s="5" t="s">
        <v>8</v>
      </c>
      <c r="C107" s="5" t="s">
        <v>99</v>
      </c>
      <c r="D107" s="5" t="s">
        <v>11</v>
      </c>
      <c r="E107" s="7">
        <v>45658</v>
      </c>
      <c r="F107" s="8">
        <v>2821199.27</v>
      </c>
      <c r="G107" s="5" t="str">
        <f t="shared" si="3"/>
        <v>Gasto</v>
      </c>
      <c r="H107" s="4"/>
      <c r="I107" s="4"/>
      <c r="J107" s="1"/>
      <c r="K107" s="1"/>
    </row>
    <row r="108" spans="1:11">
      <c r="A108" s="5" t="str">
        <f t="shared" si="2"/>
        <v>Centro</v>
      </c>
      <c r="B108" s="5" t="s">
        <v>2</v>
      </c>
      <c r="C108" s="5" t="s">
        <v>7</v>
      </c>
      <c r="D108" s="5" t="s">
        <v>11</v>
      </c>
      <c r="E108" s="7">
        <v>45658</v>
      </c>
      <c r="F108" s="8">
        <v>3772412.08</v>
      </c>
      <c r="G108" s="5" t="str">
        <f t="shared" si="3"/>
        <v>Gasto</v>
      </c>
      <c r="H108" s="4"/>
      <c r="I108" s="4"/>
      <c r="J108" s="1"/>
      <c r="K108" s="1"/>
    </row>
    <row r="109" spans="1:11">
      <c r="A109" s="5" t="str">
        <f t="shared" si="2"/>
        <v>Centro</v>
      </c>
      <c r="B109" s="5" t="s">
        <v>2</v>
      </c>
      <c r="C109" s="5" t="s">
        <v>6</v>
      </c>
      <c r="D109" s="5" t="s">
        <v>11</v>
      </c>
      <c r="E109" s="7">
        <v>45658</v>
      </c>
      <c r="F109" s="8">
        <v>1122708.79</v>
      </c>
      <c r="G109" s="5" t="str">
        <f t="shared" si="3"/>
        <v>Gasto</v>
      </c>
      <c r="H109" s="4"/>
      <c r="I109" s="4"/>
      <c r="J109" s="1"/>
      <c r="K109" s="1"/>
    </row>
    <row r="110" spans="1:11">
      <c r="A110" s="5" t="str">
        <f t="shared" si="2"/>
        <v>Centro</v>
      </c>
      <c r="B110" s="5" t="s">
        <v>2</v>
      </c>
      <c r="C110" s="5" t="s">
        <v>5</v>
      </c>
      <c r="D110" s="5" t="s">
        <v>11</v>
      </c>
      <c r="E110" s="7">
        <v>45658</v>
      </c>
      <c r="F110" s="8">
        <v>3865858.86</v>
      </c>
      <c r="G110" s="5" t="str">
        <f t="shared" si="3"/>
        <v>Gasto</v>
      </c>
      <c r="H110" s="4"/>
      <c r="I110" s="4"/>
      <c r="J110" s="1"/>
      <c r="K110" s="1"/>
    </row>
    <row r="111" spans="1:11">
      <c r="A111" s="5" t="str">
        <f t="shared" si="2"/>
        <v>San Telmo</v>
      </c>
      <c r="B111" s="5" t="s">
        <v>2</v>
      </c>
      <c r="C111" s="5" t="s">
        <v>4</v>
      </c>
      <c r="D111" s="5" t="s">
        <v>11</v>
      </c>
      <c r="E111" s="7">
        <v>45658</v>
      </c>
      <c r="F111" s="8">
        <v>3533075.2199999997</v>
      </c>
      <c r="G111" s="5" t="str">
        <f t="shared" si="3"/>
        <v>Gasto</v>
      </c>
      <c r="H111" s="4"/>
      <c r="I111" s="4"/>
      <c r="J111" s="1"/>
      <c r="K111" s="1"/>
    </row>
    <row r="112" spans="1:11">
      <c r="A112" s="5" t="str">
        <f t="shared" si="2"/>
        <v>San Telmo</v>
      </c>
      <c r="B112" s="5" t="s">
        <v>2</v>
      </c>
      <c r="C112" s="5" t="s">
        <v>3</v>
      </c>
      <c r="D112" s="5" t="s">
        <v>11</v>
      </c>
      <c r="E112" s="7">
        <v>45658</v>
      </c>
      <c r="F112" s="8">
        <v>1337846.76</v>
      </c>
      <c r="G112" s="5" t="str">
        <f t="shared" si="3"/>
        <v>Gasto</v>
      </c>
      <c r="H112" s="4"/>
      <c r="I112" s="4"/>
      <c r="J112" s="1"/>
      <c r="K112" s="1"/>
    </row>
    <row r="113" spans="1:11">
      <c r="A113" s="5" t="str">
        <f t="shared" si="2"/>
        <v>San Telmo</v>
      </c>
      <c r="B113" s="5" t="s">
        <v>2</v>
      </c>
      <c r="C113" s="5" t="s">
        <v>1</v>
      </c>
      <c r="D113" s="5" t="s">
        <v>11</v>
      </c>
      <c r="E113" s="7">
        <v>45658</v>
      </c>
      <c r="F113" s="8">
        <v>868340</v>
      </c>
      <c r="G113" s="5" t="str">
        <f t="shared" si="3"/>
        <v>Gasto</v>
      </c>
      <c r="H113" s="4"/>
      <c r="I113" s="4"/>
      <c r="J113" s="1"/>
      <c r="K113" s="1"/>
    </row>
    <row r="114" spans="1:11">
      <c r="A114" s="5" t="str">
        <f t="shared" si="2"/>
        <v>Quilmes</v>
      </c>
      <c r="B114" s="5" t="s">
        <v>8</v>
      </c>
      <c r="C114" s="5" t="s">
        <v>9</v>
      </c>
      <c r="D114" s="5" t="s">
        <v>10</v>
      </c>
      <c r="E114" s="7">
        <v>45658</v>
      </c>
      <c r="F114" s="8">
        <v>3792541.6790100001</v>
      </c>
      <c r="G114" s="5" t="str">
        <f t="shared" si="3"/>
        <v>Gasto</v>
      </c>
      <c r="H114" s="4"/>
      <c r="I114" s="4"/>
      <c r="J114" s="1"/>
      <c r="K114" s="1"/>
    </row>
    <row r="115" spans="1:11">
      <c r="A115" s="5" t="str">
        <f t="shared" si="2"/>
        <v>San Telmo</v>
      </c>
      <c r="B115" s="5" t="s">
        <v>8</v>
      </c>
      <c r="C115" s="5" t="s">
        <v>99</v>
      </c>
      <c r="D115" s="5" t="s">
        <v>10</v>
      </c>
      <c r="E115" s="7">
        <v>45658</v>
      </c>
      <c r="F115" s="8">
        <v>3500002.3482900006</v>
      </c>
      <c r="G115" s="5" t="str">
        <f t="shared" si="3"/>
        <v>Gasto</v>
      </c>
      <c r="H115" s="4"/>
      <c r="I115" s="4"/>
      <c r="J115" s="1"/>
      <c r="K115" s="1"/>
    </row>
    <row r="116" spans="1:11">
      <c r="A116" s="5" t="str">
        <f t="shared" si="2"/>
        <v>Centro</v>
      </c>
      <c r="B116" s="5" t="s">
        <v>2</v>
      </c>
      <c r="C116" s="5" t="s">
        <v>7</v>
      </c>
      <c r="D116" s="5" t="s">
        <v>10</v>
      </c>
      <c r="E116" s="7">
        <v>45658</v>
      </c>
      <c r="F116" s="8">
        <v>4472073.3002399998</v>
      </c>
      <c r="G116" s="5" t="str">
        <f t="shared" si="3"/>
        <v>Gasto</v>
      </c>
      <c r="H116" s="4"/>
      <c r="I116" s="4"/>
      <c r="J116" s="1"/>
      <c r="K116" s="1"/>
    </row>
    <row r="117" spans="1:11">
      <c r="A117" s="5" t="str">
        <f t="shared" si="2"/>
        <v>Centro</v>
      </c>
      <c r="B117" s="5" t="s">
        <v>2</v>
      </c>
      <c r="C117" s="5" t="s">
        <v>6</v>
      </c>
      <c r="D117" s="5" t="s">
        <v>10</v>
      </c>
      <c r="E117" s="7">
        <v>45658</v>
      </c>
      <c r="F117" s="8">
        <v>1796986.9373400002</v>
      </c>
      <c r="G117" s="5" t="str">
        <f t="shared" si="3"/>
        <v>Gasto</v>
      </c>
      <c r="H117" s="4"/>
      <c r="I117" s="4"/>
      <c r="J117" s="1"/>
      <c r="K117" s="1"/>
    </row>
    <row r="118" spans="1:11">
      <c r="A118" s="5" t="str">
        <f t="shared" si="2"/>
        <v>Centro</v>
      </c>
      <c r="B118" s="5" t="s">
        <v>2</v>
      </c>
      <c r="C118" s="5" t="s">
        <v>5</v>
      </c>
      <c r="D118" s="5" t="s">
        <v>10</v>
      </c>
      <c r="E118" s="7">
        <v>45658</v>
      </c>
      <c r="F118" s="8">
        <v>2404008.8471700004</v>
      </c>
      <c r="G118" s="5" t="str">
        <f t="shared" si="3"/>
        <v>Gasto</v>
      </c>
      <c r="H118" s="4"/>
      <c r="I118" s="4"/>
      <c r="J118" s="1"/>
      <c r="K118" s="1"/>
    </row>
    <row r="119" spans="1:11">
      <c r="A119" s="5" t="str">
        <f t="shared" si="2"/>
        <v>San Telmo</v>
      </c>
      <c r="B119" s="5" t="s">
        <v>2</v>
      </c>
      <c r="C119" s="5" t="s">
        <v>4</v>
      </c>
      <c r="D119" s="5" t="s">
        <v>10</v>
      </c>
      <c r="E119" s="7">
        <v>45658</v>
      </c>
      <c r="F119" s="8">
        <v>2433243.4774200004</v>
      </c>
      <c r="G119" s="5" t="str">
        <f t="shared" si="3"/>
        <v>Gasto</v>
      </c>
      <c r="H119" s="4"/>
      <c r="I119" s="4"/>
      <c r="J119" s="1"/>
      <c r="K119" s="1"/>
    </row>
    <row r="120" spans="1:11">
      <c r="A120" s="5" t="str">
        <f t="shared" si="2"/>
        <v>San Telmo</v>
      </c>
      <c r="B120" s="5" t="s">
        <v>2</v>
      </c>
      <c r="C120" s="5" t="s">
        <v>3</v>
      </c>
      <c r="D120" s="5" t="s">
        <v>10</v>
      </c>
      <c r="E120" s="7">
        <v>45658</v>
      </c>
      <c r="F120" s="8">
        <v>1809449.8020900004</v>
      </c>
      <c r="G120" s="5" t="str">
        <f t="shared" si="3"/>
        <v>Gasto</v>
      </c>
      <c r="H120" s="4"/>
      <c r="I120" s="4"/>
      <c r="J120" s="1"/>
      <c r="K120" s="1"/>
    </row>
    <row r="121" spans="1:11">
      <c r="A121" s="5" t="str">
        <f t="shared" si="2"/>
        <v>San Telmo</v>
      </c>
      <c r="B121" s="5" t="s">
        <v>2</v>
      </c>
      <c r="C121" s="5" t="s">
        <v>1</v>
      </c>
      <c r="D121" s="5" t="s">
        <v>10</v>
      </c>
      <c r="E121" s="7">
        <v>45658</v>
      </c>
      <c r="F121" s="8">
        <v>2954248.4525400004</v>
      </c>
      <c r="G121" s="5" t="str">
        <f t="shared" si="3"/>
        <v>Gasto</v>
      </c>
      <c r="H121" s="4"/>
      <c r="I121" s="4"/>
      <c r="J121" s="1"/>
      <c r="K121" s="1"/>
    </row>
    <row r="122" spans="1:11">
      <c r="A122" s="5" t="str">
        <f t="shared" si="2"/>
        <v>Quilmes</v>
      </c>
      <c r="B122" s="5" t="s">
        <v>8</v>
      </c>
      <c r="C122" s="5" t="s">
        <v>9</v>
      </c>
      <c r="D122" s="5" t="s">
        <v>0</v>
      </c>
      <c r="E122" s="7">
        <v>45658</v>
      </c>
      <c r="F122" s="8">
        <v>203407.00666666665</v>
      </c>
      <c r="G122" s="5" t="str">
        <f t="shared" si="3"/>
        <v>Gasto</v>
      </c>
      <c r="H122" s="4"/>
      <c r="I122" s="4"/>
      <c r="J122" s="1"/>
      <c r="K122" s="1"/>
    </row>
    <row r="123" spans="1:11">
      <c r="A123" s="5" t="str">
        <f t="shared" si="2"/>
        <v>San Telmo</v>
      </c>
      <c r="B123" s="5" t="s">
        <v>8</v>
      </c>
      <c r="C123" s="5" t="s">
        <v>99</v>
      </c>
      <c r="D123" s="5" t="s">
        <v>0</v>
      </c>
      <c r="E123" s="7">
        <v>45658</v>
      </c>
      <c r="F123" s="8">
        <v>193861.83666666667</v>
      </c>
      <c r="G123" s="5" t="str">
        <f t="shared" si="3"/>
        <v>Gasto</v>
      </c>
      <c r="H123" s="4"/>
      <c r="I123" s="4"/>
      <c r="J123" s="1"/>
      <c r="K123" s="1"/>
    </row>
    <row r="124" spans="1:11">
      <c r="A124" s="5" t="str">
        <f t="shared" si="2"/>
        <v>Centro</v>
      </c>
      <c r="B124" s="5" t="s">
        <v>2</v>
      </c>
      <c r="C124" s="5" t="s">
        <v>7</v>
      </c>
      <c r="D124" s="5" t="s">
        <v>0</v>
      </c>
      <c r="E124" s="7">
        <v>45658</v>
      </c>
      <c r="F124" s="8">
        <v>1727784.4300000002</v>
      </c>
      <c r="G124" s="5" t="str">
        <f t="shared" si="3"/>
        <v>Gasto</v>
      </c>
      <c r="H124" s="4"/>
      <c r="I124" s="4"/>
      <c r="J124" s="1"/>
      <c r="K124" s="1"/>
    </row>
    <row r="125" spans="1:11">
      <c r="A125" s="5" t="str">
        <f t="shared" si="2"/>
        <v>Centro</v>
      </c>
      <c r="B125" s="5" t="s">
        <v>2</v>
      </c>
      <c r="C125" s="5" t="s">
        <v>6</v>
      </c>
      <c r="D125" s="5" t="s">
        <v>0</v>
      </c>
      <c r="E125" s="7">
        <v>45658</v>
      </c>
      <c r="F125" s="8">
        <v>101378.79000000001</v>
      </c>
      <c r="G125" s="5" t="str">
        <f t="shared" si="3"/>
        <v>Gasto</v>
      </c>
      <c r="H125" s="4"/>
      <c r="I125" s="4"/>
      <c r="J125" s="1"/>
      <c r="K125" s="1"/>
    </row>
    <row r="126" spans="1:11">
      <c r="A126" s="5" t="str">
        <f t="shared" si="2"/>
        <v>Centro</v>
      </c>
      <c r="B126" s="5" t="s">
        <v>2</v>
      </c>
      <c r="C126" s="5" t="s">
        <v>5</v>
      </c>
      <c r="D126" s="5" t="s">
        <v>0</v>
      </c>
      <c r="E126" s="7">
        <v>45658</v>
      </c>
      <c r="F126" s="8">
        <v>185581.34000000003</v>
      </c>
      <c r="G126" s="5" t="str">
        <f t="shared" si="3"/>
        <v>Gasto</v>
      </c>
      <c r="H126" s="4"/>
      <c r="I126" s="4"/>
      <c r="J126" s="1"/>
      <c r="K126" s="1"/>
    </row>
    <row r="127" spans="1:11">
      <c r="A127" s="5" t="str">
        <f t="shared" si="2"/>
        <v>San Telmo</v>
      </c>
      <c r="B127" s="5" t="s">
        <v>2</v>
      </c>
      <c r="C127" s="5" t="s">
        <v>4</v>
      </c>
      <c r="D127" s="5" t="s">
        <v>0</v>
      </c>
      <c r="E127" s="7">
        <v>45658</v>
      </c>
      <c r="F127" s="8">
        <v>166504.55666666667</v>
      </c>
      <c r="G127" s="5" t="str">
        <f t="shared" si="3"/>
        <v>Gasto</v>
      </c>
      <c r="H127" s="4"/>
      <c r="I127" s="4"/>
      <c r="J127" s="1"/>
      <c r="K127" s="1"/>
    </row>
    <row r="128" spans="1:11">
      <c r="A128" s="5" t="str">
        <f t="shared" si="2"/>
        <v>San Telmo</v>
      </c>
      <c r="B128" s="5" t="s">
        <v>2</v>
      </c>
      <c r="C128" s="5" t="s">
        <v>3</v>
      </c>
      <c r="D128" s="5" t="s">
        <v>0</v>
      </c>
      <c r="E128" s="7">
        <v>45658</v>
      </c>
      <c r="F128" s="8">
        <v>83461.05</v>
      </c>
      <c r="G128" s="5" t="str">
        <f t="shared" si="3"/>
        <v>Gasto</v>
      </c>
      <c r="H128" s="4"/>
      <c r="I128" s="4"/>
      <c r="J128" s="1"/>
      <c r="K128" s="1"/>
    </row>
    <row r="129" spans="1:11">
      <c r="A129" s="5" t="str">
        <f t="shared" si="2"/>
        <v>San Telmo</v>
      </c>
      <c r="B129" s="5" t="s">
        <v>2</v>
      </c>
      <c r="C129" s="5" t="s">
        <v>1</v>
      </c>
      <c r="D129" s="5" t="s">
        <v>0</v>
      </c>
      <c r="E129" s="7">
        <v>45658</v>
      </c>
      <c r="F129" s="8">
        <v>285289.01</v>
      </c>
      <c r="G129" s="5" t="str">
        <f t="shared" si="3"/>
        <v>Gasto</v>
      </c>
      <c r="H129" s="4"/>
      <c r="I129" s="4"/>
      <c r="J129" s="1"/>
      <c r="K129" s="1"/>
    </row>
    <row r="130" spans="1:11">
      <c r="A130" s="5" t="str">
        <f t="shared" ref="A130:A193" si="4">VLOOKUP(C130,$J$2:$K$9,2,FALSE)</f>
        <v>Quilmes</v>
      </c>
      <c r="B130" s="5" t="s">
        <v>8</v>
      </c>
      <c r="C130" s="5" t="s">
        <v>9</v>
      </c>
      <c r="D130" s="5" t="s">
        <v>12</v>
      </c>
      <c r="E130" s="7">
        <v>45689</v>
      </c>
      <c r="F130" s="8">
        <v>10052538</v>
      </c>
      <c r="G130" s="5" t="str">
        <f t="shared" ref="G130:G193" si="5">VLOOKUP(D130,$I$12:$J$15,2,FALSE)</f>
        <v>Ingreso</v>
      </c>
      <c r="H130" s="4"/>
      <c r="I130" s="4"/>
      <c r="J130" s="1"/>
      <c r="K130" s="1"/>
    </row>
    <row r="131" spans="1:11">
      <c r="A131" s="5" t="str">
        <f t="shared" si="4"/>
        <v>San Telmo</v>
      </c>
      <c r="B131" s="5" t="s">
        <v>8</v>
      </c>
      <c r="C131" s="5" t="s">
        <v>99</v>
      </c>
      <c r="D131" s="5" t="s">
        <v>12</v>
      </c>
      <c r="E131" s="7">
        <v>45689</v>
      </c>
      <c r="F131" s="8">
        <v>14999900</v>
      </c>
      <c r="G131" s="5" t="str">
        <f t="shared" si="5"/>
        <v>Ingreso</v>
      </c>
      <c r="H131" s="4"/>
      <c r="I131" s="4"/>
      <c r="J131" s="1"/>
      <c r="K131" s="1"/>
    </row>
    <row r="132" spans="1:11">
      <c r="A132" s="5" t="str">
        <f t="shared" si="4"/>
        <v>Centro</v>
      </c>
      <c r="B132" s="5" t="s">
        <v>2</v>
      </c>
      <c r="C132" s="5" t="s">
        <v>7</v>
      </c>
      <c r="D132" s="5" t="s">
        <v>12</v>
      </c>
      <c r="E132" s="7">
        <v>45689</v>
      </c>
      <c r="F132" s="8">
        <v>23978279</v>
      </c>
      <c r="G132" s="5" t="str">
        <f t="shared" si="5"/>
        <v>Ingreso</v>
      </c>
      <c r="H132" s="4"/>
      <c r="I132" s="4"/>
      <c r="J132" s="1"/>
      <c r="K132" s="1"/>
    </row>
    <row r="133" spans="1:11">
      <c r="A133" s="5" t="str">
        <f t="shared" si="4"/>
        <v>Centro</v>
      </c>
      <c r="B133" s="5" t="s">
        <v>2</v>
      </c>
      <c r="C133" s="5" t="s">
        <v>6</v>
      </c>
      <c r="D133" s="5" t="s">
        <v>12</v>
      </c>
      <c r="E133" s="7">
        <v>45689</v>
      </c>
      <c r="F133" s="8">
        <v>3150490</v>
      </c>
      <c r="G133" s="5" t="str">
        <f t="shared" si="5"/>
        <v>Ingreso</v>
      </c>
      <c r="H133" s="4"/>
      <c r="I133" s="4"/>
      <c r="J133" s="1"/>
      <c r="K133" s="1"/>
    </row>
    <row r="134" spans="1:11">
      <c r="A134" s="5" t="str">
        <f t="shared" si="4"/>
        <v>Centro</v>
      </c>
      <c r="B134" s="5" t="s">
        <v>2</v>
      </c>
      <c r="C134" s="5" t="s">
        <v>5</v>
      </c>
      <c r="D134" s="5" t="s">
        <v>12</v>
      </c>
      <c r="E134" s="7">
        <v>45689</v>
      </c>
      <c r="F134" s="8">
        <v>15336680</v>
      </c>
      <c r="G134" s="5" t="str">
        <f t="shared" si="5"/>
        <v>Ingreso</v>
      </c>
      <c r="H134" s="4"/>
      <c r="I134" s="4"/>
      <c r="J134" s="1"/>
      <c r="K134" s="1"/>
    </row>
    <row r="135" spans="1:11">
      <c r="A135" s="5" t="str">
        <f t="shared" si="4"/>
        <v>San Telmo</v>
      </c>
      <c r="B135" s="5" t="s">
        <v>2</v>
      </c>
      <c r="C135" s="5" t="s">
        <v>4</v>
      </c>
      <c r="D135" s="5" t="s">
        <v>12</v>
      </c>
      <c r="E135" s="7">
        <v>45689</v>
      </c>
      <c r="F135" s="8">
        <v>32509360</v>
      </c>
      <c r="G135" s="5" t="str">
        <f t="shared" si="5"/>
        <v>Ingreso</v>
      </c>
      <c r="H135" s="4"/>
      <c r="I135" s="4"/>
      <c r="J135" s="1"/>
      <c r="K135" s="1"/>
    </row>
    <row r="136" spans="1:11">
      <c r="A136" s="5" t="str">
        <f t="shared" si="4"/>
        <v>San Telmo</v>
      </c>
      <c r="B136" s="5" t="s">
        <v>2</v>
      </c>
      <c r="C136" s="5" t="s">
        <v>3</v>
      </c>
      <c r="D136" s="5" t="s">
        <v>12</v>
      </c>
      <c r="E136" s="7">
        <v>45689</v>
      </c>
      <c r="F136" s="8">
        <v>4561520</v>
      </c>
      <c r="G136" s="5" t="str">
        <f t="shared" si="5"/>
        <v>Ingreso</v>
      </c>
      <c r="H136" s="4"/>
      <c r="I136" s="4"/>
      <c r="J136" s="1"/>
      <c r="K136" s="1"/>
    </row>
    <row r="137" spans="1:11">
      <c r="A137" s="5" t="str">
        <f t="shared" si="4"/>
        <v>San Telmo</v>
      </c>
      <c r="B137" s="5" t="s">
        <v>2</v>
      </c>
      <c r="C137" s="5" t="s">
        <v>1</v>
      </c>
      <c r="D137" s="5" t="s">
        <v>12</v>
      </c>
      <c r="E137" s="7">
        <v>45689</v>
      </c>
      <c r="F137" s="8">
        <v>10874150</v>
      </c>
      <c r="G137" s="5" t="str">
        <f t="shared" si="5"/>
        <v>Ingreso</v>
      </c>
      <c r="H137" s="4"/>
      <c r="I137" s="4"/>
      <c r="J137" s="1"/>
      <c r="K137" s="1"/>
    </row>
    <row r="138" spans="1:11">
      <c r="A138" s="5" t="str">
        <f t="shared" si="4"/>
        <v>Quilmes</v>
      </c>
      <c r="B138" s="5" t="s">
        <v>8</v>
      </c>
      <c r="C138" s="5" t="s">
        <v>9</v>
      </c>
      <c r="D138" s="5" t="s">
        <v>11</v>
      </c>
      <c r="E138" s="7">
        <v>45689</v>
      </c>
      <c r="F138" s="6">
        <v>3360009.62</v>
      </c>
      <c r="G138" s="5" t="str">
        <f t="shared" si="5"/>
        <v>Gasto</v>
      </c>
      <c r="H138" s="4"/>
      <c r="I138" s="4"/>
      <c r="J138" s="1"/>
      <c r="K138" s="1"/>
    </row>
    <row r="139" spans="1:11">
      <c r="A139" s="5" t="str">
        <f t="shared" si="4"/>
        <v>San Telmo</v>
      </c>
      <c r="B139" s="5" t="s">
        <v>8</v>
      </c>
      <c r="C139" s="5" t="s">
        <v>99</v>
      </c>
      <c r="D139" s="5" t="s">
        <v>11</v>
      </c>
      <c r="E139" s="7">
        <v>45689</v>
      </c>
      <c r="F139" s="6">
        <v>2145942.77</v>
      </c>
      <c r="G139" s="5" t="str">
        <f t="shared" si="5"/>
        <v>Gasto</v>
      </c>
      <c r="H139" s="4"/>
      <c r="I139" s="4"/>
      <c r="J139" s="1"/>
      <c r="K139" s="1"/>
    </row>
    <row r="140" spans="1:11">
      <c r="A140" s="5" t="str">
        <f t="shared" si="4"/>
        <v>Centro</v>
      </c>
      <c r="B140" s="5" t="s">
        <v>2</v>
      </c>
      <c r="C140" s="5" t="s">
        <v>7</v>
      </c>
      <c r="D140" s="5" t="s">
        <v>11</v>
      </c>
      <c r="E140" s="7">
        <v>45689</v>
      </c>
      <c r="F140" s="6">
        <v>2402089.2000000002</v>
      </c>
      <c r="G140" s="5" t="str">
        <f t="shared" si="5"/>
        <v>Gasto</v>
      </c>
      <c r="H140" s="4"/>
      <c r="I140" s="4"/>
      <c r="J140" s="1"/>
      <c r="K140" s="1"/>
    </row>
    <row r="141" spans="1:11">
      <c r="A141" s="5" t="str">
        <f t="shared" si="4"/>
        <v>Centro</v>
      </c>
      <c r="B141" s="5" t="s">
        <v>2</v>
      </c>
      <c r="C141" s="5" t="s">
        <v>6</v>
      </c>
      <c r="D141" s="5" t="s">
        <v>11</v>
      </c>
      <c r="E141" s="7">
        <v>45689</v>
      </c>
      <c r="F141" s="6">
        <v>1166386.73</v>
      </c>
      <c r="G141" s="5" t="str">
        <f t="shared" si="5"/>
        <v>Gasto</v>
      </c>
      <c r="H141" s="4"/>
      <c r="I141" s="4"/>
      <c r="J141" s="1"/>
      <c r="K141" s="1"/>
    </row>
    <row r="142" spans="1:11">
      <c r="A142" s="5" t="str">
        <f t="shared" si="4"/>
        <v>Centro</v>
      </c>
      <c r="B142" s="5" t="s">
        <v>2</v>
      </c>
      <c r="C142" s="5" t="s">
        <v>5</v>
      </c>
      <c r="D142" s="5" t="s">
        <v>11</v>
      </c>
      <c r="E142" s="7">
        <v>45689</v>
      </c>
      <c r="F142" s="6">
        <v>3606612.9</v>
      </c>
      <c r="G142" s="5" t="str">
        <f t="shared" si="5"/>
        <v>Gasto</v>
      </c>
      <c r="H142" s="4"/>
      <c r="I142" s="4"/>
      <c r="J142" s="1"/>
      <c r="K142" s="1"/>
    </row>
    <row r="143" spans="1:11">
      <c r="A143" s="5" t="str">
        <f t="shared" si="4"/>
        <v>San Telmo</v>
      </c>
      <c r="B143" s="5" t="s">
        <v>2</v>
      </c>
      <c r="C143" s="5" t="s">
        <v>4</v>
      </c>
      <c r="D143" s="5" t="s">
        <v>11</v>
      </c>
      <c r="E143" s="7">
        <v>45689</v>
      </c>
      <c r="F143" s="6">
        <v>3010405.33</v>
      </c>
      <c r="G143" s="5" t="str">
        <f t="shared" si="5"/>
        <v>Gasto</v>
      </c>
      <c r="H143" s="4"/>
      <c r="I143" s="4"/>
      <c r="J143" s="1"/>
      <c r="K143" s="1"/>
    </row>
    <row r="144" spans="1:11">
      <c r="A144" s="5" t="str">
        <f t="shared" si="4"/>
        <v>San Telmo</v>
      </c>
      <c r="B144" s="5" t="s">
        <v>2</v>
      </c>
      <c r="C144" s="5" t="s">
        <v>3</v>
      </c>
      <c r="D144" s="5" t="s">
        <v>11</v>
      </c>
      <c r="E144" s="7">
        <v>45689</v>
      </c>
      <c r="F144" s="6">
        <v>1415584.96</v>
      </c>
      <c r="G144" s="5" t="str">
        <f t="shared" si="5"/>
        <v>Gasto</v>
      </c>
      <c r="H144" s="4"/>
      <c r="I144" s="4"/>
      <c r="J144" s="1"/>
      <c r="K144" s="1"/>
    </row>
    <row r="145" spans="1:11">
      <c r="A145" s="5" t="str">
        <f t="shared" si="4"/>
        <v>San Telmo</v>
      </c>
      <c r="B145" s="5" t="s">
        <v>2</v>
      </c>
      <c r="C145" s="5" t="s">
        <v>1</v>
      </c>
      <c r="D145" s="5" t="s">
        <v>11</v>
      </c>
      <c r="E145" s="7">
        <v>45689</v>
      </c>
      <c r="F145" s="6">
        <v>953194</v>
      </c>
      <c r="G145" s="5" t="str">
        <f t="shared" si="5"/>
        <v>Gasto</v>
      </c>
      <c r="H145" s="4"/>
      <c r="I145" s="4"/>
      <c r="J145" s="1"/>
      <c r="K145" s="1"/>
    </row>
    <row r="146" spans="1:11">
      <c r="A146" s="5" t="str">
        <f t="shared" si="4"/>
        <v>Quilmes</v>
      </c>
      <c r="B146" s="5" t="s">
        <v>8</v>
      </c>
      <c r="C146" s="5" t="s">
        <v>9</v>
      </c>
      <c r="D146" s="5" t="s">
        <v>10</v>
      </c>
      <c r="E146" s="7">
        <v>45689</v>
      </c>
      <c r="F146" s="6">
        <v>2934659.6433000001</v>
      </c>
      <c r="G146" s="5" t="str">
        <f t="shared" si="5"/>
        <v>Gasto</v>
      </c>
      <c r="H146" s="4"/>
      <c r="I146" s="4"/>
      <c r="J146" s="1"/>
      <c r="K146" s="1"/>
    </row>
    <row r="147" spans="1:11">
      <c r="A147" s="5" t="str">
        <f t="shared" si="4"/>
        <v>San Telmo</v>
      </c>
      <c r="B147" s="5" t="s">
        <v>8</v>
      </c>
      <c r="C147" s="5" t="s">
        <v>99</v>
      </c>
      <c r="D147" s="5" t="s">
        <v>10</v>
      </c>
      <c r="E147" s="7">
        <v>45689</v>
      </c>
      <c r="F147" s="6">
        <v>3213838.2395699997</v>
      </c>
      <c r="G147" s="5" t="str">
        <f t="shared" si="5"/>
        <v>Gasto</v>
      </c>
      <c r="H147" s="4"/>
      <c r="I147" s="4"/>
      <c r="J147" s="1"/>
      <c r="K147" s="1"/>
    </row>
    <row r="148" spans="1:11">
      <c r="A148" s="5" t="str">
        <f t="shared" si="4"/>
        <v>Centro</v>
      </c>
      <c r="B148" s="5" t="s">
        <v>2</v>
      </c>
      <c r="C148" s="5" t="s">
        <v>7</v>
      </c>
      <c r="D148" s="5" t="s">
        <v>10</v>
      </c>
      <c r="E148" s="7">
        <v>45689</v>
      </c>
      <c r="F148" s="6">
        <v>4562990.1903600004</v>
      </c>
      <c r="G148" s="5" t="str">
        <f t="shared" si="5"/>
        <v>Gasto</v>
      </c>
      <c r="H148" s="4"/>
      <c r="I148" s="4"/>
      <c r="J148" s="1"/>
      <c r="K148" s="1"/>
    </row>
    <row r="149" spans="1:11">
      <c r="A149" s="5" t="str">
        <f t="shared" si="4"/>
        <v>Centro</v>
      </c>
      <c r="B149" s="5" t="s">
        <v>2</v>
      </c>
      <c r="C149" s="5" t="s">
        <v>6</v>
      </c>
      <c r="D149" s="5" t="s">
        <v>10</v>
      </c>
      <c r="E149" s="7">
        <v>45689</v>
      </c>
      <c r="F149" s="6">
        <v>797689.43036999996</v>
      </c>
      <c r="G149" s="5" t="str">
        <f t="shared" si="5"/>
        <v>Gasto</v>
      </c>
      <c r="H149" s="4"/>
      <c r="I149" s="4"/>
      <c r="J149" s="1"/>
      <c r="K149" s="1"/>
    </row>
    <row r="150" spans="1:11">
      <c r="A150" s="5" t="str">
        <f t="shared" si="4"/>
        <v>Centro</v>
      </c>
      <c r="B150" s="5" t="s">
        <v>2</v>
      </c>
      <c r="C150" s="5" t="s">
        <v>5</v>
      </c>
      <c r="D150" s="5" t="s">
        <v>10</v>
      </c>
      <c r="E150" s="7">
        <v>45689</v>
      </c>
      <c r="F150" s="6">
        <v>2469244.1022900003</v>
      </c>
      <c r="G150" s="5" t="str">
        <f t="shared" si="5"/>
        <v>Gasto</v>
      </c>
      <c r="H150" s="4"/>
      <c r="I150" s="4"/>
      <c r="J150" s="1"/>
      <c r="K150" s="1"/>
    </row>
    <row r="151" spans="1:11">
      <c r="A151" s="5" t="str">
        <f t="shared" si="4"/>
        <v>San Telmo</v>
      </c>
      <c r="B151" s="5" t="s">
        <v>2</v>
      </c>
      <c r="C151" s="5" t="s">
        <v>4</v>
      </c>
      <c r="D151" s="5" t="s">
        <v>10</v>
      </c>
      <c r="E151" s="7">
        <v>45689</v>
      </c>
      <c r="F151" s="6">
        <v>2525034.5725500002</v>
      </c>
      <c r="G151" s="5" t="str">
        <f t="shared" si="5"/>
        <v>Gasto</v>
      </c>
      <c r="H151" s="4"/>
      <c r="I151" s="4"/>
      <c r="J151" s="1"/>
      <c r="K151" s="1"/>
    </row>
    <row r="152" spans="1:11">
      <c r="A152" s="5" t="str">
        <f t="shared" si="4"/>
        <v>San Telmo</v>
      </c>
      <c r="B152" s="5" t="s">
        <v>2</v>
      </c>
      <c r="C152" s="5" t="s">
        <v>3</v>
      </c>
      <c r="D152" s="5" t="s">
        <v>10</v>
      </c>
      <c r="E152" s="7">
        <v>45689</v>
      </c>
      <c r="F152" s="6">
        <v>1924583.0316300001</v>
      </c>
      <c r="G152" s="5" t="str">
        <f t="shared" si="5"/>
        <v>Gasto</v>
      </c>
      <c r="H152" s="4"/>
      <c r="I152" s="4"/>
      <c r="J152" s="1"/>
      <c r="K152" s="1"/>
    </row>
    <row r="153" spans="1:11">
      <c r="A153" s="5" t="str">
        <f t="shared" si="4"/>
        <v>San Telmo</v>
      </c>
      <c r="B153" s="5" t="s">
        <v>2</v>
      </c>
      <c r="C153" s="5" t="s">
        <v>1</v>
      </c>
      <c r="D153" s="5" t="s">
        <v>10</v>
      </c>
      <c r="E153" s="7">
        <v>45689</v>
      </c>
      <c r="F153" s="6">
        <v>3743565.4185300004</v>
      </c>
      <c r="G153" s="5" t="str">
        <f t="shared" si="5"/>
        <v>Gasto</v>
      </c>
      <c r="H153" s="4"/>
      <c r="I153" s="4"/>
      <c r="J153" s="1"/>
      <c r="K153" s="1"/>
    </row>
    <row r="154" spans="1:11">
      <c r="A154" s="5" t="str">
        <f t="shared" si="4"/>
        <v>Quilmes</v>
      </c>
      <c r="B154" s="5" t="s">
        <v>8</v>
      </c>
      <c r="C154" s="5" t="s">
        <v>9</v>
      </c>
      <c r="D154" s="5" t="s">
        <v>0</v>
      </c>
      <c r="E154" s="7">
        <v>45689</v>
      </c>
      <c r="F154" s="6">
        <v>191478.5</v>
      </c>
      <c r="G154" s="5" t="str">
        <f t="shared" si="5"/>
        <v>Gasto</v>
      </c>
      <c r="H154" s="4"/>
      <c r="I154" s="4"/>
      <c r="J154" s="1"/>
      <c r="K154" s="1"/>
    </row>
    <row r="155" spans="1:11">
      <c r="A155" s="5" t="str">
        <f t="shared" si="4"/>
        <v>San Telmo</v>
      </c>
      <c r="B155" s="5" t="s">
        <v>8</v>
      </c>
      <c r="C155" s="5" t="s">
        <v>99</v>
      </c>
      <c r="D155" s="5" t="s">
        <v>0</v>
      </c>
      <c r="E155" s="7">
        <v>45689</v>
      </c>
      <c r="F155" s="6">
        <v>271100.95</v>
      </c>
      <c r="G155" s="5" t="str">
        <f t="shared" si="5"/>
        <v>Gasto</v>
      </c>
      <c r="H155" s="4"/>
      <c r="I155" s="4"/>
      <c r="J155" s="1"/>
      <c r="K155" s="1"/>
    </row>
    <row r="156" spans="1:11">
      <c r="A156" s="5" t="str">
        <f t="shared" si="4"/>
        <v>Centro</v>
      </c>
      <c r="B156" s="5" t="s">
        <v>2</v>
      </c>
      <c r="C156" s="5" t="s">
        <v>7</v>
      </c>
      <c r="D156" s="5" t="s">
        <v>0</v>
      </c>
      <c r="E156" s="7">
        <v>45689</v>
      </c>
      <c r="F156" s="6">
        <v>1353670.44</v>
      </c>
      <c r="G156" s="5" t="str">
        <f t="shared" si="5"/>
        <v>Gasto</v>
      </c>
      <c r="H156" s="4"/>
      <c r="I156" s="4"/>
      <c r="J156" s="1"/>
      <c r="K156" s="1"/>
    </row>
    <row r="157" spans="1:11">
      <c r="A157" s="5" t="str">
        <f t="shared" si="4"/>
        <v>Centro</v>
      </c>
      <c r="B157" s="5" t="s">
        <v>2</v>
      </c>
      <c r="C157" s="5" t="s">
        <v>6</v>
      </c>
      <c r="D157" s="5" t="s">
        <v>0</v>
      </c>
      <c r="E157" s="7">
        <v>45689</v>
      </c>
      <c r="F157" s="6">
        <v>39614.160000000003</v>
      </c>
      <c r="G157" s="5" t="str">
        <f t="shared" si="5"/>
        <v>Gasto</v>
      </c>
      <c r="H157" s="4"/>
      <c r="I157" s="4"/>
      <c r="J157" s="1"/>
      <c r="K157" s="1"/>
    </row>
    <row r="158" spans="1:11">
      <c r="A158" s="5" t="str">
        <f t="shared" si="4"/>
        <v>Centro</v>
      </c>
      <c r="B158" s="5" t="s">
        <v>2</v>
      </c>
      <c r="C158" s="5" t="s">
        <v>5</v>
      </c>
      <c r="D158" s="5" t="s">
        <v>0</v>
      </c>
      <c r="E158" s="7">
        <v>45689</v>
      </c>
      <c r="F158" s="6">
        <v>211084.93</v>
      </c>
      <c r="G158" s="5" t="str">
        <f t="shared" si="5"/>
        <v>Gasto</v>
      </c>
      <c r="H158" s="4"/>
      <c r="I158" s="4"/>
      <c r="J158" s="1"/>
      <c r="K158" s="1"/>
    </row>
    <row r="159" spans="1:11">
      <c r="A159" s="5" t="str">
        <f t="shared" si="4"/>
        <v>San Telmo</v>
      </c>
      <c r="B159" s="5" t="s">
        <v>2</v>
      </c>
      <c r="C159" s="5" t="s">
        <v>4</v>
      </c>
      <c r="D159" s="5" t="s">
        <v>0</v>
      </c>
      <c r="E159" s="7">
        <v>45689</v>
      </c>
      <c r="F159" s="6">
        <v>237510</v>
      </c>
      <c r="G159" s="5" t="str">
        <f t="shared" si="5"/>
        <v>Gasto</v>
      </c>
      <c r="H159" s="4"/>
      <c r="I159" s="4"/>
      <c r="J159" s="1"/>
      <c r="K159" s="1"/>
    </row>
    <row r="160" spans="1:11">
      <c r="A160" s="5" t="str">
        <f t="shared" si="4"/>
        <v>San Telmo</v>
      </c>
      <c r="B160" s="5" t="s">
        <v>2</v>
      </c>
      <c r="C160" s="5" t="s">
        <v>3</v>
      </c>
      <c r="D160" s="5" t="s">
        <v>0</v>
      </c>
      <c r="E160" s="7">
        <v>45689</v>
      </c>
      <c r="F160" s="6">
        <v>118196.65000000001</v>
      </c>
      <c r="G160" s="5" t="str">
        <f t="shared" si="5"/>
        <v>Gasto</v>
      </c>
      <c r="H160" s="4"/>
      <c r="I160" s="4"/>
      <c r="J160" s="1"/>
      <c r="K160" s="1"/>
    </row>
    <row r="161" spans="1:11">
      <c r="A161" s="5" t="str">
        <f t="shared" si="4"/>
        <v>San Telmo</v>
      </c>
      <c r="B161" s="5" t="s">
        <v>2</v>
      </c>
      <c r="C161" s="5" t="s">
        <v>1</v>
      </c>
      <c r="D161" s="5" t="s">
        <v>0</v>
      </c>
      <c r="E161" s="7">
        <v>45689</v>
      </c>
      <c r="F161" s="6">
        <v>336254.14</v>
      </c>
      <c r="G161" s="5" t="str">
        <f t="shared" si="5"/>
        <v>Gasto</v>
      </c>
      <c r="H161" s="4"/>
      <c r="I161" s="4"/>
      <c r="J161" s="1"/>
      <c r="K161" s="1"/>
    </row>
    <row r="162" spans="1:11">
      <c r="A162" s="5" t="str">
        <f t="shared" si="4"/>
        <v>Quilmes</v>
      </c>
      <c r="B162" s="5" t="s">
        <v>8</v>
      </c>
      <c r="C162" s="5" t="s">
        <v>9</v>
      </c>
      <c r="D162" s="5" t="s">
        <v>12</v>
      </c>
      <c r="E162" s="7">
        <v>45717</v>
      </c>
      <c r="F162" s="6">
        <v>0</v>
      </c>
      <c r="G162" s="5" t="str">
        <f t="shared" si="5"/>
        <v>Ingreso</v>
      </c>
      <c r="H162" s="4"/>
      <c r="I162" s="4"/>
      <c r="J162" s="1"/>
      <c r="K162" s="1"/>
    </row>
    <row r="163" spans="1:11">
      <c r="A163" s="5" t="str">
        <f t="shared" si="4"/>
        <v>San Telmo</v>
      </c>
      <c r="B163" s="5" t="s">
        <v>8</v>
      </c>
      <c r="C163" s="5" t="s">
        <v>99</v>
      </c>
      <c r="D163" s="5" t="s">
        <v>12</v>
      </c>
      <c r="E163" s="7">
        <v>45717</v>
      </c>
      <c r="F163" s="3">
        <v>21851620</v>
      </c>
      <c r="G163" s="5" t="str">
        <f t="shared" si="5"/>
        <v>Ingreso</v>
      </c>
      <c r="H163" s="4"/>
      <c r="I163" s="4"/>
      <c r="J163" s="1"/>
      <c r="K163" s="1"/>
    </row>
    <row r="164" spans="1:11">
      <c r="A164" s="5" t="str">
        <f t="shared" si="4"/>
        <v>Centro</v>
      </c>
      <c r="B164" s="5" t="s">
        <v>2</v>
      </c>
      <c r="C164" s="5" t="s">
        <v>7</v>
      </c>
      <c r="D164" s="5" t="s">
        <v>12</v>
      </c>
      <c r="E164" s="7">
        <v>45717</v>
      </c>
      <c r="F164" s="6">
        <v>44687119</v>
      </c>
      <c r="G164" s="5" t="str">
        <f t="shared" si="5"/>
        <v>Ingreso</v>
      </c>
      <c r="H164" s="4"/>
      <c r="I164" s="4"/>
      <c r="J164" s="1"/>
      <c r="K164" s="1"/>
    </row>
    <row r="165" spans="1:11">
      <c r="A165" s="5" t="str">
        <f t="shared" si="4"/>
        <v>Centro</v>
      </c>
      <c r="B165" s="5" t="s">
        <v>2</v>
      </c>
      <c r="C165" s="5" t="s">
        <v>6</v>
      </c>
      <c r="D165" s="5" t="s">
        <v>12</v>
      </c>
      <c r="E165" s="7">
        <v>45717</v>
      </c>
      <c r="F165" s="6">
        <v>3287540</v>
      </c>
      <c r="G165" s="5" t="str">
        <f t="shared" si="5"/>
        <v>Ingreso</v>
      </c>
      <c r="H165" s="4"/>
      <c r="I165" s="4"/>
      <c r="J165" s="1"/>
      <c r="K165" s="1"/>
    </row>
    <row r="166" spans="1:11">
      <c r="A166" s="5" t="str">
        <f t="shared" si="4"/>
        <v>Centro</v>
      </c>
      <c r="B166" s="5" t="s">
        <v>2</v>
      </c>
      <c r="C166" s="5" t="s">
        <v>5</v>
      </c>
      <c r="D166" s="5" t="s">
        <v>12</v>
      </c>
      <c r="E166" s="7">
        <v>45717</v>
      </c>
      <c r="F166" s="6">
        <v>25739876</v>
      </c>
      <c r="G166" s="5" t="str">
        <f t="shared" si="5"/>
        <v>Ingreso</v>
      </c>
      <c r="H166" s="4"/>
      <c r="I166" s="4"/>
      <c r="J166" s="1"/>
      <c r="K166" s="1"/>
    </row>
    <row r="167" spans="1:11">
      <c r="A167" s="5" t="str">
        <f t="shared" si="4"/>
        <v>San Telmo</v>
      </c>
      <c r="B167" s="5" t="s">
        <v>2</v>
      </c>
      <c r="C167" s="5" t="s">
        <v>4</v>
      </c>
      <c r="D167" s="5" t="s">
        <v>12</v>
      </c>
      <c r="E167" s="7">
        <v>45717</v>
      </c>
      <c r="F167" s="6">
        <v>35443210</v>
      </c>
      <c r="G167" s="5" t="str">
        <f t="shared" si="5"/>
        <v>Ingreso</v>
      </c>
      <c r="H167" s="4"/>
      <c r="I167" s="4"/>
      <c r="J167" s="1"/>
      <c r="K167" s="1"/>
    </row>
    <row r="168" spans="1:11">
      <c r="A168" s="5" t="str">
        <f t="shared" si="4"/>
        <v>San Telmo</v>
      </c>
      <c r="B168" s="5" t="s">
        <v>2</v>
      </c>
      <c r="C168" s="5" t="s">
        <v>3</v>
      </c>
      <c r="D168" s="5" t="s">
        <v>12</v>
      </c>
      <c r="E168" s="7">
        <v>45717</v>
      </c>
      <c r="F168" s="6">
        <v>9767149</v>
      </c>
      <c r="G168" s="5" t="str">
        <f t="shared" si="5"/>
        <v>Ingreso</v>
      </c>
      <c r="H168" s="4"/>
      <c r="I168" s="4"/>
      <c r="J168" s="1"/>
      <c r="K168" s="1"/>
    </row>
    <row r="169" spans="1:11">
      <c r="A169" s="5" t="str">
        <f t="shared" si="4"/>
        <v>San Telmo</v>
      </c>
      <c r="B169" s="5" t="s">
        <v>2</v>
      </c>
      <c r="C169" s="5" t="s">
        <v>1</v>
      </c>
      <c r="D169" s="5" t="s">
        <v>12</v>
      </c>
      <c r="E169" s="7">
        <v>45717</v>
      </c>
      <c r="F169" s="6">
        <v>20184000</v>
      </c>
      <c r="G169" s="5" t="str">
        <f t="shared" si="5"/>
        <v>Ingreso</v>
      </c>
      <c r="H169" s="4"/>
      <c r="I169" s="4"/>
      <c r="J169" s="1"/>
      <c r="K169" s="1"/>
    </row>
    <row r="170" spans="1:11">
      <c r="A170" s="5" t="str">
        <f t="shared" si="4"/>
        <v>Quilmes</v>
      </c>
      <c r="B170" s="5" t="s">
        <v>8</v>
      </c>
      <c r="C170" s="5" t="s">
        <v>9</v>
      </c>
      <c r="D170" s="5" t="s">
        <v>11</v>
      </c>
      <c r="E170" s="7">
        <v>45717</v>
      </c>
      <c r="F170" s="6">
        <v>0</v>
      </c>
      <c r="G170" s="5" t="str">
        <f t="shared" si="5"/>
        <v>Gasto</v>
      </c>
      <c r="H170" s="4"/>
      <c r="I170" s="4"/>
      <c r="J170" s="1"/>
      <c r="K170" s="1"/>
    </row>
    <row r="171" spans="1:11">
      <c r="A171" s="5" t="str">
        <f t="shared" si="4"/>
        <v>San Telmo</v>
      </c>
      <c r="B171" s="5" t="s">
        <v>8</v>
      </c>
      <c r="C171" s="5" t="s">
        <v>99</v>
      </c>
      <c r="D171" s="5" t="s">
        <v>11</v>
      </c>
      <c r="E171" s="7">
        <v>45717</v>
      </c>
      <c r="F171" s="6">
        <v>2375921.92</v>
      </c>
      <c r="G171" s="5" t="str">
        <f t="shared" si="5"/>
        <v>Gasto</v>
      </c>
      <c r="H171" s="4"/>
      <c r="I171" s="4"/>
      <c r="J171" s="1"/>
      <c r="K171" s="1"/>
    </row>
    <row r="172" spans="1:11">
      <c r="A172" s="5" t="str">
        <f t="shared" si="4"/>
        <v>Centro</v>
      </c>
      <c r="B172" s="5" t="s">
        <v>2</v>
      </c>
      <c r="C172" s="5" t="s">
        <v>7</v>
      </c>
      <c r="D172" s="5" t="s">
        <v>11</v>
      </c>
      <c r="E172" s="7">
        <v>45717</v>
      </c>
      <c r="F172" s="6">
        <v>3310656.58</v>
      </c>
      <c r="G172" s="5" t="str">
        <f t="shared" si="5"/>
        <v>Gasto</v>
      </c>
      <c r="H172" s="4"/>
      <c r="I172" s="4"/>
      <c r="J172" s="1"/>
      <c r="K172" s="1"/>
    </row>
    <row r="173" spans="1:11">
      <c r="A173" s="5" t="str">
        <f t="shared" si="4"/>
        <v>Centro</v>
      </c>
      <c r="B173" s="5" t="s">
        <v>2</v>
      </c>
      <c r="C173" s="5" t="s">
        <v>6</v>
      </c>
      <c r="D173" s="5" t="s">
        <v>11</v>
      </c>
      <c r="E173" s="7">
        <v>45717</v>
      </c>
      <c r="F173" s="6">
        <v>540862</v>
      </c>
      <c r="G173" s="5" t="str">
        <f t="shared" si="5"/>
        <v>Gasto</v>
      </c>
      <c r="H173" s="4"/>
      <c r="I173" s="4"/>
      <c r="J173" s="1"/>
      <c r="K173" s="1"/>
    </row>
    <row r="174" spans="1:11">
      <c r="A174" s="5" t="str">
        <f t="shared" si="4"/>
        <v>Centro</v>
      </c>
      <c r="B174" s="5" t="s">
        <v>2</v>
      </c>
      <c r="C174" s="5" t="s">
        <v>5</v>
      </c>
      <c r="D174" s="5" t="s">
        <v>11</v>
      </c>
      <c r="E174" s="7">
        <v>45717</v>
      </c>
      <c r="F174" s="6">
        <v>3634940.87</v>
      </c>
      <c r="G174" s="5" t="str">
        <f t="shared" si="5"/>
        <v>Gasto</v>
      </c>
      <c r="H174" s="4"/>
      <c r="I174" s="4"/>
      <c r="J174" s="1"/>
      <c r="K174" s="1"/>
    </row>
    <row r="175" spans="1:11">
      <c r="A175" s="5" t="str">
        <f t="shared" si="4"/>
        <v>San Telmo</v>
      </c>
      <c r="B175" s="5" t="s">
        <v>2</v>
      </c>
      <c r="C175" s="5" t="s">
        <v>4</v>
      </c>
      <c r="D175" s="5" t="s">
        <v>11</v>
      </c>
      <c r="E175" s="7">
        <v>45717</v>
      </c>
      <c r="F175" s="6">
        <v>2672967.96</v>
      </c>
      <c r="G175" s="5" t="str">
        <f t="shared" si="5"/>
        <v>Gasto</v>
      </c>
      <c r="H175" s="4"/>
      <c r="I175" s="4"/>
      <c r="J175" s="1"/>
      <c r="K175" s="1"/>
    </row>
    <row r="176" spans="1:11">
      <c r="A176" s="5" t="str">
        <f t="shared" si="4"/>
        <v>San Telmo</v>
      </c>
      <c r="B176" s="5" t="s">
        <v>2</v>
      </c>
      <c r="C176" s="5" t="s">
        <v>3</v>
      </c>
      <c r="D176" s="5" t="s">
        <v>11</v>
      </c>
      <c r="E176" s="7">
        <v>45717</v>
      </c>
      <c r="F176" s="6">
        <v>1164596.76</v>
      </c>
      <c r="G176" s="5" t="str">
        <f t="shared" si="5"/>
        <v>Gasto</v>
      </c>
      <c r="H176" s="4"/>
      <c r="I176" s="4"/>
      <c r="J176" s="1"/>
      <c r="K176" s="1"/>
    </row>
    <row r="177" spans="1:11">
      <c r="A177" s="5" t="str">
        <f t="shared" si="4"/>
        <v>San Telmo</v>
      </c>
      <c r="B177" s="5" t="s">
        <v>2</v>
      </c>
      <c r="C177" s="5" t="s">
        <v>1</v>
      </c>
      <c r="D177" s="5" t="s">
        <v>11</v>
      </c>
      <c r="E177" s="7">
        <v>45717</v>
      </c>
      <c r="F177" s="6">
        <v>956414</v>
      </c>
      <c r="G177" s="5" t="str">
        <f t="shared" si="5"/>
        <v>Gasto</v>
      </c>
      <c r="H177" s="4"/>
      <c r="I177" s="4"/>
      <c r="J177" s="1"/>
      <c r="K177" s="1"/>
    </row>
    <row r="178" spans="1:11">
      <c r="A178" s="5" t="str">
        <f t="shared" si="4"/>
        <v>Quilmes</v>
      </c>
      <c r="B178" s="5" t="s">
        <v>8</v>
      </c>
      <c r="C178" s="5" t="s">
        <v>9</v>
      </c>
      <c r="D178" s="5" t="s">
        <v>10</v>
      </c>
      <c r="E178" s="7">
        <v>45717</v>
      </c>
      <c r="F178" s="6">
        <v>793002.02</v>
      </c>
      <c r="G178" s="5" t="str">
        <f t="shared" si="5"/>
        <v>Gasto</v>
      </c>
      <c r="H178" s="4"/>
      <c r="I178" s="4"/>
      <c r="J178" s="1"/>
      <c r="K178" s="1"/>
    </row>
    <row r="179" spans="1:11">
      <c r="A179" s="5" t="str">
        <f t="shared" si="4"/>
        <v>San Telmo</v>
      </c>
      <c r="B179" s="5" t="s">
        <v>8</v>
      </c>
      <c r="C179" s="5" t="s">
        <v>99</v>
      </c>
      <c r="D179" s="5" t="s">
        <v>10</v>
      </c>
      <c r="E179" s="7">
        <v>45717</v>
      </c>
      <c r="F179" s="6">
        <v>4921852.1701219995</v>
      </c>
      <c r="G179" s="5" t="str">
        <f t="shared" si="5"/>
        <v>Gasto</v>
      </c>
      <c r="H179" s="4"/>
      <c r="I179" s="4"/>
      <c r="J179" s="1"/>
      <c r="K179" s="1"/>
    </row>
    <row r="180" spans="1:11">
      <c r="A180" s="5" t="str">
        <f t="shared" si="4"/>
        <v>Centro</v>
      </c>
      <c r="B180" s="5" t="s">
        <v>2</v>
      </c>
      <c r="C180" s="5" t="s">
        <v>7</v>
      </c>
      <c r="D180" s="5" t="s">
        <v>10</v>
      </c>
      <c r="E180" s="7">
        <v>45717</v>
      </c>
      <c r="F180" s="6">
        <v>6276593.3444979992</v>
      </c>
      <c r="G180" s="5" t="str">
        <f t="shared" si="5"/>
        <v>Gasto</v>
      </c>
      <c r="H180" s="4"/>
      <c r="I180" s="4"/>
      <c r="J180" s="1"/>
      <c r="K180" s="1"/>
    </row>
    <row r="181" spans="1:11">
      <c r="A181" s="5" t="str">
        <f t="shared" si="4"/>
        <v>Centro</v>
      </c>
      <c r="B181" s="5" t="s">
        <v>2</v>
      </c>
      <c r="C181" s="5" t="s">
        <v>6</v>
      </c>
      <c r="D181" s="5" t="s">
        <v>10</v>
      </c>
      <c r="E181" s="7">
        <v>45717</v>
      </c>
      <c r="F181" s="6">
        <v>1447369.1218730002</v>
      </c>
      <c r="G181" s="5" t="str">
        <f t="shared" si="5"/>
        <v>Gasto</v>
      </c>
      <c r="H181" s="4"/>
      <c r="I181" s="4"/>
      <c r="J181" s="1"/>
      <c r="K181" s="1"/>
    </row>
    <row r="182" spans="1:11">
      <c r="A182" s="5" t="str">
        <f t="shared" si="4"/>
        <v>Centro</v>
      </c>
      <c r="B182" s="5" t="s">
        <v>2</v>
      </c>
      <c r="C182" s="5" t="s">
        <v>5</v>
      </c>
      <c r="D182" s="5" t="s">
        <v>10</v>
      </c>
      <c r="E182" s="7">
        <v>45717</v>
      </c>
      <c r="F182" s="6">
        <v>2988002.406589</v>
      </c>
      <c r="G182" s="5" t="str">
        <f t="shared" si="5"/>
        <v>Gasto</v>
      </c>
      <c r="H182" s="4"/>
      <c r="I182" s="4"/>
      <c r="J182" s="1"/>
      <c r="K182" s="1"/>
    </row>
    <row r="183" spans="1:11">
      <c r="A183" s="5" t="str">
        <f t="shared" si="4"/>
        <v>San Telmo</v>
      </c>
      <c r="B183" s="5" t="s">
        <v>2</v>
      </c>
      <c r="C183" s="5" t="s">
        <v>4</v>
      </c>
      <c r="D183" s="5" t="s">
        <v>10</v>
      </c>
      <c r="E183" s="7">
        <v>45717</v>
      </c>
      <c r="F183" s="6">
        <v>4606184.9010080006</v>
      </c>
      <c r="G183" s="5" t="str">
        <f t="shared" si="5"/>
        <v>Gasto</v>
      </c>
      <c r="H183" s="4"/>
      <c r="I183" s="4"/>
      <c r="J183" s="1"/>
      <c r="K183" s="1"/>
    </row>
    <row r="184" spans="1:11">
      <c r="A184" s="5" t="str">
        <f t="shared" si="4"/>
        <v>San Telmo</v>
      </c>
      <c r="B184" s="5" t="s">
        <v>2</v>
      </c>
      <c r="C184" s="5" t="s">
        <v>3</v>
      </c>
      <c r="D184" s="5" t="s">
        <v>10</v>
      </c>
      <c r="E184" s="7">
        <v>45717</v>
      </c>
      <c r="F184" s="6">
        <v>2035425.9284600001</v>
      </c>
      <c r="G184" s="5" t="str">
        <f t="shared" si="5"/>
        <v>Gasto</v>
      </c>
      <c r="H184" s="4"/>
      <c r="I184" s="4"/>
      <c r="J184" s="1"/>
      <c r="K184" s="1"/>
    </row>
    <row r="185" spans="1:11">
      <c r="A185" s="5" t="str">
        <f t="shared" si="4"/>
        <v>San Telmo</v>
      </c>
      <c r="B185" s="5" t="s">
        <v>2</v>
      </c>
      <c r="C185" s="5" t="s">
        <v>1</v>
      </c>
      <c r="D185" s="5" t="s">
        <v>10</v>
      </c>
      <c r="E185" s="7">
        <v>45717</v>
      </c>
      <c r="F185" s="6">
        <v>3179852.2605179898</v>
      </c>
      <c r="G185" s="5" t="str">
        <f t="shared" si="5"/>
        <v>Gasto</v>
      </c>
      <c r="H185" s="4"/>
      <c r="I185" s="4"/>
      <c r="J185" s="1"/>
      <c r="K185" s="1"/>
    </row>
    <row r="186" spans="1:11">
      <c r="A186" s="5" t="str">
        <f t="shared" si="4"/>
        <v>Quilmes</v>
      </c>
      <c r="B186" s="5" t="s">
        <v>8</v>
      </c>
      <c r="C186" s="5" t="s">
        <v>9</v>
      </c>
      <c r="D186" s="5" t="s">
        <v>0</v>
      </c>
      <c r="E186" s="7">
        <v>45717</v>
      </c>
      <c r="F186" s="6">
        <v>885312.31</v>
      </c>
      <c r="G186" s="5" t="str">
        <f t="shared" si="5"/>
        <v>Gasto</v>
      </c>
      <c r="H186" s="4"/>
      <c r="I186" s="4"/>
      <c r="J186" s="1"/>
      <c r="K186" s="1"/>
    </row>
    <row r="187" spans="1:11">
      <c r="A187" s="5" t="str">
        <f t="shared" si="4"/>
        <v>San Telmo</v>
      </c>
      <c r="B187" s="5" t="s">
        <v>8</v>
      </c>
      <c r="C187" s="5" t="s">
        <v>99</v>
      </c>
      <c r="D187" s="5" t="s">
        <v>0</v>
      </c>
      <c r="E187" s="7">
        <v>45717</v>
      </c>
      <c r="F187" s="6">
        <v>215696.71</v>
      </c>
      <c r="G187" s="5" t="str">
        <f t="shared" si="5"/>
        <v>Gasto</v>
      </c>
      <c r="H187" s="4"/>
      <c r="I187" s="4"/>
      <c r="J187" s="1"/>
      <c r="K187" s="1"/>
    </row>
    <row r="188" spans="1:11">
      <c r="A188" s="5" t="str">
        <f t="shared" si="4"/>
        <v>Centro</v>
      </c>
      <c r="B188" s="5" t="s">
        <v>2</v>
      </c>
      <c r="C188" s="5" t="s">
        <v>7</v>
      </c>
      <c r="D188" s="5" t="s">
        <v>0</v>
      </c>
      <c r="E188" s="7">
        <v>45717</v>
      </c>
      <c r="F188" s="6">
        <v>1730685.67</v>
      </c>
      <c r="G188" s="5" t="str">
        <f t="shared" si="5"/>
        <v>Gasto</v>
      </c>
      <c r="H188" s="4"/>
      <c r="I188" s="4"/>
      <c r="J188" s="1"/>
      <c r="K188" s="1"/>
    </row>
    <row r="189" spans="1:11">
      <c r="A189" s="5" t="str">
        <f t="shared" si="4"/>
        <v>Centro</v>
      </c>
      <c r="B189" s="5" t="s">
        <v>2</v>
      </c>
      <c r="C189" s="5" t="s">
        <v>6</v>
      </c>
      <c r="D189" s="5" t="s">
        <v>0</v>
      </c>
      <c r="E189" s="7">
        <v>45717</v>
      </c>
      <c r="F189" s="6">
        <v>2000443</v>
      </c>
      <c r="G189" s="5" t="str">
        <f t="shared" si="5"/>
        <v>Gasto</v>
      </c>
      <c r="H189" s="4"/>
      <c r="I189" s="4"/>
      <c r="J189" s="1"/>
      <c r="K189" s="1"/>
    </row>
    <row r="190" spans="1:11">
      <c r="A190" s="5" t="str">
        <f t="shared" si="4"/>
        <v>Centro</v>
      </c>
      <c r="B190" s="5" t="s">
        <v>2</v>
      </c>
      <c r="C190" s="5" t="s">
        <v>5</v>
      </c>
      <c r="D190" s="5" t="s">
        <v>0</v>
      </c>
      <c r="E190" s="7">
        <v>45717</v>
      </c>
      <c r="F190" s="6">
        <v>231848.83</v>
      </c>
      <c r="G190" s="5" t="str">
        <f t="shared" si="5"/>
        <v>Gasto</v>
      </c>
      <c r="H190" s="4"/>
      <c r="I190" s="4"/>
      <c r="J190" s="1"/>
      <c r="K190" s="1"/>
    </row>
    <row r="191" spans="1:11">
      <c r="A191" s="5" t="str">
        <f t="shared" si="4"/>
        <v>San Telmo</v>
      </c>
      <c r="B191" s="5" t="s">
        <v>2</v>
      </c>
      <c r="C191" s="5" t="s">
        <v>4</v>
      </c>
      <c r="D191" s="5" t="s">
        <v>0</v>
      </c>
      <c r="E191" s="7">
        <v>45717</v>
      </c>
      <c r="F191" s="6">
        <v>128425.78</v>
      </c>
      <c r="G191" s="5" t="str">
        <f t="shared" si="5"/>
        <v>Gasto</v>
      </c>
      <c r="H191" s="4"/>
      <c r="I191" s="4"/>
      <c r="J191" s="1"/>
      <c r="K191" s="1"/>
    </row>
    <row r="192" spans="1:11">
      <c r="A192" s="5" t="str">
        <f t="shared" si="4"/>
        <v>San Telmo</v>
      </c>
      <c r="B192" s="5" t="s">
        <v>2</v>
      </c>
      <c r="C192" s="5" t="s">
        <v>3</v>
      </c>
      <c r="D192" s="5" t="s">
        <v>0</v>
      </c>
      <c r="E192" s="7">
        <v>45717</v>
      </c>
      <c r="F192" s="6">
        <v>119133.85</v>
      </c>
      <c r="G192" s="5" t="str">
        <f t="shared" si="5"/>
        <v>Gasto</v>
      </c>
      <c r="H192" s="4"/>
      <c r="I192" s="4"/>
      <c r="J192" s="1"/>
      <c r="K192" s="1"/>
    </row>
    <row r="193" spans="1:11">
      <c r="A193" s="5" t="str">
        <f t="shared" si="4"/>
        <v>San Telmo</v>
      </c>
      <c r="B193" s="5" t="s">
        <v>2</v>
      </c>
      <c r="C193" s="5" t="s">
        <v>1</v>
      </c>
      <c r="D193" s="5" t="s">
        <v>0</v>
      </c>
      <c r="E193" s="7">
        <v>45717</v>
      </c>
      <c r="F193" s="6">
        <v>287638.92</v>
      </c>
      <c r="G193" s="5" t="str">
        <f t="shared" si="5"/>
        <v>Gasto</v>
      </c>
      <c r="H193" s="4"/>
      <c r="I193" s="4"/>
      <c r="J193" s="1"/>
      <c r="K193" s="1"/>
    </row>
    <row r="194" spans="1:11">
      <c r="A194" s="5" t="str">
        <f t="shared" ref="A194:A225" si="6">VLOOKUP(C194,$J$2:$K$9,2,FALSE)</f>
        <v>Quilmes</v>
      </c>
      <c r="B194" s="5" t="s">
        <v>8</v>
      </c>
      <c r="C194" s="5" t="s">
        <v>9</v>
      </c>
      <c r="D194" s="5" t="s">
        <v>12</v>
      </c>
      <c r="E194" s="7">
        <v>45748</v>
      </c>
      <c r="F194" s="6">
        <v>0</v>
      </c>
      <c r="G194" s="5" t="str">
        <f t="shared" ref="G194:G225" si="7">VLOOKUP(D194,$I$12:$J$15,2,FALSE)</f>
        <v>Ingreso</v>
      </c>
      <c r="H194" s="2"/>
      <c r="I194" s="2"/>
      <c r="J194" s="1"/>
      <c r="K194" s="1"/>
    </row>
    <row r="195" spans="1:11">
      <c r="A195" s="5" t="str">
        <f t="shared" si="6"/>
        <v>San Telmo</v>
      </c>
      <c r="B195" s="5" t="s">
        <v>8</v>
      </c>
      <c r="C195" s="5" t="s">
        <v>99</v>
      </c>
      <c r="D195" s="5" t="s">
        <v>12</v>
      </c>
      <c r="E195" s="7">
        <v>45748</v>
      </c>
      <c r="F195" s="6">
        <v>16091300</v>
      </c>
      <c r="G195" s="5" t="str">
        <f t="shared" si="7"/>
        <v>Ingreso</v>
      </c>
      <c r="H195" s="2"/>
      <c r="I195" s="2"/>
      <c r="J195" s="1"/>
      <c r="K195" s="1"/>
    </row>
    <row r="196" spans="1:11">
      <c r="A196" s="5" t="str">
        <f t="shared" si="6"/>
        <v>Centro</v>
      </c>
      <c r="B196" s="5" t="s">
        <v>2</v>
      </c>
      <c r="C196" s="5" t="s">
        <v>7</v>
      </c>
      <c r="D196" s="5" t="s">
        <v>12</v>
      </c>
      <c r="E196" s="7">
        <v>45748</v>
      </c>
      <c r="F196" s="6">
        <v>33033180</v>
      </c>
      <c r="G196" s="5" t="str">
        <f t="shared" si="7"/>
        <v>Ingreso</v>
      </c>
      <c r="H196" s="2"/>
      <c r="I196" s="2"/>
      <c r="J196" s="1"/>
      <c r="K196" s="1"/>
    </row>
    <row r="197" spans="1:11">
      <c r="A197" s="5" t="str">
        <f t="shared" si="6"/>
        <v>Centro</v>
      </c>
      <c r="B197" s="5" t="s">
        <v>2</v>
      </c>
      <c r="C197" s="5" t="s">
        <v>6</v>
      </c>
      <c r="D197" s="5" t="s">
        <v>12</v>
      </c>
      <c r="E197" s="7">
        <v>45748</v>
      </c>
      <c r="F197" s="6">
        <v>2853620</v>
      </c>
      <c r="G197" s="5" t="str">
        <f t="shared" si="7"/>
        <v>Ingreso</v>
      </c>
      <c r="H197" s="2"/>
      <c r="I197" s="2"/>
      <c r="J197" s="1"/>
      <c r="K197" s="1"/>
    </row>
    <row r="198" spans="1:11">
      <c r="A198" s="5" t="str">
        <f t="shared" si="6"/>
        <v>Centro</v>
      </c>
      <c r="B198" s="5" t="s">
        <v>2</v>
      </c>
      <c r="C198" s="5" t="s">
        <v>5</v>
      </c>
      <c r="D198" s="5" t="s">
        <v>12</v>
      </c>
      <c r="E198" s="7">
        <v>45748</v>
      </c>
      <c r="F198" s="6">
        <v>17076570</v>
      </c>
      <c r="G198" s="5" t="str">
        <f t="shared" si="7"/>
        <v>Ingreso</v>
      </c>
      <c r="H198" s="2"/>
      <c r="I198" s="2"/>
      <c r="J198" s="1"/>
      <c r="K198" s="1"/>
    </row>
    <row r="199" spans="1:11">
      <c r="A199" s="5" t="str">
        <f t="shared" si="6"/>
        <v>San Telmo</v>
      </c>
      <c r="B199" s="5" t="s">
        <v>2</v>
      </c>
      <c r="C199" s="5" t="s">
        <v>4</v>
      </c>
      <c r="D199" s="5" t="s">
        <v>12</v>
      </c>
      <c r="E199" s="7">
        <v>45748</v>
      </c>
      <c r="F199" s="6">
        <v>24391050</v>
      </c>
      <c r="G199" s="5" t="str">
        <f t="shared" si="7"/>
        <v>Ingreso</v>
      </c>
      <c r="H199" s="2"/>
      <c r="I199" s="2"/>
      <c r="J199" s="1"/>
      <c r="K199" s="1"/>
    </row>
    <row r="200" spans="1:11">
      <c r="A200" s="5" t="str">
        <f t="shared" si="6"/>
        <v>San Telmo</v>
      </c>
      <c r="B200" s="5" t="s">
        <v>2</v>
      </c>
      <c r="C200" s="5" t="s">
        <v>3</v>
      </c>
      <c r="D200" s="5" t="s">
        <v>12</v>
      </c>
      <c r="E200" s="7">
        <v>45748</v>
      </c>
      <c r="F200" s="6">
        <v>7597050</v>
      </c>
      <c r="G200" s="5" t="str">
        <f t="shared" si="7"/>
        <v>Ingreso</v>
      </c>
      <c r="H200" s="2"/>
      <c r="I200" s="2"/>
      <c r="J200" s="1"/>
      <c r="K200" s="1"/>
    </row>
    <row r="201" spans="1:11">
      <c r="A201" s="5" t="str">
        <f t="shared" si="6"/>
        <v>San Telmo</v>
      </c>
      <c r="B201" s="5" t="s">
        <v>2</v>
      </c>
      <c r="C201" s="5" t="s">
        <v>1</v>
      </c>
      <c r="D201" s="5" t="s">
        <v>12</v>
      </c>
      <c r="E201" s="7">
        <v>45748</v>
      </c>
      <c r="F201" s="6">
        <v>13943860</v>
      </c>
      <c r="G201" s="5" t="str">
        <f t="shared" si="7"/>
        <v>Ingreso</v>
      </c>
      <c r="H201" s="2"/>
      <c r="I201" s="2"/>
      <c r="J201" s="1"/>
      <c r="K201" s="1"/>
    </row>
    <row r="202" spans="1:11">
      <c r="A202" s="5" t="str">
        <f t="shared" si="6"/>
        <v>Quilmes</v>
      </c>
      <c r="B202" s="5" t="s">
        <v>8</v>
      </c>
      <c r="C202" s="5" t="s">
        <v>9</v>
      </c>
      <c r="D202" s="5" t="s">
        <v>11</v>
      </c>
      <c r="E202" s="7">
        <v>45748</v>
      </c>
      <c r="F202" s="6">
        <v>0</v>
      </c>
      <c r="G202" s="5" t="str">
        <f t="shared" si="7"/>
        <v>Gasto</v>
      </c>
      <c r="H202" s="2"/>
      <c r="I202" s="2"/>
      <c r="J202" s="1"/>
      <c r="K202" s="1"/>
    </row>
    <row r="203" spans="1:11">
      <c r="A203" s="5" t="str">
        <f t="shared" si="6"/>
        <v>San Telmo</v>
      </c>
      <c r="B203" s="5" t="s">
        <v>8</v>
      </c>
      <c r="C203" s="5" t="s">
        <v>99</v>
      </c>
      <c r="D203" s="5" t="s">
        <v>11</v>
      </c>
      <c r="E203" s="7">
        <v>45748</v>
      </c>
      <c r="F203" s="6">
        <v>2382737.38</v>
      </c>
      <c r="G203" s="5" t="str">
        <f t="shared" si="7"/>
        <v>Gasto</v>
      </c>
      <c r="H203" s="2"/>
      <c r="I203" s="2"/>
      <c r="J203" s="1"/>
      <c r="K203" s="1"/>
    </row>
    <row r="204" spans="1:11">
      <c r="A204" s="5" t="str">
        <f t="shared" si="6"/>
        <v>Centro</v>
      </c>
      <c r="B204" s="5" t="s">
        <v>2</v>
      </c>
      <c r="C204" s="5" t="s">
        <v>7</v>
      </c>
      <c r="D204" s="5" t="s">
        <v>11</v>
      </c>
      <c r="E204" s="7">
        <v>45748</v>
      </c>
      <c r="F204" s="6">
        <v>3332116.58</v>
      </c>
      <c r="G204" s="5" t="str">
        <f t="shared" si="7"/>
        <v>Gasto</v>
      </c>
      <c r="H204" s="2"/>
      <c r="I204" s="2"/>
      <c r="J204" s="1"/>
      <c r="K204" s="1"/>
    </row>
    <row r="205" spans="1:11">
      <c r="A205" s="5" t="str">
        <f t="shared" si="6"/>
        <v>Centro</v>
      </c>
      <c r="B205" s="5" t="s">
        <v>2</v>
      </c>
      <c r="C205" s="5" t="s">
        <v>6</v>
      </c>
      <c r="D205" s="5" t="s">
        <v>11</v>
      </c>
      <c r="E205" s="7">
        <v>45748</v>
      </c>
      <c r="F205" s="6">
        <v>821068.89</v>
      </c>
      <c r="G205" s="5" t="str">
        <f t="shared" si="7"/>
        <v>Gasto</v>
      </c>
      <c r="H205" s="2"/>
      <c r="I205" s="2"/>
      <c r="J205" s="1"/>
      <c r="K205" s="1"/>
    </row>
    <row r="206" spans="1:11">
      <c r="A206" s="5" t="str">
        <f t="shared" si="6"/>
        <v>Centro</v>
      </c>
      <c r="B206" s="5" t="s">
        <v>2</v>
      </c>
      <c r="C206" s="5" t="s">
        <v>5</v>
      </c>
      <c r="D206" s="5" t="s">
        <v>11</v>
      </c>
      <c r="E206" s="7">
        <v>45748</v>
      </c>
      <c r="F206" s="6">
        <v>3631434.89</v>
      </c>
      <c r="G206" s="5" t="str">
        <f t="shared" si="7"/>
        <v>Gasto</v>
      </c>
      <c r="H206" s="2"/>
      <c r="I206" s="2"/>
      <c r="J206" s="1"/>
      <c r="K206" s="1"/>
    </row>
    <row r="207" spans="1:11">
      <c r="A207" s="5" t="str">
        <f t="shared" si="6"/>
        <v>San Telmo</v>
      </c>
      <c r="B207" s="5" t="s">
        <v>2</v>
      </c>
      <c r="C207" s="5" t="s">
        <v>4</v>
      </c>
      <c r="D207" s="5" t="s">
        <v>11</v>
      </c>
      <c r="E207" s="7">
        <v>45748</v>
      </c>
      <c r="F207" s="6">
        <v>2676375.6900000004</v>
      </c>
      <c r="G207" s="5" t="str">
        <f t="shared" si="7"/>
        <v>Gasto</v>
      </c>
      <c r="H207" s="2"/>
      <c r="I207" s="2"/>
      <c r="J207" s="1"/>
      <c r="K207" s="1"/>
    </row>
    <row r="208" spans="1:11">
      <c r="A208" s="5" t="str">
        <f t="shared" si="6"/>
        <v>San Telmo</v>
      </c>
      <c r="B208" s="5" t="s">
        <v>2</v>
      </c>
      <c r="C208" s="5" t="s">
        <v>3</v>
      </c>
      <c r="D208" s="5" t="s">
        <v>11</v>
      </c>
      <c r="E208" s="7">
        <v>45748</v>
      </c>
      <c r="F208" s="6">
        <v>1168004.49</v>
      </c>
      <c r="G208" s="5" t="str">
        <f t="shared" si="7"/>
        <v>Gasto</v>
      </c>
      <c r="H208" s="2"/>
      <c r="I208" s="2"/>
      <c r="J208" s="1"/>
      <c r="K208" s="1"/>
    </row>
    <row r="209" spans="1:11">
      <c r="A209" s="5" t="str">
        <f t="shared" si="6"/>
        <v>San Telmo</v>
      </c>
      <c r="B209" s="5" t="s">
        <v>2</v>
      </c>
      <c r="C209" s="5" t="s">
        <v>1</v>
      </c>
      <c r="D209" s="5" t="s">
        <v>11</v>
      </c>
      <c r="E209" s="7">
        <v>45748</v>
      </c>
      <c r="F209" s="6">
        <v>953230.92999999993</v>
      </c>
      <c r="G209" s="5" t="str">
        <f t="shared" si="7"/>
        <v>Gasto</v>
      </c>
      <c r="H209" s="2"/>
      <c r="I209" s="2"/>
      <c r="J209" s="1"/>
      <c r="K209" s="1"/>
    </row>
    <row r="210" spans="1:11">
      <c r="A210" s="5" t="str">
        <f t="shared" si="6"/>
        <v>Quilmes</v>
      </c>
      <c r="B210" s="5" t="s">
        <v>8</v>
      </c>
      <c r="C210" s="5" t="s">
        <v>9</v>
      </c>
      <c r="D210" s="5" t="s">
        <v>10</v>
      </c>
      <c r="E210" s="7">
        <v>45748</v>
      </c>
      <c r="F210" s="6"/>
      <c r="G210" s="5" t="str">
        <f t="shared" si="7"/>
        <v>Gasto</v>
      </c>
      <c r="H210" s="2"/>
      <c r="I210" s="2"/>
      <c r="J210" s="1"/>
      <c r="K210" s="1"/>
    </row>
    <row r="211" spans="1:11">
      <c r="A211" s="5" t="str">
        <f t="shared" si="6"/>
        <v>San Telmo</v>
      </c>
      <c r="B211" s="5" t="s">
        <v>8</v>
      </c>
      <c r="C211" s="5" t="s">
        <v>99</v>
      </c>
      <c r="D211" s="5" t="s">
        <v>10</v>
      </c>
      <c r="E211" s="7">
        <v>45748</v>
      </c>
      <c r="F211" s="6">
        <v>4520864.4537000004</v>
      </c>
      <c r="G211" s="5" t="str">
        <f t="shared" si="7"/>
        <v>Gasto</v>
      </c>
      <c r="H211" s="2"/>
      <c r="I211" s="2"/>
      <c r="J211" s="1"/>
      <c r="K211" s="1"/>
    </row>
    <row r="212" spans="1:11">
      <c r="A212" s="5" t="str">
        <f t="shared" si="6"/>
        <v>Centro</v>
      </c>
      <c r="B212" s="5" t="s">
        <v>2</v>
      </c>
      <c r="C212" s="5" t="s">
        <v>7</v>
      </c>
      <c r="D212" s="5" t="s">
        <v>10</v>
      </c>
      <c r="E212" s="7">
        <v>45748</v>
      </c>
      <c r="F212" s="6">
        <v>7019683.5124999909</v>
      </c>
      <c r="G212" s="5" t="str">
        <f t="shared" si="7"/>
        <v>Gasto</v>
      </c>
      <c r="H212" s="2"/>
      <c r="I212" s="2"/>
      <c r="J212" s="1"/>
      <c r="K212" s="1"/>
    </row>
    <row r="213" spans="1:11">
      <c r="A213" s="5" t="str">
        <f t="shared" si="6"/>
        <v>Centro</v>
      </c>
      <c r="B213" s="5" t="s">
        <v>2</v>
      </c>
      <c r="C213" s="5" t="s">
        <v>6</v>
      </c>
      <c r="D213" s="5" t="s">
        <v>10</v>
      </c>
      <c r="E213" s="7">
        <v>45748</v>
      </c>
      <c r="F213" s="6">
        <v>2296399.7143999999</v>
      </c>
      <c r="G213" s="5" t="str">
        <f t="shared" si="7"/>
        <v>Gasto</v>
      </c>
      <c r="H213" s="2"/>
      <c r="I213" s="2"/>
      <c r="J213" s="1"/>
      <c r="K213" s="1"/>
    </row>
    <row r="214" spans="1:11">
      <c r="A214" s="5" t="str">
        <f t="shared" si="6"/>
        <v>Centro</v>
      </c>
      <c r="B214" s="5" t="s">
        <v>2</v>
      </c>
      <c r="C214" s="5" t="s">
        <v>5</v>
      </c>
      <c r="D214" s="5" t="s">
        <v>10</v>
      </c>
      <c r="E214" s="7">
        <v>45748</v>
      </c>
      <c r="F214" s="6">
        <v>3434634.9756</v>
      </c>
      <c r="G214" s="5" t="str">
        <f t="shared" si="7"/>
        <v>Gasto</v>
      </c>
      <c r="H214" s="2"/>
      <c r="I214" s="2"/>
      <c r="J214" s="1"/>
      <c r="K214" s="1"/>
    </row>
    <row r="215" spans="1:11">
      <c r="A215" s="5" t="str">
        <f t="shared" si="6"/>
        <v>San Telmo</v>
      </c>
      <c r="B215" s="5" t="s">
        <v>2</v>
      </c>
      <c r="C215" s="5" t="s">
        <v>4</v>
      </c>
      <c r="D215" s="5" t="s">
        <v>10</v>
      </c>
      <c r="E215" s="7">
        <v>45748</v>
      </c>
      <c r="F215" s="6">
        <v>4232892.9722999902</v>
      </c>
      <c r="G215" s="5" t="str">
        <f t="shared" si="7"/>
        <v>Gasto</v>
      </c>
      <c r="H215" s="2"/>
      <c r="I215" s="2"/>
      <c r="J215" s="1"/>
      <c r="K215" s="1"/>
    </row>
    <row r="216" spans="1:11">
      <c r="A216" s="5" t="str">
        <f t="shared" si="6"/>
        <v>San Telmo</v>
      </c>
      <c r="B216" s="5" t="s">
        <v>2</v>
      </c>
      <c r="C216" s="5" t="s">
        <v>3</v>
      </c>
      <c r="D216" s="5" t="s">
        <v>10</v>
      </c>
      <c r="E216" s="7">
        <v>45748</v>
      </c>
      <c r="F216" s="6">
        <v>2341500.4999499898</v>
      </c>
      <c r="G216" s="5" t="str">
        <f t="shared" si="7"/>
        <v>Gasto</v>
      </c>
      <c r="H216" s="2"/>
      <c r="I216" s="2"/>
      <c r="J216" s="1"/>
      <c r="K216" s="1"/>
    </row>
    <row r="217" spans="1:11">
      <c r="A217" s="5" t="str">
        <f t="shared" si="6"/>
        <v>San Telmo</v>
      </c>
      <c r="B217" s="5" t="s">
        <v>2</v>
      </c>
      <c r="C217" s="5" t="s">
        <v>1</v>
      </c>
      <c r="D217" s="5" t="s">
        <v>10</v>
      </c>
      <c r="E217" s="7">
        <v>45748</v>
      </c>
      <c r="F217" s="6">
        <v>3429207.3599999901</v>
      </c>
      <c r="G217" s="5" t="str">
        <f t="shared" si="7"/>
        <v>Gasto</v>
      </c>
      <c r="H217" s="2"/>
      <c r="I217" s="2"/>
      <c r="J217" s="1"/>
      <c r="K217" s="1"/>
    </row>
    <row r="218" spans="1:11">
      <c r="A218" s="5" t="str">
        <f t="shared" si="6"/>
        <v>Quilmes</v>
      </c>
      <c r="B218" s="5" t="s">
        <v>8</v>
      </c>
      <c r="C218" s="5" t="s">
        <v>9</v>
      </c>
      <c r="D218" s="5" t="s">
        <v>0</v>
      </c>
      <c r="E218" s="7">
        <v>45748</v>
      </c>
      <c r="F218" s="6"/>
      <c r="G218" s="5" t="str">
        <f t="shared" si="7"/>
        <v>Gasto</v>
      </c>
      <c r="H218" s="2"/>
      <c r="I218" s="2"/>
      <c r="J218" s="1"/>
      <c r="K218" s="1"/>
    </row>
    <row r="219" spans="1:11">
      <c r="A219" s="5" t="str">
        <f t="shared" si="6"/>
        <v>San Telmo</v>
      </c>
      <c r="B219" s="5" t="s">
        <v>8</v>
      </c>
      <c r="C219" s="5" t="s">
        <v>99</v>
      </c>
      <c r="D219" s="5" t="s">
        <v>0</v>
      </c>
      <c r="E219" s="7">
        <v>45748</v>
      </c>
      <c r="F219" s="6">
        <v>324659.96000000002</v>
      </c>
      <c r="G219" s="5" t="str">
        <f t="shared" si="7"/>
        <v>Gasto</v>
      </c>
      <c r="H219" s="2"/>
      <c r="I219" s="2"/>
      <c r="J219" s="1"/>
      <c r="K219" s="1"/>
    </row>
    <row r="220" spans="1:11">
      <c r="A220" s="5" t="str">
        <f t="shared" si="6"/>
        <v>Centro</v>
      </c>
      <c r="B220" s="5" t="s">
        <v>2</v>
      </c>
      <c r="C220" s="5" t="s">
        <v>7</v>
      </c>
      <c r="D220" s="5" t="s">
        <v>0</v>
      </c>
      <c r="E220" s="7">
        <v>45748</v>
      </c>
      <c r="F220" s="6">
        <v>1635733.92</v>
      </c>
      <c r="G220" s="5" t="str">
        <f t="shared" si="7"/>
        <v>Gasto</v>
      </c>
      <c r="H220" s="2"/>
      <c r="I220" s="2"/>
      <c r="J220" s="1"/>
      <c r="K220" s="1"/>
    </row>
    <row r="221" spans="1:11">
      <c r="A221" s="5" t="str">
        <f t="shared" si="6"/>
        <v>Centro</v>
      </c>
      <c r="B221" s="5" t="s">
        <v>2</v>
      </c>
      <c r="C221" s="5" t="s">
        <v>6</v>
      </c>
      <c r="D221" s="5" t="s">
        <v>0</v>
      </c>
      <c r="E221" s="7">
        <v>45748</v>
      </c>
      <c r="F221" s="6">
        <v>58830</v>
      </c>
      <c r="G221" s="5" t="str">
        <f t="shared" si="7"/>
        <v>Gasto</v>
      </c>
      <c r="H221" s="2"/>
      <c r="I221" s="2"/>
      <c r="J221" s="1"/>
      <c r="K221" s="1"/>
    </row>
    <row r="222" spans="1:11">
      <c r="A222" s="5" t="str">
        <f t="shared" si="6"/>
        <v>Centro</v>
      </c>
      <c r="B222" s="5" t="s">
        <v>2</v>
      </c>
      <c r="C222" s="5" t="s">
        <v>5</v>
      </c>
      <c r="D222" s="5" t="s">
        <v>0</v>
      </c>
      <c r="E222" s="7">
        <v>45748</v>
      </c>
      <c r="F222" s="6">
        <v>201527.02</v>
      </c>
      <c r="G222" s="5" t="str">
        <f t="shared" si="7"/>
        <v>Gasto</v>
      </c>
      <c r="H222" s="2"/>
      <c r="I222" s="2"/>
      <c r="J222" s="1"/>
      <c r="K222" s="1"/>
    </row>
    <row r="223" spans="1:11">
      <c r="A223" s="5" t="str">
        <f t="shared" si="6"/>
        <v>San Telmo</v>
      </c>
      <c r="B223" s="5" t="s">
        <v>2</v>
      </c>
      <c r="C223" s="5" t="s">
        <v>4</v>
      </c>
      <c r="D223" s="5" t="s">
        <v>0</v>
      </c>
      <c r="E223" s="7">
        <v>45748</v>
      </c>
      <c r="F223" s="6">
        <v>146897.99</v>
      </c>
      <c r="G223" s="5" t="str">
        <f t="shared" si="7"/>
        <v>Gasto</v>
      </c>
      <c r="H223" s="2"/>
      <c r="I223" s="2"/>
      <c r="J223" s="1"/>
      <c r="K223" s="1"/>
    </row>
    <row r="224" spans="1:11">
      <c r="A224" s="5" t="str">
        <f t="shared" si="6"/>
        <v>San Telmo</v>
      </c>
      <c r="B224" s="5" t="s">
        <v>2</v>
      </c>
      <c r="C224" s="5" t="s">
        <v>3</v>
      </c>
      <c r="D224" s="5" t="s">
        <v>0</v>
      </c>
      <c r="E224" s="7">
        <v>45748</v>
      </c>
      <c r="F224" s="6">
        <v>137554.66999999998</v>
      </c>
      <c r="G224" s="5" t="str">
        <f t="shared" si="7"/>
        <v>Gasto</v>
      </c>
      <c r="H224" s="2"/>
      <c r="I224" s="2"/>
      <c r="J224" s="1"/>
      <c r="K224" s="1"/>
    </row>
    <row r="225" spans="1:11">
      <c r="A225" s="5" t="str">
        <f t="shared" si="6"/>
        <v>San Telmo</v>
      </c>
      <c r="B225" s="5" t="s">
        <v>2</v>
      </c>
      <c r="C225" s="5" t="s">
        <v>1</v>
      </c>
      <c r="D225" s="5" t="s">
        <v>0</v>
      </c>
      <c r="E225" s="7">
        <v>45748</v>
      </c>
      <c r="F225" s="6">
        <v>325369.83</v>
      </c>
      <c r="G225" s="5" t="str">
        <f t="shared" si="7"/>
        <v>Gasto</v>
      </c>
      <c r="H225" s="2"/>
      <c r="I225" s="2"/>
      <c r="J225" s="1"/>
      <c r="K225" s="1"/>
    </row>
    <row r="226" spans="1:11">
      <c r="A226" s="5" t="str">
        <f t="shared" ref="A226:A257" si="8">VLOOKUP(C226,$J$2:$K$9,2,FALSE)</f>
        <v>Quilmes</v>
      </c>
      <c r="B226" s="5" t="s">
        <v>8</v>
      </c>
      <c r="C226" s="5" t="s">
        <v>9</v>
      </c>
      <c r="D226" s="5" t="s">
        <v>12</v>
      </c>
      <c r="E226" s="7">
        <v>45778</v>
      </c>
      <c r="F226" s="6"/>
      <c r="G226" s="5" t="str">
        <f t="shared" ref="G226:G257" si="9">VLOOKUP(D226,$I$12:$J$15,2,FALSE)</f>
        <v>Ingreso</v>
      </c>
    </row>
    <row r="227" spans="1:11">
      <c r="A227" s="5" t="str">
        <f t="shared" si="8"/>
        <v>San Telmo</v>
      </c>
      <c r="B227" s="5" t="s">
        <v>8</v>
      </c>
      <c r="C227" s="5" t="s">
        <v>99</v>
      </c>
      <c r="D227" s="5" t="s">
        <v>12</v>
      </c>
      <c r="E227" s="7">
        <v>45778</v>
      </c>
      <c r="F227" s="6">
        <v>14015923</v>
      </c>
      <c r="G227" s="5" t="str">
        <f t="shared" si="9"/>
        <v>Ingreso</v>
      </c>
    </row>
    <row r="228" spans="1:11">
      <c r="A228" s="5" t="str">
        <f t="shared" si="8"/>
        <v>Centro</v>
      </c>
      <c r="B228" s="5" t="s">
        <v>2</v>
      </c>
      <c r="C228" s="5" t="s">
        <v>7</v>
      </c>
      <c r="D228" s="5" t="s">
        <v>12</v>
      </c>
      <c r="E228" s="7">
        <v>45778</v>
      </c>
      <c r="F228" s="6">
        <v>35772422</v>
      </c>
      <c r="G228" s="5" t="str">
        <f t="shared" si="9"/>
        <v>Ingreso</v>
      </c>
    </row>
    <row r="229" spans="1:11">
      <c r="A229" s="5" t="str">
        <f t="shared" si="8"/>
        <v>Centro</v>
      </c>
      <c r="B229" s="5" t="s">
        <v>2</v>
      </c>
      <c r="C229" s="5" t="s">
        <v>6</v>
      </c>
      <c r="D229" s="5" t="s">
        <v>12</v>
      </c>
      <c r="E229" s="7">
        <v>45778</v>
      </c>
      <c r="F229" s="6">
        <v>4034430</v>
      </c>
      <c r="G229" s="5" t="str">
        <f t="shared" si="9"/>
        <v>Ingreso</v>
      </c>
    </row>
    <row r="230" spans="1:11">
      <c r="A230" s="5" t="str">
        <f t="shared" si="8"/>
        <v>Centro</v>
      </c>
      <c r="B230" s="5" t="s">
        <v>2</v>
      </c>
      <c r="C230" s="5" t="s">
        <v>5</v>
      </c>
      <c r="D230" s="5" t="s">
        <v>12</v>
      </c>
      <c r="E230" s="7">
        <v>45778</v>
      </c>
      <c r="F230" s="6">
        <v>15486300</v>
      </c>
      <c r="G230" s="5" t="str">
        <f t="shared" si="9"/>
        <v>Ingreso</v>
      </c>
    </row>
    <row r="231" spans="1:11">
      <c r="A231" s="5" t="str">
        <f t="shared" si="8"/>
        <v>San Telmo</v>
      </c>
      <c r="B231" s="5" t="s">
        <v>2</v>
      </c>
      <c r="C231" s="5" t="s">
        <v>4</v>
      </c>
      <c r="D231" s="5" t="s">
        <v>12</v>
      </c>
      <c r="E231" s="7">
        <v>45778</v>
      </c>
      <c r="F231" s="6">
        <v>23316110</v>
      </c>
      <c r="G231" s="5" t="str">
        <f t="shared" si="9"/>
        <v>Ingreso</v>
      </c>
    </row>
    <row r="232" spans="1:11">
      <c r="A232" s="5" t="str">
        <f t="shared" si="8"/>
        <v>San Telmo</v>
      </c>
      <c r="B232" s="5" t="s">
        <v>2</v>
      </c>
      <c r="C232" s="5" t="s">
        <v>3</v>
      </c>
      <c r="D232" s="5" t="s">
        <v>12</v>
      </c>
      <c r="E232" s="7">
        <v>45778</v>
      </c>
      <c r="F232" s="6">
        <v>7007130</v>
      </c>
      <c r="G232" s="5" t="str">
        <f t="shared" si="9"/>
        <v>Ingreso</v>
      </c>
    </row>
    <row r="233" spans="1:11">
      <c r="A233" s="5" t="str">
        <f t="shared" si="8"/>
        <v>San Telmo</v>
      </c>
      <c r="B233" s="5" t="s">
        <v>2</v>
      </c>
      <c r="C233" s="5" t="s">
        <v>1</v>
      </c>
      <c r="D233" s="5" t="s">
        <v>12</v>
      </c>
      <c r="E233" s="7">
        <v>45778</v>
      </c>
      <c r="F233" s="6">
        <v>16508620</v>
      </c>
      <c r="G233" s="5" t="str">
        <f t="shared" si="9"/>
        <v>Ingreso</v>
      </c>
    </row>
    <row r="234" spans="1:11">
      <c r="A234" s="5" t="str">
        <f t="shared" si="8"/>
        <v>Quilmes</v>
      </c>
      <c r="B234" s="5" t="s">
        <v>8</v>
      </c>
      <c r="C234" s="5" t="s">
        <v>9</v>
      </c>
      <c r="D234" s="5" t="s">
        <v>11</v>
      </c>
      <c r="E234" s="7">
        <v>45778</v>
      </c>
      <c r="F234" s="6"/>
      <c r="G234" s="5" t="str">
        <f t="shared" si="9"/>
        <v>Gasto</v>
      </c>
    </row>
    <row r="235" spans="1:11">
      <c r="A235" s="5" t="str">
        <f t="shared" si="8"/>
        <v>San Telmo</v>
      </c>
      <c r="B235" s="5" t="s">
        <v>8</v>
      </c>
      <c r="C235" s="5" t="s">
        <v>99</v>
      </c>
      <c r="D235" s="5" t="s">
        <v>11</v>
      </c>
      <c r="E235" s="7">
        <v>45778</v>
      </c>
      <c r="F235" s="6">
        <v>2156054.98</v>
      </c>
      <c r="G235" s="5" t="str">
        <f t="shared" si="9"/>
        <v>Gasto</v>
      </c>
    </row>
    <row r="236" spans="1:11">
      <c r="A236" s="5" t="str">
        <f t="shared" si="8"/>
        <v>Centro</v>
      </c>
      <c r="B236" s="5" t="s">
        <v>2</v>
      </c>
      <c r="C236" s="5" t="s">
        <v>7</v>
      </c>
      <c r="D236" s="5" t="s">
        <v>11</v>
      </c>
      <c r="E236" s="7">
        <v>45778</v>
      </c>
      <c r="F236" s="6">
        <v>2654438.2599999998</v>
      </c>
      <c r="G236" s="5" t="str">
        <f t="shared" si="9"/>
        <v>Gasto</v>
      </c>
    </row>
    <row r="237" spans="1:11">
      <c r="A237" s="5" t="str">
        <f t="shared" si="8"/>
        <v>Centro</v>
      </c>
      <c r="B237" s="5" t="s">
        <v>2</v>
      </c>
      <c r="C237" s="5" t="s">
        <v>6</v>
      </c>
      <c r="D237" s="5" t="s">
        <v>11</v>
      </c>
      <c r="E237" s="7">
        <v>45778</v>
      </c>
      <c r="F237" s="6">
        <v>815338.14</v>
      </c>
      <c r="G237" s="5" t="str">
        <f t="shared" si="9"/>
        <v>Gasto</v>
      </c>
    </row>
    <row r="238" spans="1:11">
      <c r="A238" s="5" t="str">
        <f t="shared" si="8"/>
        <v>Centro</v>
      </c>
      <c r="B238" s="5" t="s">
        <v>2</v>
      </c>
      <c r="C238" s="5" t="s">
        <v>5</v>
      </c>
      <c r="D238" s="5" t="s">
        <v>11</v>
      </c>
      <c r="E238" s="7">
        <v>45778</v>
      </c>
      <c r="F238" s="6">
        <v>3199043.5199999996</v>
      </c>
      <c r="G238" s="5" t="str">
        <f t="shared" si="9"/>
        <v>Gasto</v>
      </c>
    </row>
    <row r="239" spans="1:11">
      <c r="A239" s="5" t="str">
        <f t="shared" si="8"/>
        <v>San Telmo</v>
      </c>
      <c r="B239" s="5" t="s">
        <v>2</v>
      </c>
      <c r="C239" s="5" t="s">
        <v>4</v>
      </c>
      <c r="D239" s="5" t="s">
        <v>11</v>
      </c>
      <c r="E239" s="7">
        <v>45778</v>
      </c>
      <c r="F239" s="6">
        <v>2101384.1799999997</v>
      </c>
      <c r="G239" s="5" t="str">
        <f t="shared" si="9"/>
        <v>Gasto</v>
      </c>
    </row>
    <row r="240" spans="1:11">
      <c r="A240" s="5" t="str">
        <f t="shared" si="8"/>
        <v>San Telmo</v>
      </c>
      <c r="B240" s="5" t="s">
        <v>2</v>
      </c>
      <c r="C240" s="5" t="s">
        <v>3</v>
      </c>
      <c r="D240" s="5" t="s">
        <v>11</v>
      </c>
      <c r="E240" s="7">
        <v>45778</v>
      </c>
      <c r="F240" s="6">
        <v>1302750.98</v>
      </c>
      <c r="G240" s="5" t="str">
        <f t="shared" si="9"/>
        <v>Gasto</v>
      </c>
    </row>
    <row r="241" spans="1:7">
      <c r="A241" s="5" t="str">
        <f t="shared" si="8"/>
        <v>San Telmo</v>
      </c>
      <c r="B241" s="5" t="s">
        <v>2</v>
      </c>
      <c r="C241" s="5" t="s">
        <v>1</v>
      </c>
      <c r="D241" s="5" t="s">
        <v>11</v>
      </c>
      <c r="E241" s="7">
        <v>45778</v>
      </c>
      <c r="F241" s="6">
        <v>1001535.79</v>
      </c>
      <c r="G241" s="5" t="str">
        <f t="shared" si="9"/>
        <v>Gasto</v>
      </c>
    </row>
    <row r="242" spans="1:7">
      <c r="A242" s="5" t="str">
        <f t="shared" si="8"/>
        <v>Quilmes</v>
      </c>
      <c r="B242" s="5" t="s">
        <v>8</v>
      </c>
      <c r="C242" s="5" t="s">
        <v>9</v>
      </c>
      <c r="D242" s="5" t="s">
        <v>10</v>
      </c>
      <c r="E242" s="7">
        <v>45778</v>
      </c>
      <c r="F242" s="6"/>
      <c r="G242" s="5" t="str">
        <f t="shared" si="9"/>
        <v>Gasto</v>
      </c>
    </row>
    <row r="243" spans="1:7">
      <c r="A243" s="5" t="str">
        <f t="shared" si="8"/>
        <v>San Telmo</v>
      </c>
      <c r="B243" s="5" t="s">
        <v>8</v>
      </c>
      <c r="C243" s="5" t="s">
        <v>99</v>
      </c>
      <c r="D243" s="5" t="s">
        <v>10</v>
      </c>
      <c r="E243" s="7">
        <v>45778</v>
      </c>
      <c r="F243" s="6">
        <v>4711699.4981999993</v>
      </c>
      <c r="G243" s="5" t="str">
        <f t="shared" si="9"/>
        <v>Gasto</v>
      </c>
    </row>
    <row r="244" spans="1:7">
      <c r="A244" s="5" t="str">
        <f t="shared" si="8"/>
        <v>Centro</v>
      </c>
      <c r="B244" s="5" t="s">
        <v>2</v>
      </c>
      <c r="C244" s="5" t="s">
        <v>7</v>
      </c>
      <c r="D244" s="5" t="s">
        <v>10</v>
      </c>
      <c r="E244" s="7">
        <v>45778</v>
      </c>
      <c r="F244" s="6">
        <v>5916115.2444000002</v>
      </c>
      <c r="G244" s="5" t="str">
        <f t="shared" si="9"/>
        <v>Gasto</v>
      </c>
    </row>
    <row r="245" spans="1:7">
      <c r="A245" s="5" t="str">
        <f t="shared" si="8"/>
        <v>Centro</v>
      </c>
      <c r="B245" s="5" t="s">
        <v>2</v>
      </c>
      <c r="C245" s="5" t="s">
        <v>6</v>
      </c>
      <c r="D245" s="5" t="s">
        <v>10</v>
      </c>
      <c r="E245" s="7">
        <v>45778</v>
      </c>
      <c r="F245" s="6">
        <v>2303093.8932999899</v>
      </c>
      <c r="G245" s="5" t="str">
        <f t="shared" si="9"/>
        <v>Gasto</v>
      </c>
    </row>
    <row r="246" spans="1:7">
      <c r="A246" s="5" t="str">
        <f t="shared" si="8"/>
        <v>Centro</v>
      </c>
      <c r="B246" s="5" t="s">
        <v>2</v>
      </c>
      <c r="C246" s="5" t="s">
        <v>5</v>
      </c>
      <c r="D246" s="5" t="s">
        <v>10</v>
      </c>
      <c r="E246" s="7">
        <v>45778</v>
      </c>
      <c r="F246" s="6">
        <v>3457993.29</v>
      </c>
      <c r="G246" s="5" t="str">
        <f t="shared" si="9"/>
        <v>Gasto</v>
      </c>
    </row>
    <row r="247" spans="1:7">
      <c r="A247" s="5" t="str">
        <f t="shared" si="8"/>
        <v>San Telmo</v>
      </c>
      <c r="B247" s="5" t="s">
        <v>2</v>
      </c>
      <c r="C247" s="5" t="s">
        <v>4</v>
      </c>
      <c r="D247" s="5" t="s">
        <v>10</v>
      </c>
      <c r="E247" s="7">
        <v>45778</v>
      </c>
      <c r="F247" s="6">
        <v>4663105.59</v>
      </c>
      <c r="G247" s="5" t="str">
        <f t="shared" si="9"/>
        <v>Gasto</v>
      </c>
    </row>
    <row r="248" spans="1:7">
      <c r="A248" s="5" t="str">
        <f t="shared" si="8"/>
        <v>San Telmo</v>
      </c>
      <c r="B248" s="5" t="s">
        <v>2</v>
      </c>
      <c r="C248" s="5" t="s">
        <v>3</v>
      </c>
      <c r="D248" s="5" t="s">
        <v>10</v>
      </c>
      <c r="E248" s="7">
        <v>45778</v>
      </c>
      <c r="F248" s="6">
        <v>2921356.6</v>
      </c>
      <c r="G248" s="5" t="str">
        <f t="shared" si="9"/>
        <v>Gasto</v>
      </c>
    </row>
    <row r="249" spans="1:7">
      <c r="A249" s="5" t="str">
        <f t="shared" si="8"/>
        <v>San Telmo</v>
      </c>
      <c r="B249" s="5" t="s">
        <v>2</v>
      </c>
      <c r="C249" s="5" t="s">
        <v>1</v>
      </c>
      <c r="D249" s="5" t="s">
        <v>10</v>
      </c>
      <c r="E249" s="7">
        <v>45778</v>
      </c>
      <c r="F249" s="6">
        <v>3409856.4498499995</v>
      </c>
      <c r="G249" s="5" t="str">
        <f t="shared" si="9"/>
        <v>Gasto</v>
      </c>
    </row>
    <row r="250" spans="1:7">
      <c r="A250" s="5" t="str">
        <f t="shared" si="8"/>
        <v>Quilmes</v>
      </c>
      <c r="B250" s="5" t="s">
        <v>8</v>
      </c>
      <c r="C250" s="5" t="s">
        <v>9</v>
      </c>
      <c r="D250" s="5" t="s">
        <v>0</v>
      </c>
      <c r="E250" s="7">
        <v>45778</v>
      </c>
      <c r="F250" s="6">
        <v>160742.16000000003</v>
      </c>
      <c r="G250" s="5" t="str">
        <f t="shared" si="9"/>
        <v>Gasto</v>
      </c>
    </row>
    <row r="251" spans="1:7">
      <c r="A251" s="5" t="str">
        <f t="shared" si="8"/>
        <v>San Telmo</v>
      </c>
      <c r="B251" s="5" t="s">
        <v>8</v>
      </c>
      <c r="C251" s="5" t="s">
        <v>99</v>
      </c>
      <c r="D251" s="5" t="s">
        <v>0</v>
      </c>
      <c r="E251" s="7">
        <v>45778</v>
      </c>
      <c r="F251" s="6">
        <v>289620.19</v>
      </c>
      <c r="G251" s="5" t="str">
        <f t="shared" si="9"/>
        <v>Gasto</v>
      </c>
    </row>
    <row r="252" spans="1:7">
      <c r="A252" s="5" t="str">
        <f t="shared" si="8"/>
        <v>Centro</v>
      </c>
      <c r="B252" s="5" t="s">
        <v>2</v>
      </c>
      <c r="C252" s="5" t="s">
        <v>7</v>
      </c>
      <c r="D252" s="5" t="s">
        <v>0</v>
      </c>
      <c r="E252" s="7">
        <v>45778</v>
      </c>
      <c r="F252" s="6">
        <v>1831466.2999999998</v>
      </c>
      <c r="G252" s="5" t="str">
        <f t="shared" si="9"/>
        <v>Gasto</v>
      </c>
    </row>
    <row r="253" spans="1:7">
      <c r="A253" s="5" t="str">
        <f t="shared" si="8"/>
        <v>Centro</v>
      </c>
      <c r="B253" s="5" t="s">
        <v>2</v>
      </c>
      <c r="C253" s="5" t="s">
        <v>6</v>
      </c>
      <c r="D253" s="5" t="s">
        <v>0</v>
      </c>
      <c r="E253" s="7">
        <v>45778</v>
      </c>
      <c r="F253" s="6">
        <v>100196.5</v>
      </c>
      <c r="G253" s="5" t="str">
        <f t="shared" si="9"/>
        <v>Gasto</v>
      </c>
    </row>
    <row r="254" spans="1:7">
      <c r="A254" s="5" t="str">
        <f t="shared" si="8"/>
        <v>Centro</v>
      </c>
      <c r="B254" s="5" t="s">
        <v>2</v>
      </c>
      <c r="C254" s="5" t="s">
        <v>5</v>
      </c>
      <c r="D254" s="5" t="s">
        <v>0</v>
      </c>
      <c r="E254" s="7">
        <v>45778</v>
      </c>
      <c r="F254" s="6">
        <v>343699.47000000003</v>
      </c>
      <c r="G254" s="5" t="str">
        <f t="shared" si="9"/>
        <v>Gasto</v>
      </c>
    </row>
    <row r="255" spans="1:7">
      <c r="A255" s="5" t="str">
        <f t="shared" si="8"/>
        <v>San Telmo</v>
      </c>
      <c r="B255" s="5" t="s">
        <v>2</v>
      </c>
      <c r="C255" s="5" t="s">
        <v>4</v>
      </c>
      <c r="D255" s="5" t="s">
        <v>0</v>
      </c>
      <c r="E255" s="7">
        <v>45778</v>
      </c>
      <c r="F255" s="6">
        <v>108542.57</v>
      </c>
      <c r="G255" s="5" t="str">
        <f t="shared" si="9"/>
        <v>Gasto</v>
      </c>
    </row>
    <row r="256" spans="1:7">
      <c r="A256" s="5" t="str">
        <f t="shared" si="8"/>
        <v>San Telmo</v>
      </c>
      <c r="B256" s="5" t="s">
        <v>2</v>
      </c>
      <c r="C256" s="5" t="s">
        <v>3</v>
      </c>
      <c r="D256" s="5" t="s">
        <v>0</v>
      </c>
      <c r="E256" s="7">
        <v>45778</v>
      </c>
      <c r="F256" s="6">
        <v>178268.44</v>
      </c>
      <c r="G256" s="5" t="str">
        <f t="shared" si="9"/>
        <v>Gasto</v>
      </c>
    </row>
    <row r="257" spans="1:7">
      <c r="A257" s="5" t="str">
        <f t="shared" si="8"/>
        <v>San Telmo</v>
      </c>
      <c r="B257" s="5" t="s">
        <v>2</v>
      </c>
      <c r="C257" s="5" t="s">
        <v>1</v>
      </c>
      <c r="D257" s="5" t="s">
        <v>0</v>
      </c>
      <c r="E257" s="7">
        <v>45778</v>
      </c>
      <c r="F257" s="6">
        <v>347427.62</v>
      </c>
      <c r="G257" s="5" t="str">
        <f t="shared" si="9"/>
        <v>Gasto</v>
      </c>
    </row>
    <row r="258" spans="1:7">
      <c r="A258" s="5" t="str">
        <f t="shared" ref="A258:A289" si="10">VLOOKUP(C258,$J$2:$K$9,2,FALSE)</f>
        <v>Quilmes</v>
      </c>
      <c r="B258" s="5" t="s">
        <v>8</v>
      </c>
      <c r="C258" s="5" t="s">
        <v>9</v>
      </c>
      <c r="D258" s="5" t="s">
        <v>12</v>
      </c>
      <c r="E258" s="7">
        <v>45809</v>
      </c>
      <c r="F258" s="6"/>
      <c r="G258" s="5" t="str">
        <f t="shared" ref="G258:G289" si="11">VLOOKUP(D258,$I$12:$J$15,2,FALSE)</f>
        <v>Ingreso</v>
      </c>
    </row>
    <row r="259" spans="1:7">
      <c r="A259" s="5" t="str">
        <f t="shared" si="10"/>
        <v>San Telmo</v>
      </c>
      <c r="B259" s="5" t="s">
        <v>8</v>
      </c>
      <c r="C259" s="5" t="s">
        <v>99</v>
      </c>
      <c r="D259" s="5" t="s">
        <v>12</v>
      </c>
      <c r="E259" s="7">
        <v>45809</v>
      </c>
      <c r="F259" s="6">
        <v>17355500</v>
      </c>
      <c r="G259" s="5" t="str">
        <f t="shared" si="11"/>
        <v>Ingreso</v>
      </c>
    </row>
    <row r="260" spans="1:7">
      <c r="A260" s="5" t="str">
        <f t="shared" si="10"/>
        <v>Centro</v>
      </c>
      <c r="B260" s="5" t="s">
        <v>2</v>
      </c>
      <c r="C260" s="5" t="s">
        <v>7</v>
      </c>
      <c r="D260" s="5" t="s">
        <v>12</v>
      </c>
      <c r="E260" s="7">
        <v>45809</v>
      </c>
      <c r="F260" s="6">
        <v>29767639</v>
      </c>
      <c r="G260" s="5" t="str">
        <f t="shared" si="11"/>
        <v>Ingreso</v>
      </c>
    </row>
    <row r="261" spans="1:7">
      <c r="A261" s="5" t="str">
        <f t="shared" si="10"/>
        <v>Centro</v>
      </c>
      <c r="B261" s="5" t="s">
        <v>2</v>
      </c>
      <c r="C261" s="5" t="s">
        <v>6</v>
      </c>
      <c r="D261" s="5" t="s">
        <v>12</v>
      </c>
      <c r="E261" s="7">
        <v>45809</v>
      </c>
      <c r="F261" s="6">
        <v>4016350</v>
      </c>
      <c r="G261" s="5" t="str">
        <f t="shared" si="11"/>
        <v>Ingreso</v>
      </c>
    </row>
    <row r="262" spans="1:7">
      <c r="A262" s="5" t="str">
        <f t="shared" si="10"/>
        <v>Centro</v>
      </c>
      <c r="B262" s="5" t="s">
        <v>2</v>
      </c>
      <c r="C262" s="5" t="s">
        <v>5</v>
      </c>
      <c r="D262" s="5" t="s">
        <v>12</v>
      </c>
      <c r="E262" s="7">
        <v>45809</v>
      </c>
      <c r="F262" s="6">
        <v>17483909</v>
      </c>
      <c r="G262" s="5" t="str">
        <f t="shared" si="11"/>
        <v>Ingreso</v>
      </c>
    </row>
    <row r="263" spans="1:7">
      <c r="A263" s="5" t="str">
        <f t="shared" si="10"/>
        <v>San Telmo</v>
      </c>
      <c r="B263" s="5" t="s">
        <v>2</v>
      </c>
      <c r="C263" s="5" t="s">
        <v>4</v>
      </c>
      <c r="D263" s="5" t="s">
        <v>12</v>
      </c>
      <c r="E263" s="7">
        <v>45809</v>
      </c>
      <c r="F263" s="6">
        <v>24499270</v>
      </c>
      <c r="G263" s="5" t="str">
        <f t="shared" si="11"/>
        <v>Ingreso</v>
      </c>
    </row>
    <row r="264" spans="1:7">
      <c r="A264" s="5" t="str">
        <f t="shared" si="10"/>
        <v>San Telmo</v>
      </c>
      <c r="B264" s="5" t="s">
        <v>2</v>
      </c>
      <c r="C264" s="5" t="s">
        <v>3</v>
      </c>
      <c r="D264" s="5" t="s">
        <v>12</v>
      </c>
      <c r="E264" s="7">
        <v>45809</v>
      </c>
      <c r="F264" s="6">
        <v>10595670</v>
      </c>
      <c r="G264" s="5" t="str">
        <f t="shared" si="11"/>
        <v>Ingreso</v>
      </c>
    </row>
    <row r="265" spans="1:7">
      <c r="A265" s="5" t="str">
        <f t="shared" si="10"/>
        <v>San Telmo</v>
      </c>
      <c r="B265" s="5" t="s">
        <v>2</v>
      </c>
      <c r="C265" s="5" t="s">
        <v>1</v>
      </c>
      <c r="D265" s="5" t="s">
        <v>12</v>
      </c>
      <c r="E265" s="7">
        <v>45809</v>
      </c>
      <c r="F265" s="6">
        <v>16960280</v>
      </c>
      <c r="G265" s="5" t="str">
        <f t="shared" si="11"/>
        <v>Ingreso</v>
      </c>
    </row>
    <row r="266" spans="1:7">
      <c r="A266" s="5" t="str">
        <f t="shared" si="10"/>
        <v>Quilmes</v>
      </c>
      <c r="B266" s="5" t="s">
        <v>8</v>
      </c>
      <c r="C266" s="5" t="s">
        <v>9</v>
      </c>
      <c r="D266" s="5" t="s">
        <v>11</v>
      </c>
      <c r="E266" s="7">
        <v>45809</v>
      </c>
      <c r="F266" s="6"/>
      <c r="G266" s="5" t="str">
        <f t="shared" si="11"/>
        <v>Gasto</v>
      </c>
    </row>
    <row r="267" spans="1:7">
      <c r="A267" s="5" t="str">
        <f t="shared" si="10"/>
        <v>San Telmo</v>
      </c>
      <c r="B267" s="5" t="s">
        <v>8</v>
      </c>
      <c r="C267" s="5" t="s">
        <v>99</v>
      </c>
      <c r="D267" s="5" t="s">
        <v>11</v>
      </c>
      <c r="E267" s="7">
        <v>45809</v>
      </c>
      <c r="F267" s="6">
        <v>2105437.42</v>
      </c>
      <c r="G267" s="5" t="str">
        <f t="shared" si="11"/>
        <v>Gasto</v>
      </c>
    </row>
    <row r="268" spans="1:7">
      <c r="A268" s="5" t="str">
        <f t="shared" si="10"/>
        <v>Centro</v>
      </c>
      <c r="B268" s="5" t="s">
        <v>2</v>
      </c>
      <c r="C268" s="5" t="s">
        <v>7</v>
      </c>
      <c r="D268" s="5" t="s">
        <v>11</v>
      </c>
      <c r="E268" s="7">
        <v>45809</v>
      </c>
      <c r="F268" s="6">
        <v>2853389.06</v>
      </c>
      <c r="G268" s="5" t="str">
        <f t="shared" si="11"/>
        <v>Gasto</v>
      </c>
    </row>
    <row r="269" spans="1:7">
      <c r="A269" s="5" t="str">
        <f t="shared" si="10"/>
        <v>Centro</v>
      </c>
      <c r="B269" s="5" t="s">
        <v>2</v>
      </c>
      <c r="C269" s="5" t="s">
        <v>6</v>
      </c>
      <c r="D269" s="5" t="s">
        <v>11</v>
      </c>
      <c r="E269" s="7">
        <v>45809</v>
      </c>
      <c r="F269" s="6">
        <v>881448.15999999992</v>
      </c>
      <c r="G269" s="5" t="str">
        <f t="shared" si="11"/>
        <v>Gasto</v>
      </c>
    </row>
    <row r="270" spans="1:7">
      <c r="A270" s="5" t="str">
        <f t="shared" si="10"/>
        <v>Centro</v>
      </c>
      <c r="B270" s="5" t="s">
        <v>2</v>
      </c>
      <c r="C270" s="5" t="s">
        <v>5</v>
      </c>
      <c r="D270" s="5" t="s">
        <v>11</v>
      </c>
      <c r="E270" s="7">
        <v>45809</v>
      </c>
      <c r="F270" s="6">
        <v>3114002.61</v>
      </c>
      <c r="G270" s="5" t="str">
        <f t="shared" si="11"/>
        <v>Gasto</v>
      </c>
    </row>
    <row r="271" spans="1:7">
      <c r="A271" s="5" t="str">
        <f t="shared" si="10"/>
        <v>San Telmo</v>
      </c>
      <c r="B271" s="5" t="s">
        <v>2</v>
      </c>
      <c r="C271" s="5" t="s">
        <v>4</v>
      </c>
      <c r="D271" s="5" t="s">
        <v>11</v>
      </c>
      <c r="E271" s="7">
        <v>45809</v>
      </c>
      <c r="F271" s="6">
        <v>2063766.2</v>
      </c>
      <c r="G271" s="5" t="str">
        <f t="shared" si="11"/>
        <v>Gasto</v>
      </c>
    </row>
    <row r="272" spans="1:7">
      <c r="A272" s="5" t="str">
        <f t="shared" si="10"/>
        <v>San Telmo</v>
      </c>
      <c r="B272" s="5" t="s">
        <v>2</v>
      </c>
      <c r="C272" s="5" t="s">
        <v>3</v>
      </c>
      <c r="D272" s="5" t="s">
        <v>11</v>
      </c>
      <c r="E272" s="7">
        <v>45809</v>
      </c>
      <c r="F272" s="6">
        <v>1417632.2</v>
      </c>
      <c r="G272" s="5" t="str">
        <f t="shared" si="11"/>
        <v>Gasto</v>
      </c>
    </row>
    <row r="273" spans="1:7">
      <c r="A273" s="5" t="str">
        <f t="shared" si="10"/>
        <v>San Telmo</v>
      </c>
      <c r="B273" s="5" t="s">
        <v>2</v>
      </c>
      <c r="C273" s="5" t="s">
        <v>1</v>
      </c>
      <c r="D273" s="5" t="s">
        <v>11</v>
      </c>
      <c r="E273" s="7">
        <v>45809</v>
      </c>
      <c r="F273" s="6">
        <v>907729.21</v>
      </c>
      <c r="G273" s="5" t="str">
        <f t="shared" si="11"/>
        <v>Gasto</v>
      </c>
    </row>
    <row r="274" spans="1:7">
      <c r="A274" s="5" t="str">
        <f t="shared" si="10"/>
        <v>Quilmes</v>
      </c>
      <c r="B274" s="5" t="s">
        <v>8</v>
      </c>
      <c r="C274" s="5" t="s">
        <v>9</v>
      </c>
      <c r="D274" s="5" t="s">
        <v>10</v>
      </c>
      <c r="E274" s="7">
        <v>45809</v>
      </c>
      <c r="F274" s="6"/>
      <c r="G274" s="5" t="str">
        <f t="shared" si="11"/>
        <v>Gasto</v>
      </c>
    </row>
    <row r="275" spans="1:7">
      <c r="A275" s="5" t="str">
        <f t="shared" si="10"/>
        <v>San Telmo</v>
      </c>
      <c r="B275" s="5" t="s">
        <v>8</v>
      </c>
      <c r="C275" s="5" t="s">
        <v>99</v>
      </c>
      <c r="D275" s="5" t="s">
        <v>10</v>
      </c>
      <c r="E275" s="7">
        <v>45809</v>
      </c>
      <c r="F275" s="6">
        <v>4634584.9700000007</v>
      </c>
      <c r="G275" s="5" t="str">
        <f t="shared" si="11"/>
        <v>Gasto</v>
      </c>
    </row>
    <row r="276" spans="1:7">
      <c r="A276" s="5" t="str">
        <f t="shared" si="10"/>
        <v>Centro</v>
      </c>
      <c r="B276" s="5" t="s">
        <v>2</v>
      </c>
      <c r="C276" s="5" t="s">
        <v>7</v>
      </c>
      <c r="D276" s="5" t="s">
        <v>10</v>
      </c>
      <c r="E276" s="7">
        <v>45809</v>
      </c>
      <c r="F276" s="6">
        <v>6458324.5899999999</v>
      </c>
      <c r="G276" s="5" t="str">
        <f t="shared" si="11"/>
        <v>Gasto</v>
      </c>
    </row>
    <row r="277" spans="1:7">
      <c r="A277" s="5" t="str">
        <f t="shared" si="10"/>
        <v>Centro</v>
      </c>
      <c r="B277" s="5" t="s">
        <v>2</v>
      </c>
      <c r="C277" s="5" t="s">
        <v>6</v>
      </c>
      <c r="D277" s="5" t="s">
        <v>10</v>
      </c>
      <c r="E277" s="7">
        <v>45809</v>
      </c>
      <c r="F277" s="6">
        <v>2059091.1</v>
      </c>
      <c r="G277" s="5" t="str">
        <f t="shared" si="11"/>
        <v>Gasto</v>
      </c>
    </row>
    <row r="278" spans="1:7">
      <c r="A278" s="5" t="str">
        <f t="shared" si="10"/>
        <v>Centro</v>
      </c>
      <c r="B278" s="5" t="s">
        <v>2</v>
      </c>
      <c r="C278" s="5" t="s">
        <v>5</v>
      </c>
      <c r="D278" s="5" t="s">
        <v>10</v>
      </c>
      <c r="E278" s="7">
        <v>45809</v>
      </c>
      <c r="F278" s="6">
        <v>3446985.93</v>
      </c>
      <c r="G278" s="5" t="str">
        <f t="shared" si="11"/>
        <v>Gasto</v>
      </c>
    </row>
    <row r="279" spans="1:7">
      <c r="A279" s="5" t="str">
        <f t="shared" si="10"/>
        <v>San Telmo</v>
      </c>
      <c r="B279" s="5" t="s">
        <v>2</v>
      </c>
      <c r="C279" s="5" t="s">
        <v>4</v>
      </c>
      <c r="D279" s="5" t="s">
        <v>10</v>
      </c>
      <c r="E279" s="7">
        <v>45809</v>
      </c>
      <c r="F279" s="6">
        <v>4735048.18</v>
      </c>
      <c r="G279" s="5" t="str">
        <f t="shared" si="11"/>
        <v>Gasto</v>
      </c>
    </row>
    <row r="280" spans="1:7">
      <c r="A280" s="5" t="str">
        <f t="shared" si="10"/>
        <v>San Telmo</v>
      </c>
      <c r="B280" s="5" t="s">
        <v>2</v>
      </c>
      <c r="C280" s="5" t="s">
        <v>3</v>
      </c>
      <c r="D280" s="5" t="s">
        <v>10</v>
      </c>
      <c r="E280" s="7">
        <v>45809</v>
      </c>
      <c r="F280" s="6">
        <v>2451863.38</v>
      </c>
      <c r="G280" s="5" t="str">
        <f t="shared" si="11"/>
        <v>Gasto</v>
      </c>
    </row>
    <row r="281" spans="1:7">
      <c r="A281" s="5" t="str">
        <f t="shared" si="10"/>
        <v>San Telmo</v>
      </c>
      <c r="B281" s="5" t="s">
        <v>2</v>
      </c>
      <c r="C281" s="5" t="s">
        <v>1</v>
      </c>
      <c r="D281" s="5" t="s">
        <v>10</v>
      </c>
      <c r="E281" s="7">
        <v>45809</v>
      </c>
      <c r="F281" s="6">
        <v>3488406.3499999996</v>
      </c>
      <c r="G281" s="5" t="str">
        <f t="shared" si="11"/>
        <v>Gasto</v>
      </c>
    </row>
    <row r="282" spans="1:7">
      <c r="A282" s="5" t="str">
        <f t="shared" si="10"/>
        <v>Quilmes</v>
      </c>
      <c r="B282" s="5" t="s">
        <v>8</v>
      </c>
      <c r="C282" s="5" t="s">
        <v>9</v>
      </c>
      <c r="D282" s="5" t="s">
        <v>0</v>
      </c>
      <c r="E282" s="7">
        <v>45809</v>
      </c>
      <c r="F282" s="6"/>
      <c r="G282" s="5" t="str">
        <f t="shared" si="11"/>
        <v>Gasto</v>
      </c>
    </row>
    <row r="283" spans="1:7">
      <c r="A283" s="5" t="str">
        <f t="shared" si="10"/>
        <v>San Telmo</v>
      </c>
      <c r="B283" s="5" t="s">
        <v>8</v>
      </c>
      <c r="C283" s="5" t="s">
        <v>99</v>
      </c>
      <c r="D283" s="5" t="s">
        <v>0</v>
      </c>
      <c r="E283" s="7">
        <v>45809</v>
      </c>
      <c r="F283" s="6">
        <v>191124.74</v>
      </c>
      <c r="G283" s="5" t="str">
        <f t="shared" si="11"/>
        <v>Gasto</v>
      </c>
    </row>
    <row r="284" spans="1:7">
      <c r="A284" s="5" t="str">
        <f t="shared" si="10"/>
        <v>Centro</v>
      </c>
      <c r="B284" s="5" t="s">
        <v>2</v>
      </c>
      <c r="C284" s="5" t="s">
        <v>7</v>
      </c>
      <c r="D284" s="5" t="s">
        <v>0</v>
      </c>
      <c r="E284" s="7">
        <v>45809</v>
      </c>
      <c r="F284" s="6">
        <v>1208216.31</v>
      </c>
      <c r="G284" s="5" t="str">
        <f t="shared" si="11"/>
        <v>Gasto</v>
      </c>
    </row>
    <row r="285" spans="1:7">
      <c r="A285" s="5" t="str">
        <f t="shared" si="10"/>
        <v>Centro</v>
      </c>
      <c r="B285" s="5" t="s">
        <v>2</v>
      </c>
      <c r="C285" s="5" t="s">
        <v>6</v>
      </c>
      <c r="D285" s="5" t="s">
        <v>0</v>
      </c>
      <c r="E285" s="7">
        <v>45809</v>
      </c>
      <c r="F285" s="6">
        <v>139251</v>
      </c>
      <c r="G285" s="5" t="str">
        <f t="shared" si="11"/>
        <v>Gasto</v>
      </c>
    </row>
    <row r="286" spans="1:7">
      <c r="A286" s="5" t="str">
        <f t="shared" si="10"/>
        <v>Centro</v>
      </c>
      <c r="B286" s="5" t="s">
        <v>2</v>
      </c>
      <c r="C286" s="5" t="s">
        <v>5</v>
      </c>
      <c r="D286" s="5" t="s">
        <v>0</v>
      </c>
      <c r="E286" s="7">
        <v>45809</v>
      </c>
      <c r="F286" s="6">
        <v>204799.53</v>
      </c>
      <c r="G286" s="5" t="str">
        <f t="shared" si="11"/>
        <v>Gasto</v>
      </c>
    </row>
    <row r="287" spans="1:7">
      <c r="A287" s="5" t="str">
        <f t="shared" si="10"/>
        <v>San Telmo</v>
      </c>
      <c r="B287" s="5" t="s">
        <v>2</v>
      </c>
      <c r="C287" s="5" t="s">
        <v>4</v>
      </c>
      <c r="D287" s="5" t="s">
        <v>0</v>
      </c>
      <c r="E287" s="7">
        <v>45809</v>
      </c>
      <c r="F287" s="6">
        <v>120334.86</v>
      </c>
      <c r="G287" s="5" t="str">
        <f t="shared" si="11"/>
        <v>Gasto</v>
      </c>
    </row>
    <row r="288" spans="1:7">
      <c r="A288" s="5" t="str">
        <f t="shared" si="10"/>
        <v>San Telmo</v>
      </c>
      <c r="B288" s="5" t="s">
        <v>2</v>
      </c>
      <c r="C288" s="5" t="s">
        <v>3</v>
      </c>
      <c r="D288" s="5" t="s">
        <v>0</v>
      </c>
      <c r="E288" s="7">
        <v>45809</v>
      </c>
      <c r="F288" s="6">
        <v>113029.67</v>
      </c>
      <c r="G288" s="5" t="str">
        <f t="shared" si="11"/>
        <v>Gasto</v>
      </c>
    </row>
    <row r="289" spans="1:7">
      <c r="A289" s="5" t="str">
        <f t="shared" si="10"/>
        <v>San Telmo</v>
      </c>
      <c r="B289" s="5" t="s">
        <v>2</v>
      </c>
      <c r="C289" s="5" t="s">
        <v>1</v>
      </c>
      <c r="D289" s="5" t="s">
        <v>0</v>
      </c>
      <c r="E289" s="7">
        <v>45809</v>
      </c>
      <c r="F289" s="6">
        <v>271715</v>
      </c>
      <c r="G289" s="5" t="str">
        <f t="shared" si="11"/>
        <v>Gasto</v>
      </c>
    </row>
  </sheetData>
  <autoFilter ref="A1:G289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G14" sqref="G14"/>
    </sheetView>
  </sheetViews>
  <sheetFormatPr baseColWidth="10" defaultRowHeight="14"/>
  <cols>
    <col min="1" max="1" width="16.33203125" bestFit="1" customWidth="1"/>
    <col min="2" max="2" width="21.1640625" bestFit="1" customWidth="1"/>
    <col min="3" max="8" width="14.9140625" bestFit="1" customWidth="1"/>
  </cols>
  <sheetData>
    <row r="1" spans="1:8">
      <c r="A1" s="10" t="s">
        <v>21</v>
      </c>
      <c r="B1" t="s">
        <v>2</v>
      </c>
    </row>
    <row r="2" spans="1:8">
      <c r="A2" s="10" t="s">
        <v>16</v>
      </c>
      <c r="B2" t="s">
        <v>24</v>
      </c>
    </row>
    <row r="3" spans="1:8">
      <c r="A3" s="10" t="s">
        <v>19</v>
      </c>
      <c r="B3" t="s">
        <v>18</v>
      </c>
    </row>
    <row r="4" spans="1:8">
      <c r="A4" s="10" t="s">
        <v>20</v>
      </c>
      <c r="B4" t="s">
        <v>24</v>
      </c>
    </row>
    <row r="6" spans="1:8">
      <c r="A6" s="10" t="s">
        <v>27</v>
      </c>
      <c r="B6" s="10" t="s">
        <v>25</v>
      </c>
    </row>
    <row r="7" spans="1:8">
      <c r="B7" t="s">
        <v>93</v>
      </c>
      <c r="C7" t="s">
        <v>94</v>
      </c>
    </row>
    <row r="8" spans="1:8">
      <c r="A8" s="10" t="s">
        <v>28</v>
      </c>
      <c r="C8" s="11" t="s">
        <v>95</v>
      </c>
      <c r="D8" s="11" t="s">
        <v>96</v>
      </c>
      <c r="E8" s="11" t="s">
        <v>97</v>
      </c>
      <c r="F8" s="11" t="s">
        <v>98</v>
      </c>
      <c r="G8" s="11" t="s">
        <v>179</v>
      </c>
      <c r="H8" s="11" t="s">
        <v>180</v>
      </c>
    </row>
    <row r="9" spans="1:8">
      <c r="A9" s="12" t="s">
        <v>11</v>
      </c>
      <c r="B9" s="40">
        <v>21885758.68</v>
      </c>
      <c r="C9" s="40">
        <v>8760979.7300000004</v>
      </c>
      <c r="D9" s="40">
        <v>7175088.8300000001</v>
      </c>
      <c r="E9" s="40">
        <v>7486459.4500000002</v>
      </c>
      <c r="F9" s="40">
        <v>7784620.3600000003</v>
      </c>
      <c r="G9" s="40">
        <v>6668819.9199999999</v>
      </c>
      <c r="H9" s="40">
        <v>6848839.8300000001</v>
      </c>
    </row>
    <row r="10" spans="1:8">
      <c r="A10" s="12" t="s">
        <v>10</v>
      </c>
      <c r="B10" s="40">
        <v>19733925.035330001</v>
      </c>
      <c r="C10" s="40">
        <v>8673069.0847500004</v>
      </c>
      <c r="D10" s="40">
        <v>7829923.7230200004</v>
      </c>
      <c r="E10" s="40">
        <v>10711964.872959999</v>
      </c>
      <c r="F10" s="40">
        <v>12750718.202499989</v>
      </c>
      <c r="G10" s="40">
        <v>11677202.427699991</v>
      </c>
      <c r="H10" s="40">
        <v>12941377.214044979</v>
      </c>
    </row>
    <row r="11" spans="1:8">
      <c r="A11" s="12" t="s">
        <v>0</v>
      </c>
      <c r="B11" s="40">
        <v>3297776.8106708559</v>
      </c>
      <c r="C11" s="40">
        <v>2014744.56</v>
      </c>
      <c r="D11" s="40">
        <v>1604369.53</v>
      </c>
      <c r="E11" s="40">
        <v>3962977.5</v>
      </c>
      <c r="F11" s="40">
        <v>1896090.94</v>
      </c>
      <c r="G11" s="40">
        <v>2275362.27</v>
      </c>
      <c r="H11" s="40">
        <v>1552266.84</v>
      </c>
    </row>
    <row r="12" spans="1:8">
      <c r="A12" s="12" t="s">
        <v>12</v>
      </c>
      <c r="B12" s="40">
        <v>207946421</v>
      </c>
      <c r="C12" s="40">
        <v>63202608</v>
      </c>
      <c r="D12" s="40">
        <v>42465449</v>
      </c>
      <c r="E12" s="40">
        <v>73714535</v>
      </c>
      <c r="F12" s="40">
        <v>52963370</v>
      </c>
      <c r="G12" s="40">
        <v>55293152</v>
      </c>
      <c r="H12" s="40">
        <v>51267898</v>
      </c>
    </row>
    <row r="13" spans="1:8">
      <c r="A13" s="12" t="s">
        <v>26</v>
      </c>
      <c r="B13" s="40">
        <v>252863881.52600086</v>
      </c>
      <c r="C13" s="40">
        <v>82651401.374750003</v>
      </c>
      <c r="D13" s="40">
        <v>59074831.083020002</v>
      </c>
      <c r="E13" s="40">
        <v>95875936.822960004</v>
      </c>
      <c r="F13" s="40">
        <v>75394799.502499998</v>
      </c>
      <c r="G13" s="40">
        <v>75914536.617699996</v>
      </c>
      <c r="H13" s="40">
        <v>72610381.884044975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0"/>
  <sheetViews>
    <sheetView showGridLines="0" tabSelected="1" workbookViewId="0"/>
  </sheetViews>
  <sheetFormatPr baseColWidth="10" defaultRowHeight="14"/>
  <cols>
    <col min="1" max="1" width="10.6640625" customWidth="1"/>
    <col min="2" max="2" width="13.58203125" bestFit="1" customWidth="1"/>
    <col min="3" max="7" width="7.58203125" bestFit="1" customWidth="1"/>
    <col min="8" max="10" width="10.5" bestFit="1" customWidth="1"/>
    <col min="11" max="11" width="8.1640625" customWidth="1"/>
    <col min="12" max="12" width="5.33203125" customWidth="1"/>
    <col min="13" max="13" width="5.6640625" bestFit="1" customWidth="1"/>
    <col min="14" max="14" width="14.6640625" bestFit="1" customWidth="1"/>
    <col min="20" max="20" width="12.08203125" bestFit="1" customWidth="1"/>
    <col min="23" max="23" width="10.1640625" customWidth="1"/>
  </cols>
  <sheetData>
    <row r="1" spans="2:23" ht="22.5">
      <c r="B1" s="91" t="s">
        <v>30</v>
      </c>
      <c r="C1" s="91"/>
      <c r="D1" s="91"/>
      <c r="E1" s="91"/>
      <c r="F1" s="91"/>
      <c r="G1" s="91"/>
      <c r="H1" s="91"/>
      <c r="I1" s="91"/>
      <c r="J1" s="42"/>
      <c r="K1" s="42"/>
      <c r="L1" s="18"/>
      <c r="M1" s="15"/>
    </row>
    <row r="3" spans="2:23">
      <c r="N3" s="7" t="s">
        <v>17</v>
      </c>
      <c r="O3" s="7">
        <v>45566</v>
      </c>
      <c r="P3" s="7">
        <v>45597</v>
      </c>
      <c r="Q3" s="7">
        <v>45627</v>
      </c>
      <c r="R3" s="7">
        <v>45658</v>
      </c>
      <c r="S3" s="7">
        <v>45689</v>
      </c>
      <c r="T3" s="7">
        <v>45717</v>
      </c>
      <c r="U3" s="7">
        <v>45748</v>
      </c>
      <c r="V3" s="7">
        <v>45778</v>
      </c>
      <c r="W3" s="7">
        <v>45809</v>
      </c>
    </row>
    <row r="4" spans="2:23">
      <c r="B4" s="13"/>
      <c r="C4" s="13"/>
      <c r="D4" s="13"/>
      <c r="E4" s="13"/>
      <c r="N4" s="7" t="s">
        <v>29</v>
      </c>
      <c r="O4" s="6">
        <v>112911.37043478261</v>
      </c>
      <c r="P4" s="6">
        <v>154160.45800000001</v>
      </c>
      <c r="Q4" s="6">
        <v>144976.42300000001</v>
      </c>
      <c r="R4" s="6">
        <v>121223.20699999999</v>
      </c>
      <c r="S4" s="6">
        <v>90410.479000000007</v>
      </c>
      <c r="T4" s="6">
        <f>139108894/1000</f>
        <v>139108.894</v>
      </c>
      <c r="U4" s="6">
        <f>98895340/1000</f>
        <v>98895.34</v>
      </c>
      <c r="V4" s="6">
        <f>102125012/1000</f>
        <v>102125.012</v>
      </c>
      <c r="W4" s="6">
        <f>103323118/1000</f>
        <v>103323.118</v>
      </c>
    </row>
    <row r="5" spans="2:23">
      <c r="N5" s="7" t="s">
        <v>11</v>
      </c>
      <c r="O5" s="14">
        <f t="shared" ref="O5:S7" si="0">C18/O$4</f>
        <v>8.3374292453898199E-2</v>
      </c>
      <c r="P5" s="14">
        <f t="shared" si="0"/>
        <v>9.5021066945714439E-2</v>
      </c>
      <c r="Q5" s="14">
        <f t="shared" si="0"/>
        <v>8.1861965928073696E-2</v>
      </c>
      <c r="R5" s="14">
        <f t="shared" si="0"/>
        <v>0.11961406036717045</v>
      </c>
      <c r="S5" s="14">
        <f t="shared" si="0"/>
        <v>0.13885558553450425</v>
      </c>
      <c r="T5" s="14">
        <f t="shared" ref="T5:W7" si="1">H18/T$4</f>
        <v>8.8283355915402498E-2</v>
      </c>
      <c r="U5" s="14">
        <f t="shared" si="1"/>
        <v>0.12721529649425342</v>
      </c>
      <c r="V5" s="14">
        <f t="shared" si="1"/>
        <v>0.10843572777254606</v>
      </c>
      <c r="W5" s="14">
        <f t="shared" si="1"/>
        <v>0.1087655910654961</v>
      </c>
    </row>
    <row r="6" spans="2:23">
      <c r="N6" s="7" t="s">
        <v>10</v>
      </c>
      <c r="O6" s="14">
        <f t="shared" si="0"/>
        <v>0.11945001159870094</v>
      </c>
      <c r="P6" s="14">
        <f t="shared" si="0"/>
        <v>9.6397386157220669E-2</v>
      </c>
      <c r="Q6" s="14">
        <f t="shared" si="0"/>
        <v>8.0042413617488692E-2</v>
      </c>
      <c r="R6" s="14">
        <f t="shared" si="0"/>
        <v>0.13090727751493986</v>
      </c>
      <c r="S6" s="14">
        <f t="shared" si="0"/>
        <v>0.17723609228970016</v>
      </c>
      <c r="T6" s="14">
        <f t="shared" si="1"/>
        <v>0.14760379016455985</v>
      </c>
      <c r="U6" s="14">
        <f t="shared" si="1"/>
        <v>0.23009173131919058</v>
      </c>
      <c r="V6" s="14">
        <f t="shared" si="1"/>
        <v>0.2219926299739382</v>
      </c>
      <c r="W6" s="14">
        <f t="shared" si="1"/>
        <v>0.21910875744187278</v>
      </c>
    </row>
    <row r="7" spans="2:23">
      <c r="N7" s="7" t="s">
        <v>0</v>
      </c>
      <c r="O7" s="14">
        <f t="shared" si="0"/>
        <v>8.2984988901595846E-3</v>
      </c>
      <c r="P7" s="14">
        <f t="shared" si="0"/>
        <v>1.4250608349905134E-2</v>
      </c>
      <c r="Q7" s="14">
        <f t="shared" si="0"/>
        <v>1.6835864752988147E-2</v>
      </c>
      <c r="R7" s="14">
        <f t="shared" si="0"/>
        <v>2.1035576133536873E-2</v>
      </c>
      <c r="S7" s="14">
        <f t="shared" si="0"/>
        <v>2.5406346978871772E-2</v>
      </c>
      <c r="T7" s="14">
        <f t="shared" si="1"/>
        <v>3.2334381150352615E-2</v>
      </c>
      <c r="U7" s="14">
        <f t="shared" si="1"/>
        <v>2.5350031659732399E-2</v>
      </c>
      <c r="V7" s="14">
        <f t="shared" si="1"/>
        <v>2.8484696775359985E-2</v>
      </c>
      <c r="W7" s="14">
        <f t="shared" si="1"/>
        <v>1.9908419720744391E-2</v>
      </c>
    </row>
    <row r="10" spans="2:23">
      <c r="F10" s="13"/>
      <c r="R10" s="37"/>
    </row>
    <row r="11" spans="2:23">
      <c r="F11" s="13"/>
      <c r="R11" s="37"/>
    </row>
    <row r="12" spans="2:23">
      <c r="R12" s="37"/>
    </row>
    <row r="17" spans="2:11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</row>
    <row r="18" spans="2:11">
      <c r="B18" s="16" t="s">
        <v>11</v>
      </c>
      <c r="C18" s="17">
        <v>9413.9056199999995</v>
      </c>
      <c r="D18" s="17">
        <v>14648.4912</v>
      </c>
      <c r="E18" s="17">
        <v>11868.055</v>
      </c>
      <c r="F18" s="17">
        <v>14500</v>
      </c>
      <c r="G18" s="17">
        <v>12554</v>
      </c>
      <c r="H18" s="17">
        <v>12281</v>
      </c>
      <c r="I18" s="17">
        <v>12581</v>
      </c>
      <c r="J18" s="17">
        <v>11074</v>
      </c>
      <c r="K18" s="17">
        <v>11238</v>
      </c>
    </row>
    <row r="19" spans="2:11">
      <c r="B19" s="16" t="s">
        <v>10</v>
      </c>
      <c r="C19" s="17">
        <v>13487.264508060001</v>
      </c>
      <c r="D19" s="17">
        <v>14860.665199999999</v>
      </c>
      <c r="E19" s="17">
        <v>11604.262814550002</v>
      </c>
      <c r="F19" s="17">
        <v>15869</v>
      </c>
      <c r="G19" s="17">
        <v>16024</v>
      </c>
      <c r="H19" s="17">
        <v>20533</v>
      </c>
      <c r="I19" s="17">
        <v>22755</v>
      </c>
      <c r="J19" s="17">
        <v>22671</v>
      </c>
      <c r="K19" s="17">
        <v>22639</v>
      </c>
    </row>
    <row r="20" spans="2:11">
      <c r="B20" s="16" t="s">
        <v>0</v>
      </c>
      <c r="C20" s="17">
        <v>936.99488223944115</v>
      </c>
      <c r="D20" s="17">
        <v>2196.88031</v>
      </c>
      <c r="E20" s="17">
        <v>2440.8034500000003</v>
      </c>
      <c r="F20" s="17">
        <v>2550</v>
      </c>
      <c r="G20" s="17">
        <v>2297</v>
      </c>
      <c r="H20" s="17">
        <v>4498</v>
      </c>
      <c r="I20" s="17">
        <v>2507</v>
      </c>
      <c r="J20" s="17">
        <v>2909</v>
      </c>
      <c r="K20" s="17">
        <v>2057</v>
      </c>
    </row>
  </sheetData>
  <mergeCells count="1">
    <mergeCell ref="B1:I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0"/>
  <sheetViews>
    <sheetView showGridLines="0" workbookViewId="0"/>
  </sheetViews>
  <sheetFormatPr baseColWidth="10" defaultRowHeight="14"/>
  <cols>
    <col min="1" max="1" width="10.6640625" customWidth="1"/>
    <col min="2" max="2" width="13.58203125" bestFit="1" customWidth="1"/>
    <col min="3" max="8" width="6.6640625" bestFit="1" customWidth="1"/>
    <col min="9" max="10" width="7.58203125" bestFit="1" customWidth="1"/>
    <col min="11" max="11" width="8.4140625" bestFit="1" customWidth="1"/>
    <col min="12" max="12" width="9" bestFit="1" customWidth="1"/>
    <col min="13" max="13" width="5.6640625" bestFit="1" customWidth="1"/>
    <col min="14" max="14" width="14.6640625" bestFit="1" customWidth="1"/>
  </cols>
  <sheetData>
    <row r="1" spans="2:23" ht="22.5">
      <c r="B1" s="91" t="s">
        <v>32</v>
      </c>
      <c r="C1" s="91"/>
      <c r="D1" s="91"/>
      <c r="E1" s="91"/>
      <c r="F1" s="91"/>
      <c r="G1" s="91"/>
      <c r="H1" s="91"/>
      <c r="I1" s="91"/>
      <c r="J1" s="42"/>
      <c r="K1" s="42"/>
      <c r="L1" s="18"/>
      <c r="M1" s="15"/>
    </row>
    <row r="3" spans="2:23">
      <c r="N3" s="7" t="s">
        <v>17</v>
      </c>
      <c r="O3" s="7">
        <v>45566</v>
      </c>
      <c r="P3" s="7">
        <v>45597</v>
      </c>
      <c r="Q3" s="7">
        <v>45627</v>
      </c>
      <c r="R3" s="7">
        <v>45658</v>
      </c>
      <c r="S3" s="7">
        <v>45689</v>
      </c>
      <c r="T3" s="7">
        <v>45717</v>
      </c>
      <c r="U3" s="7">
        <v>45748</v>
      </c>
      <c r="V3" s="7">
        <v>45778</v>
      </c>
      <c r="W3" s="7">
        <v>45809</v>
      </c>
    </row>
    <row r="4" spans="2:23">
      <c r="B4" s="13"/>
      <c r="C4" s="13"/>
      <c r="D4" s="13"/>
      <c r="E4" s="13"/>
      <c r="N4" s="7" t="s">
        <v>29</v>
      </c>
      <c r="O4" s="6">
        <v>57598.330434782612</v>
      </c>
      <c r="P4" s="6">
        <v>76280.38</v>
      </c>
      <c r="Q4" s="6">
        <v>70223.12</v>
      </c>
      <c r="R4" s="6">
        <v>58020.599000000002</v>
      </c>
      <c r="S4" s="6">
        <v>47945.03</v>
      </c>
      <c r="T4" s="6">
        <v>65394</v>
      </c>
      <c r="U4" s="6">
        <v>45932</v>
      </c>
      <c r="V4" s="6">
        <f>'LUCERO-SAN TELMO (A)'!J41+'LUCERO-SAN TELMO (A)'!U41+'LUCERO-SAN TELMO (A)'!AG41</f>
        <v>46831.859999999993</v>
      </c>
      <c r="W4" s="6">
        <f>'LUCERO-SAN TELMO (A)'!K41+'LUCERO-SAN TELMO (A)'!V41+'LUCERO-SAN TELMO (A)'!AH41</f>
        <v>52055.22</v>
      </c>
    </row>
    <row r="5" spans="2:23">
      <c r="N5" s="7" t="s">
        <v>11</v>
      </c>
      <c r="O5" s="14">
        <f t="shared" ref="O5:S7" si="0">C18/O$4</f>
        <v>5.383243536044522E-2</v>
      </c>
      <c r="P5" s="14">
        <f t="shared" si="0"/>
        <v>7.8893157060832678E-2</v>
      </c>
      <c r="Q5" s="14">
        <f t="shared" si="0"/>
        <v>7.0162077674703158E-2</v>
      </c>
      <c r="R5" s="14">
        <f t="shared" si="0"/>
        <v>9.8913146346524275E-2</v>
      </c>
      <c r="S5" s="14">
        <f t="shared" si="0"/>
        <v>0.11219098204756572</v>
      </c>
      <c r="T5" s="14">
        <f>H18/T$4</f>
        <v>7.330947793375539E-2</v>
      </c>
      <c r="U5" s="14">
        <f t="shared" ref="U5:W7" si="1">I18/U$4</f>
        <v>0.10443699381694679</v>
      </c>
      <c r="V5" s="14">
        <f t="shared" si="1"/>
        <v>9.4081251524069306E-2</v>
      </c>
      <c r="W5" s="14">
        <f t="shared" si="1"/>
        <v>8.4333521210745055E-2</v>
      </c>
    </row>
    <row r="6" spans="2:23">
      <c r="N6" s="7" t="s">
        <v>10</v>
      </c>
      <c r="O6" s="14">
        <f t="shared" si="0"/>
        <v>0.1101812922418947</v>
      </c>
      <c r="P6" s="14">
        <f t="shared" si="0"/>
        <v>0.103657060963776</v>
      </c>
      <c r="Q6" s="14">
        <f t="shared" si="0"/>
        <v>8.4943534266207488E-2</v>
      </c>
      <c r="R6" s="14">
        <f t="shared" si="0"/>
        <v>0.12402491742630922</v>
      </c>
      <c r="S6" s="14">
        <f t="shared" si="0"/>
        <v>0.17090405408026652</v>
      </c>
      <c r="T6" s="14">
        <f>H19/T$4</f>
        <v>0.15018197388139584</v>
      </c>
      <c r="U6" s="14">
        <f t="shared" si="1"/>
        <v>0.2178002264216668</v>
      </c>
      <c r="V6" s="14">
        <f t="shared" si="1"/>
        <v>0.23475471612701271</v>
      </c>
      <c r="W6" s="14">
        <f t="shared" si="1"/>
        <v>0.20507069223797345</v>
      </c>
    </row>
    <row r="7" spans="2:23">
      <c r="N7" s="7" t="s">
        <v>0</v>
      </c>
      <c r="O7" s="14">
        <f t="shared" si="0"/>
        <v>6.2472271132235956E-3</v>
      </c>
      <c r="P7" s="14">
        <f t="shared" si="0"/>
        <v>1.698995206893306E-2</v>
      </c>
      <c r="Q7" s="14">
        <f t="shared" si="0"/>
        <v>8.8290010469486407E-3</v>
      </c>
      <c r="R7" s="14">
        <f t="shared" si="0"/>
        <v>9.2208630938125959E-3</v>
      </c>
      <c r="S7" s="14">
        <f t="shared" si="0"/>
        <v>1.4433195682639056E-2</v>
      </c>
      <c r="T7" s="14">
        <f>H20/T$4</f>
        <v>8.1811787014099153E-3</v>
      </c>
      <c r="U7" s="14">
        <f t="shared" si="1"/>
        <v>1.3280501611077244E-2</v>
      </c>
      <c r="V7" s="14">
        <f t="shared" si="1"/>
        <v>1.3537792434466624E-2</v>
      </c>
      <c r="W7" s="14">
        <f t="shared" si="1"/>
        <v>9.7012364946301253E-3</v>
      </c>
    </row>
    <row r="10" spans="2:23">
      <c r="F10" s="13"/>
    </row>
    <row r="11" spans="2:23">
      <c r="F11" s="13"/>
    </row>
    <row r="17" spans="2:11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</row>
    <row r="18" spans="2:11">
      <c r="B18" s="16" t="s">
        <v>11</v>
      </c>
      <c r="C18" s="17">
        <v>3100.6583999999998</v>
      </c>
      <c r="D18" s="17">
        <v>6018</v>
      </c>
      <c r="E18" s="17">
        <v>4927</v>
      </c>
      <c r="F18" s="17">
        <v>5739</v>
      </c>
      <c r="G18" s="17">
        <v>5379</v>
      </c>
      <c r="H18" s="17">
        <v>4794</v>
      </c>
      <c r="I18" s="17">
        <v>4797</v>
      </c>
      <c r="J18" s="17">
        <v>4406</v>
      </c>
      <c r="K18" s="17">
        <v>4390</v>
      </c>
    </row>
    <row r="19" spans="2:11">
      <c r="B19" s="16" t="s">
        <v>10</v>
      </c>
      <c r="C19" s="17">
        <v>6346.2584782800004</v>
      </c>
      <c r="D19" s="17">
        <v>7907</v>
      </c>
      <c r="E19" s="17">
        <v>5965</v>
      </c>
      <c r="F19" s="17">
        <v>7196</v>
      </c>
      <c r="G19" s="17">
        <v>8194</v>
      </c>
      <c r="H19" s="17">
        <v>9821</v>
      </c>
      <c r="I19" s="17">
        <v>10004</v>
      </c>
      <c r="J19" s="17">
        <v>10994</v>
      </c>
      <c r="K19" s="17">
        <v>10675</v>
      </c>
    </row>
    <row r="20" spans="2:11">
      <c r="B20" s="16" t="s">
        <v>0</v>
      </c>
      <c r="C20" s="17">
        <v>359.82985156858575</v>
      </c>
      <c r="D20" s="17">
        <v>1296</v>
      </c>
      <c r="E20" s="17">
        <v>620</v>
      </c>
      <c r="F20" s="17">
        <v>535</v>
      </c>
      <c r="G20" s="17">
        <v>692</v>
      </c>
      <c r="H20" s="17">
        <v>535</v>
      </c>
      <c r="I20" s="17">
        <v>610</v>
      </c>
      <c r="J20" s="17">
        <v>634</v>
      </c>
      <c r="K20" s="17">
        <v>505</v>
      </c>
    </row>
  </sheetData>
  <mergeCells count="1">
    <mergeCell ref="B1:I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44"/>
  <sheetViews>
    <sheetView showGridLines="0" zoomScaleNormal="100" workbookViewId="0">
      <selection activeCell="AH20" sqref="AH20"/>
    </sheetView>
  </sheetViews>
  <sheetFormatPr baseColWidth="10" defaultRowHeight="14"/>
  <cols>
    <col min="1" max="1" width="10.6640625" customWidth="1"/>
    <col min="2" max="2" width="13.58203125" bestFit="1" customWidth="1"/>
    <col min="3" max="11" width="7.58203125" bestFit="1" customWidth="1"/>
    <col min="12" max="12" width="5.6640625" customWidth="1"/>
    <col min="13" max="13" width="13.58203125" bestFit="1" customWidth="1"/>
    <col min="14" max="22" width="7.58203125" bestFit="1" customWidth="1"/>
    <col min="23" max="23" width="4.9140625" customWidth="1"/>
    <col min="24" max="24" width="5.6640625" customWidth="1"/>
    <col min="25" max="25" width="13.58203125" bestFit="1" customWidth="1"/>
    <col min="26" max="26" width="4.9140625" bestFit="1" customWidth="1"/>
    <col min="27" max="27" width="7.58203125" bestFit="1" customWidth="1"/>
    <col min="28" max="33" width="6.6640625" bestFit="1" customWidth="1"/>
    <col min="34" max="34" width="7.58203125" bestFit="1" customWidth="1"/>
    <col min="35" max="39" width="10.6640625" customWidth="1"/>
    <col min="40" max="40" width="5.6640625" customWidth="1"/>
  </cols>
  <sheetData>
    <row r="1" spans="2:39" ht="22.5">
      <c r="B1" s="91" t="s">
        <v>33</v>
      </c>
      <c r="C1" s="91"/>
      <c r="D1" s="91"/>
      <c r="E1" s="91"/>
      <c r="F1" s="91"/>
      <c r="G1" s="91"/>
      <c r="H1" s="91"/>
      <c r="I1" s="91"/>
      <c r="J1" s="42"/>
      <c r="M1" s="91" t="s">
        <v>35</v>
      </c>
      <c r="N1" s="91"/>
      <c r="O1" s="91"/>
      <c r="P1" s="91"/>
      <c r="Q1" s="91"/>
      <c r="R1" s="91"/>
      <c r="S1" s="91"/>
      <c r="T1" s="91"/>
      <c r="U1" s="42"/>
      <c r="V1" s="42"/>
      <c r="W1" s="42"/>
      <c r="Y1" s="91" t="s">
        <v>34</v>
      </c>
      <c r="Z1" s="91"/>
      <c r="AA1" s="91"/>
      <c r="AB1" s="91"/>
      <c r="AC1" s="91"/>
      <c r="AD1" s="91"/>
      <c r="AE1" s="91"/>
      <c r="AF1" s="91"/>
      <c r="AH1" s="91"/>
      <c r="AI1" s="91"/>
      <c r="AJ1" s="91"/>
      <c r="AK1" s="91"/>
      <c r="AL1" s="91"/>
      <c r="AM1" s="91"/>
    </row>
    <row r="4" spans="2:39">
      <c r="B4" s="13"/>
      <c r="C4" s="13"/>
      <c r="D4" s="13"/>
      <c r="E4" s="13"/>
      <c r="M4" s="13"/>
      <c r="N4" s="13"/>
      <c r="O4" s="13"/>
      <c r="P4" s="13"/>
      <c r="Y4" s="13"/>
      <c r="Z4" s="13"/>
      <c r="AA4" s="13"/>
      <c r="AB4" s="13"/>
      <c r="AH4" s="13"/>
      <c r="AI4" s="13"/>
      <c r="AJ4" s="13"/>
      <c r="AK4" s="13"/>
    </row>
    <row r="10" spans="2:39">
      <c r="F10" s="13"/>
      <c r="Q10" s="13"/>
      <c r="AC10" s="13"/>
      <c r="AL10" s="13"/>
    </row>
    <row r="11" spans="2:39">
      <c r="F11" s="13"/>
      <c r="Q11" s="13"/>
      <c r="AC11" s="13"/>
      <c r="AL11" s="13"/>
    </row>
    <row r="17" spans="2:39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M17" s="16" t="s">
        <v>17</v>
      </c>
      <c r="N17" s="16">
        <v>45566</v>
      </c>
      <c r="O17" s="16">
        <v>45597</v>
      </c>
      <c r="P17" s="16">
        <v>45627</v>
      </c>
      <c r="Q17" s="16">
        <v>45658</v>
      </c>
      <c r="R17" s="16">
        <v>45689</v>
      </c>
      <c r="S17" s="16">
        <v>45717</v>
      </c>
      <c r="T17" s="16">
        <v>45748</v>
      </c>
      <c r="U17" s="16">
        <v>45778</v>
      </c>
      <c r="V17" s="16">
        <v>45809</v>
      </c>
      <c r="W17" s="43"/>
      <c r="Y17" s="16" t="s">
        <v>17</v>
      </c>
      <c r="Z17" s="16">
        <v>45566</v>
      </c>
      <c r="AA17" s="16">
        <v>45597</v>
      </c>
      <c r="AB17" s="16">
        <v>45627</v>
      </c>
      <c r="AC17" s="16">
        <v>45658</v>
      </c>
      <c r="AD17" s="16">
        <v>45689</v>
      </c>
      <c r="AE17" s="16">
        <v>45717</v>
      </c>
      <c r="AF17" s="16">
        <v>45748</v>
      </c>
      <c r="AG17" s="16">
        <v>45778</v>
      </c>
      <c r="AH17" s="16">
        <v>45809</v>
      </c>
      <c r="AI17" s="29"/>
      <c r="AJ17" s="29"/>
      <c r="AK17" s="29"/>
      <c r="AL17" s="29"/>
      <c r="AM17" s="29"/>
    </row>
    <row r="18" spans="2:39">
      <c r="B18" s="16" t="s">
        <v>11</v>
      </c>
      <c r="C18" s="17">
        <v>2471</v>
      </c>
      <c r="D18" s="17">
        <v>3800</v>
      </c>
      <c r="E18" s="17">
        <v>3027</v>
      </c>
      <c r="F18" s="17">
        <v>3533</v>
      </c>
      <c r="G18" s="17">
        <v>3010</v>
      </c>
      <c r="H18" s="17">
        <v>2673</v>
      </c>
      <c r="I18" s="17">
        <v>2676</v>
      </c>
      <c r="J18" s="6">
        <v>2101</v>
      </c>
      <c r="K18" s="17">
        <v>2064</v>
      </c>
      <c r="M18" s="16" t="s">
        <v>11</v>
      </c>
      <c r="N18" s="17">
        <v>290</v>
      </c>
      <c r="O18" s="17">
        <v>690</v>
      </c>
      <c r="P18" s="17">
        <v>771</v>
      </c>
      <c r="Q18" s="17">
        <v>868</v>
      </c>
      <c r="R18" s="17">
        <v>953</v>
      </c>
      <c r="S18" s="6">
        <v>956</v>
      </c>
      <c r="T18" s="6">
        <v>953</v>
      </c>
      <c r="U18" s="6">
        <v>1002</v>
      </c>
      <c r="V18" s="6">
        <v>908</v>
      </c>
      <c r="W18" s="31"/>
      <c r="Y18" s="16" t="s">
        <v>11</v>
      </c>
      <c r="Z18" s="21" t="s">
        <v>13</v>
      </c>
      <c r="AA18" s="17">
        <v>1528</v>
      </c>
      <c r="AB18" s="17">
        <v>1129</v>
      </c>
      <c r="AC18" s="17">
        <v>1338</v>
      </c>
      <c r="AD18" s="17">
        <v>1416</v>
      </c>
      <c r="AE18" s="17">
        <v>1165</v>
      </c>
      <c r="AF18" s="17">
        <v>1168</v>
      </c>
      <c r="AG18" s="17">
        <v>1303</v>
      </c>
      <c r="AH18" s="17">
        <v>1418</v>
      </c>
      <c r="AI18" s="30"/>
      <c r="AJ18" s="31"/>
      <c r="AK18" s="31"/>
      <c r="AL18" s="31"/>
      <c r="AM18" s="31"/>
    </row>
    <row r="19" spans="2:39">
      <c r="B19" s="16" t="s">
        <v>10</v>
      </c>
      <c r="C19" s="17">
        <v>3789</v>
      </c>
      <c r="D19" s="17">
        <v>3167</v>
      </c>
      <c r="E19" s="17">
        <v>2193</v>
      </c>
      <c r="F19" s="17">
        <v>2433</v>
      </c>
      <c r="G19" s="17">
        <v>2525</v>
      </c>
      <c r="H19" s="17">
        <v>4606</v>
      </c>
      <c r="I19" s="17">
        <v>4233</v>
      </c>
      <c r="J19" s="6">
        <v>4663</v>
      </c>
      <c r="K19" s="17">
        <v>4735</v>
      </c>
      <c r="M19" s="16" t="s">
        <v>10</v>
      </c>
      <c r="N19" s="17">
        <v>2557</v>
      </c>
      <c r="O19" s="17">
        <v>2711</v>
      </c>
      <c r="P19" s="17">
        <v>2229</v>
      </c>
      <c r="Q19" s="17">
        <v>2954</v>
      </c>
      <c r="R19" s="17">
        <v>3744</v>
      </c>
      <c r="S19" s="6">
        <v>3180</v>
      </c>
      <c r="T19" s="6">
        <v>3429</v>
      </c>
      <c r="U19" s="6">
        <v>3410</v>
      </c>
      <c r="V19" s="6">
        <v>3488</v>
      </c>
      <c r="W19" s="31"/>
      <c r="Y19" s="16" t="s">
        <v>10</v>
      </c>
      <c r="Z19" s="21" t="s">
        <v>13</v>
      </c>
      <c r="AA19" s="17">
        <v>2029</v>
      </c>
      <c r="AB19" s="17">
        <v>1543</v>
      </c>
      <c r="AC19" s="17">
        <v>1809</v>
      </c>
      <c r="AD19" s="17">
        <v>1925</v>
      </c>
      <c r="AE19" s="17">
        <v>2035</v>
      </c>
      <c r="AF19" s="17">
        <v>2342</v>
      </c>
      <c r="AG19" s="17">
        <v>2921</v>
      </c>
      <c r="AH19" s="17">
        <v>2452</v>
      </c>
      <c r="AI19" s="30"/>
      <c r="AJ19" s="31"/>
      <c r="AK19" s="31"/>
      <c r="AL19" s="31"/>
      <c r="AM19" s="31"/>
    </row>
    <row r="20" spans="2:39">
      <c r="B20" s="16" t="s">
        <v>0</v>
      </c>
      <c r="C20" s="17">
        <v>211</v>
      </c>
      <c r="D20" s="17">
        <v>1055</v>
      </c>
      <c r="E20" s="17">
        <v>162</v>
      </c>
      <c r="F20" s="17">
        <v>167</v>
      </c>
      <c r="G20" s="17">
        <v>238</v>
      </c>
      <c r="H20" s="17">
        <v>128</v>
      </c>
      <c r="I20" s="17">
        <v>147</v>
      </c>
      <c r="J20" s="6">
        <v>109</v>
      </c>
      <c r="K20" s="17">
        <v>120</v>
      </c>
      <c r="M20" s="16" t="s">
        <v>0</v>
      </c>
      <c r="N20" s="17">
        <v>149</v>
      </c>
      <c r="O20" s="17">
        <v>234</v>
      </c>
      <c r="P20" s="17">
        <v>345</v>
      </c>
      <c r="Q20" s="17">
        <v>285</v>
      </c>
      <c r="R20" s="17">
        <v>336</v>
      </c>
      <c r="S20" s="6">
        <v>288</v>
      </c>
      <c r="T20" s="6">
        <v>325</v>
      </c>
      <c r="U20" s="6">
        <v>347</v>
      </c>
      <c r="V20" s="6">
        <v>272</v>
      </c>
      <c r="W20" s="31"/>
      <c r="Y20" s="16" t="s">
        <v>0</v>
      </c>
      <c r="Z20" s="21" t="s">
        <v>13</v>
      </c>
      <c r="AA20" s="17">
        <v>7</v>
      </c>
      <c r="AB20" s="17">
        <v>113</v>
      </c>
      <c r="AC20" s="17">
        <v>83</v>
      </c>
      <c r="AD20" s="17">
        <v>118</v>
      </c>
      <c r="AE20" s="17">
        <v>119</v>
      </c>
      <c r="AF20" s="17">
        <v>138</v>
      </c>
      <c r="AG20" s="17">
        <v>178</v>
      </c>
      <c r="AH20" s="17">
        <v>113</v>
      </c>
      <c r="AI20" s="30"/>
      <c r="AJ20" s="31"/>
      <c r="AK20" s="31"/>
      <c r="AL20" s="31"/>
      <c r="AM20" s="31"/>
    </row>
    <row r="21" spans="2:39">
      <c r="AE21" s="17"/>
      <c r="AF21" s="17"/>
    </row>
    <row r="40" spans="2:39">
      <c r="B40" s="7" t="s">
        <v>17</v>
      </c>
      <c r="C40" s="7">
        <v>45566</v>
      </c>
      <c r="D40" s="7">
        <v>45597</v>
      </c>
      <c r="E40" s="7">
        <v>45627</v>
      </c>
      <c r="F40" s="7">
        <v>45658</v>
      </c>
      <c r="G40" s="7">
        <v>45689</v>
      </c>
      <c r="H40" s="7">
        <v>45717</v>
      </c>
      <c r="I40" s="7">
        <v>45748</v>
      </c>
      <c r="J40" s="7">
        <v>45778</v>
      </c>
      <c r="K40" s="7">
        <v>45809</v>
      </c>
      <c r="M40" s="7" t="s">
        <v>17</v>
      </c>
      <c r="N40" s="7">
        <v>45566</v>
      </c>
      <c r="O40" s="7">
        <v>45597</v>
      </c>
      <c r="P40" s="7">
        <v>45627</v>
      </c>
      <c r="Q40" s="7">
        <v>45658</v>
      </c>
      <c r="R40" s="7">
        <v>45689</v>
      </c>
      <c r="S40" s="7">
        <v>45717</v>
      </c>
      <c r="T40" s="7">
        <v>45748</v>
      </c>
      <c r="U40" s="7">
        <v>45778</v>
      </c>
      <c r="V40" s="7">
        <v>45809</v>
      </c>
      <c r="W40" s="43"/>
      <c r="Y40" s="7" t="s">
        <v>17</v>
      </c>
      <c r="Z40" s="7">
        <v>45566</v>
      </c>
      <c r="AA40" s="7">
        <v>45597</v>
      </c>
      <c r="AB40" s="7">
        <v>45627</v>
      </c>
      <c r="AC40" s="7">
        <v>45658</v>
      </c>
      <c r="AD40" s="7">
        <v>45689</v>
      </c>
      <c r="AE40" s="7">
        <v>45717</v>
      </c>
      <c r="AF40" s="7">
        <v>45748</v>
      </c>
      <c r="AG40" s="7">
        <v>45778</v>
      </c>
      <c r="AH40" s="7">
        <v>45809</v>
      </c>
      <c r="AI40" s="29"/>
      <c r="AJ40" s="29"/>
      <c r="AK40" s="29"/>
      <c r="AL40" s="29"/>
      <c r="AM40" s="29"/>
    </row>
    <row r="41" spans="2:39">
      <c r="B41" s="7" t="s">
        <v>29</v>
      </c>
      <c r="C41" s="6">
        <v>37017.71043478261</v>
      </c>
      <c r="D41" s="6">
        <v>43480.13</v>
      </c>
      <c r="E41" s="6">
        <v>41362.06</v>
      </c>
      <c r="F41" s="6">
        <v>40058.419000000002</v>
      </c>
      <c r="G41" s="6">
        <v>32509.360000000001</v>
      </c>
      <c r="H41" s="6">
        <v>35443</v>
      </c>
      <c r="I41" s="6">
        <v>24391</v>
      </c>
      <c r="J41" s="6">
        <f>23316110/1000</f>
        <v>23316.11</v>
      </c>
      <c r="K41" s="6">
        <f>24499270/1000</f>
        <v>24499.27</v>
      </c>
      <c r="M41" s="7" t="s">
        <v>29</v>
      </c>
      <c r="N41" s="6">
        <v>15939.080000000002</v>
      </c>
      <c r="O41" s="6">
        <v>20913.61</v>
      </c>
      <c r="P41" s="6">
        <v>21646.78</v>
      </c>
      <c r="Q41" s="6">
        <v>15489.47</v>
      </c>
      <c r="R41" s="6">
        <v>10874.15</v>
      </c>
      <c r="S41" s="6">
        <v>20184</v>
      </c>
      <c r="T41" s="6">
        <v>13943.86</v>
      </c>
      <c r="U41" s="6">
        <f>16508620/1000</f>
        <v>16508.62</v>
      </c>
      <c r="V41" s="6">
        <f>16960280/1000</f>
        <v>16960.28</v>
      </c>
      <c r="W41" s="31"/>
      <c r="Y41" s="7" t="s">
        <v>29</v>
      </c>
      <c r="Z41" s="20" t="s">
        <v>13</v>
      </c>
      <c r="AA41" s="6">
        <v>11886.64</v>
      </c>
      <c r="AB41" s="6">
        <v>7214.28</v>
      </c>
      <c r="AC41" s="6">
        <v>2472.71</v>
      </c>
      <c r="AD41" s="6">
        <v>4561.5200000000004</v>
      </c>
      <c r="AE41" s="6">
        <v>9767.1489999999994</v>
      </c>
      <c r="AF41" s="6">
        <v>7597.05</v>
      </c>
      <c r="AG41" s="6">
        <f>7007130/1000</f>
        <v>7007.13</v>
      </c>
      <c r="AH41" s="6">
        <f>10595670/1000</f>
        <v>10595.67</v>
      </c>
      <c r="AI41" s="30"/>
      <c r="AJ41" s="31"/>
      <c r="AK41" s="31"/>
      <c r="AL41" s="31"/>
      <c r="AM41" s="31"/>
    </row>
    <row r="42" spans="2:39">
      <c r="B42" s="7" t="s">
        <v>11</v>
      </c>
      <c r="C42" s="14">
        <f t="shared" ref="C42:K42" si="0">C18/C$41</f>
        <v>6.6751832325053717E-2</v>
      </c>
      <c r="D42" s="14">
        <f t="shared" si="0"/>
        <v>8.7396242835520513E-2</v>
      </c>
      <c r="E42" s="14">
        <f t="shared" si="0"/>
        <v>7.3183008776642175E-2</v>
      </c>
      <c r="F42" s="14">
        <f t="shared" si="0"/>
        <v>8.8196191666975177E-2</v>
      </c>
      <c r="G42" s="14">
        <f t="shared" si="0"/>
        <v>9.2588719064294098E-2</v>
      </c>
      <c r="H42" s="14">
        <f t="shared" si="0"/>
        <v>7.5416866518071266E-2</v>
      </c>
      <c r="I42" s="14">
        <f t="shared" si="0"/>
        <v>0.10971259890943381</v>
      </c>
      <c r="J42" s="14">
        <f t="shared" si="0"/>
        <v>9.0109370731224034E-2</v>
      </c>
      <c r="K42" s="14">
        <f t="shared" si="0"/>
        <v>8.42474081880807E-2</v>
      </c>
      <c r="M42" s="7" t="s">
        <v>11</v>
      </c>
      <c r="N42" s="14">
        <f t="shared" ref="N42:V42" si="1">N18/N$41</f>
        <v>1.8194274700923767E-2</v>
      </c>
      <c r="O42" s="14">
        <f t="shared" si="1"/>
        <v>3.2992869236827115E-2</v>
      </c>
      <c r="P42" s="14">
        <f t="shared" si="1"/>
        <v>3.5617306592481655E-2</v>
      </c>
      <c r="Q42" s="14">
        <f t="shared" si="1"/>
        <v>5.6038069733825628E-2</v>
      </c>
      <c r="R42" s="14">
        <f t="shared" si="1"/>
        <v>8.7639033855519743E-2</v>
      </c>
      <c r="S42" s="14">
        <f t="shared" si="1"/>
        <v>4.7364248910027745E-2</v>
      </c>
      <c r="T42" s="14">
        <f t="shared" si="1"/>
        <v>6.8345494002378104E-2</v>
      </c>
      <c r="U42" s="14">
        <f t="shared" si="1"/>
        <v>6.0695563893287272E-2</v>
      </c>
      <c r="V42" s="14">
        <f t="shared" si="1"/>
        <v>5.3536851985934199E-2</v>
      </c>
      <c r="W42" s="32"/>
      <c r="Y42" s="7" t="s">
        <v>11</v>
      </c>
      <c r="Z42" s="20" t="s">
        <v>13</v>
      </c>
      <c r="AA42" s="14">
        <f t="shared" ref="AA42:AH44" si="2">AA18/AA$41</f>
        <v>0.12854768042104414</v>
      </c>
      <c r="AB42" s="14">
        <f t="shared" si="2"/>
        <v>0.15649517346152353</v>
      </c>
      <c r="AC42" s="14">
        <f t="shared" si="2"/>
        <v>0.5411067209660656</v>
      </c>
      <c r="AD42" s="14">
        <f t="shared" si="2"/>
        <v>0.31042284150897065</v>
      </c>
      <c r="AE42" s="14">
        <f t="shared" si="2"/>
        <v>0.11927738585742882</v>
      </c>
      <c r="AF42" s="14">
        <f t="shared" si="2"/>
        <v>0.15374388742998926</v>
      </c>
      <c r="AG42" s="14">
        <f t="shared" si="2"/>
        <v>0.18595345027136645</v>
      </c>
      <c r="AH42" s="14">
        <f t="shared" si="2"/>
        <v>0.13382825248426952</v>
      </c>
      <c r="AI42" s="30"/>
      <c r="AJ42" s="32"/>
      <c r="AK42" s="32"/>
      <c r="AL42" s="32"/>
      <c r="AM42" s="32"/>
    </row>
    <row r="43" spans="2:39">
      <c r="B43" s="7" t="s">
        <v>10</v>
      </c>
      <c r="C43" s="14">
        <f t="shared" ref="C43:K43" si="3">C19/C$41</f>
        <v>0.10235641144460887</v>
      </c>
      <c r="D43" s="14">
        <f t="shared" si="3"/>
        <v>7.2837868700024594E-2</v>
      </c>
      <c r="E43" s="14">
        <f t="shared" si="3"/>
        <v>5.3019602988825992E-2</v>
      </c>
      <c r="F43" s="14">
        <f t="shared" si="3"/>
        <v>6.0736296157868831E-2</v>
      </c>
      <c r="G43" s="14">
        <f t="shared" si="3"/>
        <v>7.7669938749947709E-2</v>
      </c>
      <c r="H43" s="14">
        <f t="shared" si="3"/>
        <v>0.12995513923764918</v>
      </c>
      <c r="I43" s="14">
        <f t="shared" si="3"/>
        <v>0.17354762002377927</v>
      </c>
      <c r="J43" s="14">
        <f t="shared" si="3"/>
        <v>0.19999047868619593</v>
      </c>
      <c r="K43" s="14">
        <f t="shared" si="3"/>
        <v>0.19327106481131887</v>
      </c>
      <c r="M43" s="7" t="s">
        <v>10</v>
      </c>
      <c r="N43" s="14">
        <f t="shared" ref="N43:V43" si="4">N19/N$41</f>
        <v>0.16042331175952437</v>
      </c>
      <c r="O43" s="14">
        <f t="shared" si="4"/>
        <v>0.12962850507396859</v>
      </c>
      <c r="P43" s="14">
        <f t="shared" si="4"/>
        <v>0.10297143501250533</v>
      </c>
      <c r="Q43" s="14">
        <f t="shared" si="4"/>
        <v>0.19071020506189043</v>
      </c>
      <c r="R43" s="14">
        <f t="shared" si="4"/>
        <v>0.34430277309031054</v>
      </c>
      <c r="S43" s="14">
        <f t="shared" si="4"/>
        <v>0.15755053507728894</v>
      </c>
      <c r="T43" s="14">
        <f t="shared" si="4"/>
        <v>0.24591468933279592</v>
      </c>
      <c r="U43" s="14">
        <f t="shared" si="4"/>
        <v>0.20655875536537882</v>
      </c>
      <c r="V43" s="14">
        <f t="shared" si="4"/>
        <v>0.20565698207812608</v>
      </c>
      <c r="W43" s="32"/>
      <c r="Y43" s="7" t="s">
        <v>10</v>
      </c>
      <c r="Z43" s="20" t="s">
        <v>13</v>
      </c>
      <c r="AA43" s="14">
        <f t="shared" si="2"/>
        <v>0.1706958400355357</v>
      </c>
      <c r="AB43" s="14">
        <f t="shared" si="2"/>
        <v>0.21388135752978815</v>
      </c>
      <c r="AC43" s="14">
        <f t="shared" si="2"/>
        <v>0.73158599269627245</v>
      </c>
      <c r="AD43" s="14">
        <f t="shared" si="2"/>
        <v>0.42200845332257664</v>
      </c>
      <c r="AE43" s="14">
        <f t="shared" si="2"/>
        <v>0.20835148516726837</v>
      </c>
      <c r="AF43" s="14">
        <f t="shared" si="2"/>
        <v>0.30827755510362576</v>
      </c>
      <c r="AG43" s="14">
        <f t="shared" si="2"/>
        <v>0.41686111146789057</v>
      </c>
      <c r="AH43" s="14">
        <f t="shared" si="2"/>
        <v>0.23141528567801753</v>
      </c>
      <c r="AI43" s="30"/>
      <c r="AJ43" s="32"/>
      <c r="AK43" s="32"/>
      <c r="AL43" s="32"/>
      <c r="AM43" s="32"/>
    </row>
    <row r="44" spans="2:39">
      <c r="B44" s="7" t="s">
        <v>0</v>
      </c>
      <c r="C44" s="14">
        <f t="shared" ref="C44:K44" si="5">C20/C$41</f>
        <v>5.6999743507026848E-3</v>
      </c>
      <c r="D44" s="14">
        <f t="shared" si="5"/>
        <v>2.4263956892493194E-2</v>
      </c>
      <c r="E44" s="14">
        <f t="shared" si="5"/>
        <v>3.9166327789283226E-3</v>
      </c>
      <c r="F44" s="41">
        <f t="shared" si="5"/>
        <v>4.1689114091097799E-3</v>
      </c>
      <c r="G44" s="14">
        <f t="shared" si="5"/>
        <v>7.320968484153487E-3</v>
      </c>
      <c r="H44" s="14">
        <f t="shared" si="5"/>
        <v>3.6114324408204725E-3</v>
      </c>
      <c r="I44" s="14">
        <f t="shared" si="5"/>
        <v>6.0268131687917677E-3</v>
      </c>
      <c r="J44" s="14">
        <f t="shared" si="5"/>
        <v>4.6748793001920134E-3</v>
      </c>
      <c r="K44" s="14">
        <f t="shared" si="5"/>
        <v>4.8981051272139944E-3</v>
      </c>
      <c r="M44" s="7" t="s">
        <v>0</v>
      </c>
      <c r="N44" s="14">
        <f t="shared" ref="N44:V44" si="6">N20/N$41</f>
        <v>9.3480928635780725E-3</v>
      </c>
      <c r="O44" s="14">
        <f t="shared" si="6"/>
        <v>1.1188886089010936E-2</v>
      </c>
      <c r="P44" s="14">
        <f t="shared" si="6"/>
        <v>1.5937705284573504E-2</v>
      </c>
      <c r="Q44" s="14">
        <f t="shared" si="6"/>
        <v>1.8399596629193899E-2</v>
      </c>
      <c r="R44" s="14">
        <f t="shared" si="6"/>
        <v>3.0898966815797096E-2</v>
      </c>
      <c r="S44" s="14">
        <f t="shared" si="6"/>
        <v>1.4268727705112961E-2</v>
      </c>
      <c r="T44" s="14">
        <f t="shared" si="6"/>
        <v>2.3307749790947411E-2</v>
      </c>
      <c r="U44" s="14">
        <f t="shared" si="6"/>
        <v>2.1019322026916847E-2</v>
      </c>
      <c r="V44" s="14">
        <f t="shared" si="6"/>
        <v>1.6037471079486897E-2</v>
      </c>
      <c r="W44" s="32"/>
      <c r="Y44" s="7" t="s">
        <v>0</v>
      </c>
      <c r="Z44" s="20" t="s">
        <v>13</v>
      </c>
      <c r="AA44" s="14">
        <f t="shared" si="2"/>
        <v>5.8889644171944303E-4</v>
      </c>
      <c r="AB44" s="14">
        <f t="shared" si="2"/>
        <v>1.5663378743270291E-2</v>
      </c>
      <c r="AC44" s="14">
        <f t="shared" si="2"/>
        <v>3.3566410941841138E-2</v>
      </c>
      <c r="AD44" s="14">
        <f t="shared" si="2"/>
        <v>2.5868570125747555E-2</v>
      </c>
      <c r="AE44" s="14">
        <f t="shared" si="2"/>
        <v>1.2183698641230927E-2</v>
      </c>
      <c r="AF44" s="14">
        <f t="shared" si="2"/>
        <v>1.8164945603885718E-2</v>
      </c>
      <c r="AG44" s="14">
        <f t="shared" si="2"/>
        <v>2.5402696967231946E-2</v>
      </c>
      <c r="AH44" s="14">
        <f t="shared" si="2"/>
        <v>1.0664733801637839E-2</v>
      </c>
      <c r="AI44" s="30"/>
      <c r="AJ44" s="32"/>
      <c r="AK44" s="32"/>
      <c r="AL44" s="32"/>
      <c r="AM44" s="32"/>
    </row>
  </sheetData>
  <mergeCells count="4">
    <mergeCell ref="AH1:AM1"/>
    <mergeCell ref="B1:I1"/>
    <mergeCell ref="M1:T1"/>
    <mergeCell ref="Y1:AF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6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4"/>
  <sheetViews>
    <sheetView showGridLines="0" workbookViewId="0">
      <selection activeCell="W6" sqref="W6"/>
    </sheetView>
  </sheetViews>
  <sheetFormatPr baseColWidth="10" defaultRowHeight="14"/>
  <cols>
    <col min="1" max="1" width="10.6640625" customWidth="1"/>
    <col min="2" max="2" width="13.58203125" bestFit="1" customWidth="1"/>
    <col min="3" max="7" width="6.6640625" bestFit="1" customWidth="1"/>
    <col min="8" max="9" width="7.58203125" bestFit="1" customWidth="1"/>
    <col min="10" max="11" width="7.58203125" customWidth="1"/>
    <col min="12" max="12" width="5.33203125" bestFit="1" customWidth="1"/>
    <col min="13" max="13" width="5.6640625" bestFit="1" customWidth="1"/>
    <col min="14" max="14" width="13.58203125" bestFit="1" customWidth="1"/>
    <col min="15" max="23" width="7.58203125" bestFit="1" customWidth="1"/>
  </cols>
  <sheetData>
    <row r="1" spans="2:23" ht="22.5">
      <c r="B1" s="91" t="s">
        <v>31</v>
      </c>
      <c r="C1" s="91"/>
      <c r="D1" s="91"/>
      <c r="E1" s="91"/>
      <c r="F1" s="91"/>
      <c r="G1" s="91"/>
      <c r="H1" s="91"/>
      <c r="I1" s="91"/>
      <c r="J1" s="42"/>
      <c r="K1" s="42"/>
      <c r="L1" s="18"/>
      <c r="M1" s="15"/>
    </row>
    <row r="3" spans="2:23">
      <c r="N3" s="7" t="s">
        <v>17</v>
      </c>
      <c r="O3" s="7">
        <v>45566</v>
      </c>
      <c r="P3" s="7">
        <v>45597</v>
      </c>
      <c r="Q3" s="7">
        <v>45627</v>
      </c>
      <c r="R3" s="7">
        <v>45658</v>
      </c>
      <c r="S3" s="7">
        <v>45689</v>
      </c>
      <c r="T3" s="7">
        <v>45717</v>
      </c>
      <c r="U3" s="7">
        <v>45748</v>
      </c>
      <c r="V3" s="7">
        <v>45778</v>
      </c>
      <c r="W3" s="7">
        <v>45809</v>
      </c>
    </row>
    <row r="4" spans="2:23">
      <c r="B4" s="13"/>
      <c r="C4" s="13"/>
      <c r="D4" s="13"/>
      <c r="E4" s="13"/>
      <c r="N4" s="7" t="s">
        <v>29</v>
      </c>
      <c r="O4" s="6">
        <v>55313.04</v>
      </c>
      <c r="P4" s="6">
        <v>77880.077999999994</v>
      </c>
      <c r="Q4" s="6">
        <v>74753.303</v>
      </c>
      <c r="R4" s="6">
        <v>63202.608</v>
      </c>
      <c r="S4" s="6">
        <v>42465.449000000001</v>
      </c>
      <c r="T4" s="6">
        <v>73714.535000000003</v>
      </c>
      <c r="U4" s="6">
        <v>52963.37</v>
      </c>
      <c r="V4" s="6">
        <f>'LUCERO-CENTRO (A)'!J41+'LUCERO-CENTRO (A)'!U41+'LUCERO-CENTRO (A)'!AF41</f>
        <v>55293.151999999995</v>
      </c>
      <c r="W4" s="6">
        <f>'LUCERO-CENTRO (A)'!K41+'LUCERO-CENTRO (A)'!V41+'LUCERO-CENTRO (A)'!AG41</f>
        <v>51267.897999999994</v>
      </c>
    </row>
    <row r="5" spans="2:23">
      <c r="N5" s="7" t="s">
        <v>11</v>
      </c>
      <c r="O5" s="14">
        <f t="shared" ref="O5:U7" si="0">C18/O$4</f>
        <v>0.11413668856385401</v>
      </c>
      <c r="P5" s="14">
        <f t="shared" si="0"/>
        <v>0.11083066018500909</v>
      </c>
      <c r="Q5" s="14">
        <f t="shared" si="0"/>
        <v>9.2852231559587411E-2</v>
      </c>
      <c r="R5" s="14">
        <f t="shared" si="0"/>
        <v>0.13861769754817713</v>
      </c>
      <c r="S5" s="14">
        <f t="shared" si="0"/>
        <v>0.16896088865091241</v>
      </c>
      <c r="T5" s="14">
        <f t="shared" si="0"/>
        <v>0.10156748597817242</v>
      </c>
      <c r="U5" s="14">
        <f t="shared" si="0"/>
        <v>0.14696949986377378</v>
      </c>
      <c r="V5" s="14">
        <f t="shared" ref="V5:W7" si="1">J18/V$4</f>
        <v>0.12059359538772542</v>
      </c>
      <c r="W5" s="14">
        <f t="shared" si="1"/>
        <v>0.13357286464133952</v>
      </c>
    </row>
    <row r="6" spans="2:23">
      <c r="N6" s="7" t="s">
        <v>10</v>
      </c>
      <c r="O6" s="14">
        <f t="shared" si="0"/>
        <v>0.12910167348928933</v>
      </c>
      <c r="P6" s="14">
        <f t="shared" si="0"/>
        <v>8.9292022537522373E-2</v>
      </c>
      <c r="Q6" s="14">
        <f t="shared" si="0"/>
        <v>7.5432778208475951E-2</v>
      </c>
      <c r="R6" s="14">
        <f t="shared" si="0"/>
        <v>0.1372253499412556</v>
      </c>
      <c r="S6" s="14">
        <f t="shared" si="0"/>
        <v>0.18438519277165774</v>
      </c>
      <c r="T6" s="14">
        <f t="shared" si="0"/>
        <v>0.14531733802566887</v>
      </c>
      <c r="U6" s="14">
        <f t="shared" si="0"/>
        <v>0.24075129660367153</v>
      </c>
      <c r="V6" s="14">
        <f t="shared" si="1"/>
        <v>0.21118347530630921</v>
      </c>
      <c r="W6" s="14">
        <f t="shared" si="1"/>
        <v>0.23336240545691969</v>
      </c>
    </row>
    <row r="7" spans="2:23">
      <c r="N7" s="7" t="s">
        <v>0</v>
      </c>
      <c r="O7" s="14">
        <f t="shared" si="0"/>
        <v>1.0434520154214186E-2</v>
      </c>
      <c r="P7" s="14">
        <f t="shared" si="0"/>
        <v>1.1550423973638035E-2</v>
      </c>
      <c r="Q7" s="14">
        <f t="shared" si="0"/>
        <v>2.4360981881964471E-2</v>
      </c>
      <c r="R7" s="14">
        <f t="shared" si="0"/>
        <v>3.1881595772123836E-2</v>
      </c>
      <c r="S7" s="14">
        <f t="shared" si="0"/>
        <v>3.7795432234803403E-2</v>
      </c>
      <c r="T7" s="14">
        <f t="shared" si="0"/>
        <v>5.3761446097435189E-2</v>
      </c>
      <c r="U7" s="14">
        <f t="shared" si="0"/>
        <v>3.5817207250973641E-2</v>
      </c>
      <c r="V7" s="14">
        <f t="shared" si="1"/>
        <v>4.1144335558949509E-2</v>
      </c>
      <c r="W7" s="14">
        <f t="shared" si="1"/>
        <v>3.0272354836939096E-2</v>
      </c>
    </row>
    <row r="10" spans="2:23">
      <c r="F10" s="13"/>
      <c r="S10" s="13"/>
    </row>
    <row r="11" spans="2:23">
      <c r="F11" s="13"/>
    </row>
    <row r="17" spans="2:18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</row>
    <row r="18" spans="2:18">
      <c r="B18" s="16" t="s">
        <v>11</v>
      </c>
      <c r="C18" s="17">
        <v>6313.2472199999993</v>
      </c>
      <c r="D18" s="17">
        <v>8631.5004600000011</v>
      </c>
      <c r="E18" s="17">
        <v>6941.0110000000004</v>
      </c>
      <c r="F18" s="17">
        <v>8761</v>
      </c>
      <c r="G18" s="17">
        <v>7175</v>
      </c>
      <c r="H18" s="17">
        <v>7487</v>
      </c>
      <c r="I18" s="17">
        <v>7784</v>
      </c>
      <c r="J18" s="17">
        <v>6668</v>
      </c>
      <c r="K18" s="17">
        <v>6848</v>
      </c>
    </row>
    <row r="19" spans="2:18">
      <c r="B19" s="16" t="s">
        <v>10</v>
      </c>
      <c r="C19" s="17">
        <v>7141.0060297800001</v>
      </c>
      <c r="D19" s="17">
        <v>6954.0696799999996</v>
      </c>
      <c r="E19" s="17">
        <v>5638.8493255499998</v>
      </c>
      <c r="F19" s="17">
        <v>8673</v>
      </c>
      <c r="G19" s="17">
        <v>7830</v>
      </c>
      <c r="H19" s="17">
        <v>10712</v>
      </c>
      <c r="I19" s="17">
        <v>12751</v>
      </c>
      <c r="J19" s="17">
        <v>11677</v>
      </c>
      <c r="K19" s="17">
        <v>11964</v>
      </c>
    </row>
    <row r="20" spans="2:18">
      <c r="B20" s="16" t="s">
        <v>0</v>
      </c>
      <c r="C20" s="17">
        <v>577.16503067085546</v>
      </c>
      <c r="D20" s="17">
        <v>899.54792000000009</v>
      </c>
      <c r="E20" s="17">
        <v>1821.0638600000002</v>
      </c>
      <c r="F20" s="17">
        <v>2015</v>
      </c>
      <c r="G20" s="17">
        <v>1605</v>
      </c>
      <c r="H20" s="17">
        <v>3963</v>
      </c>
      <c r="I20" s="17">
        <v>1897</v>
      </c>
      <c r="J20" s="17">
        <v>2275</v>
      </c>
      <c r="K20" s="17">
        <v>1552</v>
      </c>
      <c r="O20" s="19"/>
      <c r="P20" s="19"/>
      <c r="Q20" s="19"/>
      <c r="R20" s="19"/>
    </row>
    <row r="22" spans="2:18">
      <c r="O22" s="19"/>
      <c r="P22" s="19"/>
      <c r="Q22" s="19"/>
      <c r="R22" s="19"/>
    </row>
    <row r="23" spans="2:18">
      <c r="O23" s="19"/>
      <c r="P23" s="19"/>
      <c r="Q23" s="19"/>
      <c r="R23" s="19"/>
    </row>
    <row r="24" spans="2:18">
      <c r="O24" s="19"/>
      <c r="P24" s="19"/>
      <c r="Q24" s="19"/>
      <c r="R24" s="19"/>
    </row>
  </sheetData>
  <mergeCells count="1">
    <mergeCell ref="B1:I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L52"/>
  <sheetViews>
    <sheetView showGridLines="0" zoomScaleNormal="100" workbookViewId="0">
      <selection activeCell="K20" sqref="K20"/>
    </sheetView>
  </sheetViews>
  <sheetFormatPr baseColWidth="10" defaultRowHeight="14"/>
  <cols>
    <col min="1" max="1" width="10.6640625" customWidth="1"/>
    <col min="2" max="2" width="13.58203125" bestFit="1" customWidth="1"/>
    <col min="3" max="11" width="7.58203125" bestFit="1" customWidth="1"/>
    <col min="12" max="12" width="5.6640625" customWidth="1"/>
    <col min="13" max="13" width="13.58203125" bestFit="1" customWidth="1"/>
    <col min="14" max="20" width="7.58203125" bestFit="1" customWidth="1"/>
    <col min="21" max="22" width="7.58203125" customWidth="1"/>
    <col min="23" max="23" width="5.6640625" customWidth="1"/>
    <col min="24" max="24" width="13.58203125" bestFit="1" customWidth="1"/>
    <col min="25" max="25" width="6.83203125" customWidth="1"/>
    <col min="26" max="26" width="7.33203125" customWidth="1"/>
    <col min="27" max="27" width="6.58203125" customWidth="1"/>
    <col min="28" max="31" width="6.6640625" bestFit="1" customWidth="1"/>
    <col min="32" max="32" width="7.1640625" bestFit="1" customWidth="1"/>
    <col min="33" max="33" width="6.6640625" bestFit="1" customWidth="1"/>
    <col min="34" max="38" width="10.6640625" customWidth="1"/>
    <col min="39" max="39" width="5.6640625" customWidth="1"/>
  </cols>
  <sheetData>
    <row r="1" spans="2:38" ht="22.5">
      <c r="B1" s="91" t="s">
        <v>36</v>
      </c>
      <c r="C1" s="91"/>
      <c r="D1" s="91"/>
      <c r="E1" s="91"/>
      <c r="F1" s="91"/>
      <c r="G1" s="91"/>
      <c r="H1" s="91"/>
      <c r="I1" s="91"/>
      <c r="J1" s="91"/>
      <c r="K1" s="91"/>
      <c r="M1" s="91" t="s">
        <v>37</v>
      </c>
      <c r="N1" s="91"/>
      <c r="O1" s="91"/>
      <c r="P1" s="91"/>
      <c r="Q1" s="91"/>
      <c r="R1" s="91"/>
      <c r="S1" s="91"/>
      <c r="T1" s="91"/>
      <c r="U1" s="91"/>
      <c r="V1" s="91"/>
      <c r="X1" s="91" t="s">
        <v>38</v>
      </c>
      <c r="Y1" s="91"/>
      <c r="Z1" s="91"/>
      <c r="AA1" s="91"/>
      <c r="AB1" s="91"/>
      <c r="AC1" s="91"/>
      <c r="AD1" s="91"/>
      <c r="AE1" s="91"/>
      <c r="AG1" s="91"/>
      <c r="AH1" s="91"/>
      <c r="AI1" s="91"/>
      <c r="AJ1" s="91"/>
      <c r="AK1" s="91"/>
      <c r="AL1" s="91"/>
    </row>
    <row r="4" spans="2:38">
      <c r="B4" s="13"/>
      <c r="C4" s="13"/>
      <c r="D4" s="13"/>
      <c r="E4" s="13"/>
      <c r="M4" s="13"/>
      <c r="N4" s="13"/>
      <c r="O4" s="13"/>
      <c r="P4" s="13"/>
      <c r="X4" s="13"/>
      <c r="Y4" s="13"/>
      <c r="Z4" s="13"/>
      <c r="AA4" s="13"/>
      <c r="AG4" s="13"/>
      <c r="AH4" s="13"/>
      <c r="AI4" s="13"/>
      <c r="AJ4" s="13"/>
    </row>
    <row r="10" spans="2:38">
      <c r="F10" s="13"/>
      <c r="Q10" s="13"/>
      <c r="AB10" s="13"/>
      <c r="AK10" s="13"/>
    </row>
    <row r="11" spans="2:38">
      <c r="F11" s="13"/>
      <c r="Q11" s="13"/>
      <c r="AB11" s="13"/>
      <c r="AK11" s="13"/>
    </row>
    <row r="17" spans="2:38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  <c r="M17" s="16" t="s">
        <v>17</v>
      </c>
      <c r="N17" s="16">
        <v>45566</v>
      </c>
      <c r="O17" s="16">
        <v>45597</v>
      </c>
      <c r="P17" s="16">
        <v>45627</v>
      </c>
      <c r="Q17" s="16">
        <v>45658</v>
      </c>
      <c r="R17" s="16">
        <v>45689</v>
      </c>
      <c r="S17" s="16">
        <v>45717</v>
      </c>
      <c r="T17" s="16">
        <v>45748</v>
      </c>
      <c r="U17" s="16">
        <v>45778</v>
      </c>
      <c r="V17" s="16">
        <v>45809</v>
      </c>
      <c r="X17" s="16" t="s">
        <v>17</v>
      </c>
      <c r="Y17" s="16">
        <v>45566</v>
      </c>
      <c r="Z17" s="16">
        <v>45597</v>
      </c>
      <c r="AA17" s="16">
        <v>45627</v>
      </c>
      <c r="AB17" s="16">
        <v>45658</v>
      </c>
      <c r="AC17" s="35">
        <v>45689</v>
      </c>
      <c r="AD17" s="35">
        <v>45717</v>
      </c>
      <c r="AE17" s="35">
        <v>45748</v>
      </c>
      <c r="AF17" s="35">
        <v>45778</v>
      </c>
      <c r="AG17" s="35">
        <v>45809</v>
      </c>
      <c r="AH17" s="29"/>
      <c r="AI17" s="29"/>
      <c r="AJ17" s="29"/>
      <c r="AK17" s="29"/>
      <c r="AL17" s="29"/>
    </row>
    <row r="18" spans="2:38">
      <c r="B18" s="16" t="s">
        <v>11</v>
      </c>
      <c r="C18" s="17">
        <v>2818.8159999999998</v>
      </c>
      <c r="D18" s="17">
        <v>4552.02898</v>
      </c>
      <c r="E18" s="17">
        <v>3222.9650000000001</v>
      </c>
      <c r="F18" s="17">
        <v>3772.4120800000001</v>
      </c>
      <c r="G18" s="17">
        <v>2402.0892000000003</v>
      </c>
      <c r="H18" s="17">
        <v>3310.6559999999999</v>
      </c>
      <c r="I18" s="17">
        <v>3332.116</v>
      </c>
      <c r="J18" s="17">
        <v>2654.4382599999999</v>
      </c>
      <c r="K18" s="17">
        <v>2853</v>
      </c>
      <c r="M18" s="16" t="s">
        <v>11</v>
      </c>
      <c r="N18" s="17">
        <v>3494</v>
      </c>
      <c r="O18" s="17">
        <v>4079</v>
      </c>
      <c r="P18" s="17">
        <v>3718</v>
      </c>
      <c r="Q18" s="17">
        <v>3866</v>
      </c>
      <c r="R18" s="17">
        <v>3607</v>
      </c>
      <c r="S18" s="17">
        <v>3635</v>
      </c>
      <c r="T18" s="17">
        <v>3631</v>
      </c>
      <c r="U18" s="17">
        <v>3199</v>
      </c>
      <c r="V18" s="17">
        <v>3114</v>
      </c>
      <c r="X18" s="16" t="s">
        <v>11</v>
      </c>
      <c r="Y18" s="21" t="s">
        <v>13</v>
      </c>
      <c r="Z18" s="21" t="s">
        <v>13</v>
      </c>
      <c r="AA18" s="21" t="s">
        <v>13</v>
      </c>
      <c r="AB18" s="17">
        <v>1123</v>
      </c>
      <c r="AC18" s="36">
        <v>1166</v>
      </c>
      <c r="AD18" s="36">
        <v>541</v>
      </c>
      <c r="AE18" s="36">
        <v>821</v>
      </c>
      <c r="AF18" s="36">
        <v>815</v>
      </c>
      <c r="AG18" s="36">
        <v>881</v>
      </c>
      <c r="AH18" s="30"/>
      <c r="AI18" s="30"/>
      <c r="AJ18" s="30"/>
      <c r="AK18" s="31"/>
      <c r="AL18" s="31"/>
    </row>
    <row r="19" spans="2:38">
      <c r="B19" s="16" t="s">
        <v>10</v>
      </c>
      <c r="C19" s="17">
        <v>4653</v>
      </c>
      <c r="D19" s="17">
        <v>5145</v>
      </c>
      <c r="E19" s="17">
        <v>4223</v>
      </c>
      <c r="F19" s="17">
        <v>4472</v>
      </c>
      <c r="G19" s="17">
        <v>4563</v>
      </c>
      <c r="H19" s="17">
        <v>6277</v>
      </c>
      <c r="I19" s="17">
        <v>7020</v>
      </c>
      <c r="J19" s="17">
        <v>5916</v>
      </c>
      <c r="K19" s="17">
        <v>6458</v>
      </c>
      <c r="M19" s="16" t="s">
        <v>10</v>
      </c>
      <c r="N19" s="17">
        <v>2488</v>
      </c>
      <c r="O19" s="17">
        <v>1809</v>
      </c>
      <c r="P19" s="17">
        <v>1416</v>
      </c>
      <c r="Q19" s="17">
        <v>2404</v>
      </c>
      <c r="R19" s="17">
        <v>2469</v>
      </c>
      <c r="S19" s="17">
        <v>2988</v>
      </c>
      <c r="T19" s="17">
        <v>3435</v>
      </c>
      <c r="U19" s="17">
        <v>3458</v>
      </c>
      <c r="V19" s="17">
        <v>3447</v>
      </c>
      <c r="X19" s="16" t="s">
        <v>10</v>
      </c>
      <c r="Y19" s="21" t="s">
        <v>13</v>
      </c>
      <c r="Z19" s="21" t="s">
        <v>13</v>
      </c>
      <c r="AA19" s="21" t="s">
        <v>13</v>
      </c>
      <c r="AB19" s="17">
        <v>1797</v>
      </c>
      <c r="AC19" s="36">
        <v>798</v>
      </c>
      <c r="AD19" s="36">
        <v>1447</v>
      </c>
      <c r="AE19" s="36">
        <v>2296</v>
      </c>
      <c r="AF19" s="36">
        <v>2303</v>
      </c>
      <c r="AG19" s="36">
        <v>2059</v>
      </c>
      <c r="AH19" s="30"/>
      <c r="AI19" s="30"/>
      <c r="AJ19" s="30"/>
      <c r="AK19" s="31"/>
      <c r="AL19" s="31"/>
    </row>
    <row r="20" spans="2:38">
      <c r="B20" s="16" t="s">
        <v>0</v>
      </c>
      <c r="C20" s="17">
        <v>465.61292398798395</v>
      </c>
      <c r="D20" s="17">
        <v>756.20258000000013</v>
      </c>
      <c r="E20" s="17">
        <v>1603.00109</v>
      </c>
      <c r="F20" s="17">
        <v>1727.7844300000002</v>
      </c>
      <c r="G20" s="17">
        <v>1353.6704399999999</v>
      </c>
      <c r="H20" s="17">
        <v>1730.6849999999999</v>
      </c>
      <c r="I20" s="17">
        <v>1635.7329999999999</v>
      </c>
      <c r="J20" s="17">
        <v>1831.4662999999998</v>
      </c>
      <c r="K20" s="17">
        <v>1208</v>
      </c>
      <c r="M20" s="16" t="s">
        <v>0</v>
      </c>
      <c r="N20" s="17">
        <v>112</v>
      </c>
      <c r="O20" s="17">
        <v>143</v>
      </c>
      <c r="P20" s="17">
        <v>218</v>
      </c>
      <c r="Q20" s="17">
        <v>186</v>
      </c>
      <c r="R20" s="17">
        <v>211</v>
      </c>
      <c r="S20" s="17">
        <v>232</v>
      </c>
      <c r="T20" s="17">
        <v>202</v>
      </c>
      <c r="U20" s="17">
        <v>344</v>
      </c>
      <c r="V20" s="17">
        <v>205</v>
      </c>
      <c r="X20" s="16" t="s">
        <v>0</v>
      </c>
      <c r="Y20" s="21" t="s">
        <v>13</v>
      </c>
      <c r="Z20" s="21" t="s">
        <v>13</v>
      </c>
      <c r="AA20" s="21" t="s">
        <v>13</v>
      </c>
      <c r="AB20" s="17">
        <v>101</v>
      </c>
      <c r="AC20" s="36">
        <v>40</v>
      </c>
      <c r="AD20" s="36">
        <v>2000</v>
      </c>
      <c r="AE20" s="36">
        <v>59</v>
      </c>
      <c r="AF20" s="36">
        <v>100</v>
      </c>
      <c r="AG20" s="36">
        <v>139</v>
      </c>
      <c r="AH20" s="30"/>
      <c r="AI20" s="30"/>
      <c r="AJ20" s="30"/>
      <c r="AK20" s="31"/>
      <c r="AL20" s="31"/>
    </row>
    <row r="40" spans="2:38">
      <c r="B40" s="7" t="s">
        <v>17</v>
      </c>
      <c r="C40" s="7">
        <v>45566</v>
      </c>
      <c r="D40" s="7">
        <v>45597</v>
      </c>
      <c r="E40" s="7">
        <v>45627</v>
      </c>
      <c r="F40" s="7">
        <v>45658</v>
      </c>
      <c r="G40" s="7">
        <v>45689</v>
      </c>
      <c r="H40" s="7">
        <v>45717</v>
      </c>
      <c r="I40" s="7">
        <v>45748</v>
      </c>
      <c r="J40" s="7">
        <v>45778</v>
      </c>
      <c r="K40" s="7">
        <v>45809</v>
      </c>
      <c r="M40" s="7" t="s">
        <v>17</v>
      </c>
      <c r="N40" s="7">
        <v>45566</v>
      </c>
      <c r="O40" s="7">
        <v>45597</v>
      </c>
      <c r="P40" s="7">
        <v>45627</v>
      </c>
      <c r="Q40" s="7">
        <v>45658</v>
      </c>
      <c r="R40" s="7">
        <v>45689</v>
      </c>
      <c r="S40" s="7">
        <v>45717</v>
      </c>
      <c r="T40" s="7">
        <v>45748</v>
      </c>
      <c r="U40" s="7">
        <v>45778</v>
      </c>
      <c r="V40" s="7">
        <v>45809</v>
      </c>
      <c r="X40" s="7" t="s">
        <v>17</v>
      </c>
      <c r="Y40" s="7">
        <v>45566</v>
      </c>
      <c r="Z40" s="7">
        <v>45597</v>
      </c>
      <c r="AA40" s="7">
        <v>45627</v>
      </c>
      <c r="AB40" s="7">
        <v>45658</v>
      </c>
      <c r="AC40" s="7">
        <v>45689</v>
      </c>
      <c r="AD40" s="7">
        <v>45717</v>
      </c>
      <c r="AE40" s="7">
        <v>45748</v>
      </c>
      <c r="AF40" s="7">
        <v>45778</v>
      </c>
      <c r="AG40" s="7">
        <v>45809</v>
      </c>
      <c r="AH40" s="29"/>
      <c r="AI40" s="29"/>
      <c r="AJ40" s="29"/>
      <c r="AK40" s="29"/>
      <c r="AL40" s="29"/>
    </row>
    <row r="41" spans="2:38">
      <c r="B41" s="7" t="s">
        <v>29</v>
      </c>
      <c r="C41" s="6">
        <v>35956.36</v>
      </c>
      <c r="D41" s="6">
        <v>53095.66</v>
      </c>
      <c r="E41" s="6">
        <v>45648.692999999999</v>
      </c>
      <c r="F41" s="6">
        <v>40118.678</v>
      </c>
      <c r="G41" s="6">
        <v>23978.278999999999</v>
      </c>
      <c r="H41" s="6">
        <v>44687.118999999999</v>
      </c>
      <c r="I41" s="6">
        <v>33033.18</v>
      </c>
      <c r="J41" s="6">
        <f>35772422/1000</f>
        <v>35772.421999999999</v>
      </c>
      <c r="K41" s="6">
        <f>29767639/1000</f>
        <v>29767.638999999999</v>
      </c>
      <c r="M41" s="7" t="s">
        <v>29</v>
      </c>
      <c r="N41" s="6">
        <v>19356.68</v>
      </c>
      <c r="O41" s="6">
        <v>24784.418000000001</v>
      </c>
      <c r="P41" s="6">
        <v>29104.61</v>
      </c>
      <c r="Q41" s="6">
        <v>20476.37</v>
      </c>
      <c r="R41" s="6">
        <v>15336.68</v>
      </c>
      <c r="S41" s="6">
        <v>25739.876</v>
      </c>
      <c r="T41" s="6">
        <v>17076.57</v>
      </c>
      <c r="U41" s="6">
        <f>15486300/1000</f>
        <v>15486.3</v>
      </c>
      <c r="V41" s="6">
        <f>17483909/1000</f>
        <v>17483.909</v>
      </c>
      <c r="X41" s="7" t="s">
        <v>29</v>
      </c>
      <c r="Y41" s="20" t="s">
        <v>13</v>
      </c>
      <c r="Z41" s="20" t="s">
        <v>13</v>
      </c>
      <c r="AA41" s="20" t="s">
        <v>13</v>
      </c>
      <c r="AB41" s="6">
        <v>2607.56</v>
      </c>
      <c r="AC41" s="6">
        <v>3150.49</v>
      </c>
      <c r="AD41" s="6">
        <v>3287.54</v>
      </c>
      <c r="AE41" s="6">
        <v>2853.62</v>
      </c>
      <c r="AF41" s="6">
        <f>4034430/1000</f>
        <v>4034.43</v>
      </c>
      <c r="AG41" s="6">
        <f>4016350/1000</f>
        <v>4016.35</v>
      </c>
      <c r="AH41" s="30"/>
      <c r="AI41" s="30"/>
      <c r="AJ41" s="30"/>
      <c r="AK41" s="31"/>
      <c r="AL41" s="31"/>
    </row>
    <row r="42" spans="2:38">
      <c r="B42" s="7" t="s">
        <v>11</v>
      </c>
      <c r="C42" s="14">
        <f t="shared" ref="C42:K42" si="0">C18/C$41</f>
        <v>7.8395477184008605E-2</v>
      </c>
      <c r="D42" s="14">
        <f t="shared" si="0"/>
        <v>8.5732599990281683E-2</v>
      </c>
      <c r="E42" s="14">
        <f t="shared" si="0"/>
        <v>7.0603664380927619E-2</v>
      </c>
      <c r="F42" s="14">
        <f t="shared" si="0"/>
        <v>9.4031315787623915E-2</v>
      </c>
      <c r="G42" s="14">
        <f t="shared" si="0"/>
        <v>0.10017771500615205</v>
      </c>
      <c r="H42" s="14">
        <f t="shared" si="0"/>
        <v>7.4085241431652821E-2</v>
      </c>
      <c r="I42" s="14">
        <f t="shared" si="0"/>
        <v>0.10087179012132649</v>
      </c>
      <c r="J42" s="14">
        <f t="shared" si="0"/>
        <v>7.4203481665289533E-2</v>
      </c>
      <c r="K42" s="14">
        <f t="shared" si="0"/>
        <v>9.5842334019167599E-2</v>
      </c>
      <c r="M42" s="7" t="s">
        <v>11</v>
      </c>
      <c r="N42" s="14">
        <f t="shared" ref="N42:V42" si="1">N18/N$41</f>
        <v>0.18050616118053303</v>
      </c>
      <c r="O42" s="14">
        <f t="shared" si="1"/>
        <v>0.16457921263271139</v>
      </c>
      <c r="P42" s="14">
        <f t="shared" si="1"/>
        <v>0.12774608558575429</v>
      </c>
      <c r="Q42" s="14">
        <f t="shared" si="1"/>
        <v>0.18880299584350158</v>
      </c>
      <c r="R42" s="14">
        <f t="shared" si="1"/>
        <v>0.23518779814144913</v>
      </c>
      <c r="S42" s="14">
        <f t="shared" si="1"/>
        <v>0.14122057153655285</v>
      </c>
      <c r="T42" s="14">
        <f t="shared" si="1"/>
        <v>0.21263052240584615</v>
      </c>
      <c r="U42" s="14">
        <f t="shared" si="1"/>
        <v>0.20656967771514179</v>
      </c>
      <c r="V42" s="14">
        <f t="shared" si="1"/>
        <v>0.17810662363891278</v>
      </c>
      <c r="X42" s="7" t="s">
        <v>11</v>
      </c>
      <c r="Y42" s="20" t="s">
        <v>13</v>
      </c>
      <c r="Z42" s="20" t="s">
        <v>13</v>
      </c>
      <c r="AA42" s="20" t="s">
        <v>13</v>
      </c>
      <c r="AB42" s="14">
        <f t="shared" ref="AB42:AG44" si="2">AB18/AB$41</f>
        <v>0.43067081869640583</v>
      </c>
      <c r="AC42" s="14">
        <f t="shared" si="2"/>
        <v>0.37010115886735084</v>
      </c>
      <c r="AD42" s="14">
        <f t="shared" si="2"/>
        <v>0.16456073538268737</v>
      </c>
      <c r="AE42" s="14">
        <f t="shared" si="2"/>
        <v>0.28770473994435142</v>
      </c>
      <c r="AF42" s="14">
        <f t="shared" si="2"/>
        <v>0.20201118869332224</v>
      </c>
      <c r="AG42" s="14">
        <f t="shared" si="2"/>
        <v>0.21935339300608761</v>
      </c>
      <c r="AH42" s="30"/>
      <c r="AI42" s="30"/>
      <c r="AJ42" s="30"/>
      <c r="AK42" s="32"/>
      <c r="AL42" s="32"/>
    </row>
    <row r="43" spans="2:38">
      <c r="B43" s="7" t="s">
        <v>10</v>
      </c>
      <c r="C43" s="14">
        <f t="shared" ref="C43:K43" si="3">C19/C$41</f>
        <v>0.12940686988338085</v>
      </c>
      <c r="D43" s="14">
        <f t="shared" si="3"/>
        <v>9.6900575301258132E-2</v>
      </c>
      <c r="E43" s="14">
        <f t="shared" si="3"/>
        <v>9.2510863344981209E-2</v>
      </c>
      <c r="F43" s="14">
        <f t="shared" si="3"/>
        <v>0.11146927623088677</v>
      </c>
      <c r="G43" s="14">
        <f t="shared" si="3"/>
        <v>0.1902972269194132</v>
      </c>
      <c r="H43" s="14">
        <f t="shared" si="3"/>
        <v>0.14046553325579123</v>
      </c>
      <c r="I43" s="14">
        <f t="shared" si="3"/>
        <v>0.2125135999622198</v>
      </c>
      <c r="J43" s="14">
        <f t="shared" si="3"/>
        <v>0.16537879375346742</v>
      </c>
      <c r="K43" s="14">
        <f t="shared" si="3"/>
        <v>0.21694700073458967</v>
      </c>
      <c r="M43" s="7" t="s">
        <v>10</v>
      </c>
      <c r="N43" s="14">
        <f t="shared" ref="N43:V43" si="4">N19/N$41</f>
        <v>0.12853443875705958</v>
      </c>
      <c r="O43" s="14">
        <f t="shared" si="4"/>
        <v>7.2989408103107362E-2</v>
      </c>
      <c r="P43" s="14">
        <f t="shared" si="4"/>
        <v>4.86520863876891E-2</v>
      </c>
      <c r="Q43" s="14">
        <f t="shared" si="4"/>
        <v>0.11740362183336207</v>
      </c>
      <c r="R43" s="14">
        <f t="shared" si="4"/>
        <v>0.16098660205468199</v>
      </c>
      <c r="S43" s="14">
        <f t="shared" si="4"/>
        <v>0.11608447530982667</v>
      </c>
      <c r="T43" s="14">
        <f t="shared" si="4"/>
        <v>0.20115280761886023</v>
      </c>
      <c r="U43" s="14">
        <f t="shared" si="4"/>
        <v>0.22329413739886222</v>
      </c>
      <c r="V43" s="14">
        <f t="shared" si="4"/>
        <v>0.19715270766966358</v>
      </c>
      <c r="X43" s="7" t="s">
        <v>10</v>
      </c>
      <c r="Y43" s="20" t="s">
        <v>13</v>
      </c>
      <c r="Z43" s="20" t="s">
        <v>13</v>
      </c>
      <c r="AA43" s="20" t="s">
        <v>13</v>
      </c>
      <c r="AB43" s="14">
        <f t="shared" si="2"/>
        <v>0.68915000997100739</v>
      </c>
      <c r="AC43" s="14">
        <f t="shared" si="2"/>
        <v>0.25329393205501366</v>
      </c>
      <c r="AD43" s="14">
        <f t="shared" si="2"/>
        <v>0.44014673585720632</v>
      </c>
      <c r="AE43" s="14">
        <f t="shared" si="2"/>
        <v>0.80459206201246136</v>
      </c>
      <c r="AF43" s="14">
        <f t="shared" si="2"/>
        <v>0.57083652461438172</v>
      </c>
      <c r="AG43" s="14">
        <f t="shared" si="2"/>
        <v>0.51265452463057259</v>
      </c>
      <c r="AH43" s="30"/>
      <c r="AI43" s="30"/>
      <c r="AJ43" s="30"/>
      <c r="AK43" s="32"/>
      <c r="AL43" s="32"/>
    </row>
    <row r="44" spans="2:38">
      <c r="B44" s="7" t="s">
        <v>0</v>
      </c>
      <c r="C44" s="14">
        <f t="shared" ref="C44:K44" si="5">C20/C$41</f>
        <v>1.29493898711656E-2</v>
      </c>
      <c r="D44" s="14">
        <f t="shared" si="5"/>
        <v>1.4242267258755237E-2</v>
      </c>
      <c r="E44" s="14">
        <f t="shared" si="5"/>
        <v>3.5116034757008266E-2</v>
      </c>
      <c r="F44" s="14">
        <f t="shared" si="5"/>
        <v>4.3066833608026669E-2</v>
      </c>
      <c r="G44" s="14">
        <f t="shared" si="5"/>
        <v>5.6454028247815445E-2</v>
      </c>
      <c r="H44" s="14">
        <f t="shared" si="5"/>
        <v>3.8728945582730448E-2</v>
      </c>
      <c r="I44" s="14">
        <f t="shared" si="5"/>
        <v>4.9517878690456076E-2</v>
      </c>
      <c r="J44" s="14">
        <f t="shared" si="5"/>
        <v>5.1197715938831309E-2</v>
      </c>
      <c r="K44" s="14">
        <f t="shared" si="5"/>
        <v>4.0580981246110918E-2</v>
      </c>
      <c r="M44" s="7" t="s">
        <v>0</v>
      </c>
      <c r="N44" s="14">
        <f t="shared" ref="N44:V44" si="6">N20/N$41</f>
        <v>5.7861162141441607E-3</v>
      </c>
      <c r="O44" s="14">
        <f t="shared" si="6"/>
        <v>5.7697542060499464E-3</v>
      </c>
      <c r="P44" s="14">
        <f t="shared" si="6"/>
        <v>7.4902223393476155E-3</v>
      </c>
      <c r="Q44" s="14">
        <f t="shared" si="6"/>
        <v>9.0836412899356674E-3</v>
      </c>
      <c r="R44" s="14">
        <f t="shared" si="6"/>
        <v>1.3757866761254718E-2</v>
      </c>
      <c r="S44" s="14">
        <f t="shared" si="6"/>
        <v>9.013252433694708E-3</v>
      </c>
      <c r="T44" s="14">
        <f t="shared" si="6"/>
        <v>1.1829073402914052E-2</v>
      </c>
      <c r="U44" s="14">
        <f t="shared" si="6"/>
        <v>2.2213181973744535E-2</v>
      </c>
      <c r="V44" s="14">
        <f t="shared" si="6"/>
        <v>1.1725066745657393E-2</v>
      </c>
      <c r="X44" s="7" t="s">
        <v>0</v>
      </c>
      <c r="Y44" s="20" t="s">
        <v>13</v>
      </c>
      <c r="Z44" s="20" t="s">
        <v>13</v>
      </c>
      <c r="AA44" s="20" t="s">
        <v>13</v>
      </c>
      <c r="AB44" s="14">
        <f t="shared" si="2"/>
        <v>3.8733528662811212E-2</v>
      </c>
      <c r="AC44" s="14">
        <f t="shared" si="2"/>
        <v>1.2696437696993168E-2</v>
      </c>
      <c r="AD44" s="14">
        <f t="shared" si="2"/>
        <v>0.60835761694154289</v>
      </c>
      <c r="AE44" s="14">
        <f t="shared" si="2"/>
        <v>2.0675492882724401E-2</v>
      </c>
      <c r="AF44" s="14">
        <f t="shared" si="2"/>
        <v>2.478664891942604E-2</v>
      </c>
      <c r="AG44" s="14">
        <f t="shared" si="2"/>
        <v>3.4608537602549581E-2</v>
      </c>
      <c r="AH44" s="30"/>
      <c r="AI44" s="30"/>
      <c r="AJ44" s="30"/>
      <c r="AK44" s="32"/>
      <c r="AL44" s="32"/>
    </row>
    <row r="46" spans="2:38">
      <c r="X46" s="12"/>
      <c r="AG46" s="12"/>
    </row>
    <row r="47" spans="2:38">
      <c r="X47" s="12"/>
      <c r="AG47" s="12"/>
    </row>
    <row r="48" spans="2:38">
      <c r="B48" s="12"/>
      <c r="M48" s="12"/>
      <c r="X48" s="12"/>
      <c r="AG48" s="12"/>
    </row>
    <row r="49" spans="2:33">
      <c r="B49" s="12"/>
      <c r="M49" s="12"/>
    </row>
    <row r="50" spans="2:33">
      <c r="B50" s="12"/>
      <c r="M50" s="12"/>
      <c r="X50" s="12"/>
      <c r="AG50" s="12"/>
    </row>
    <row r="52" spans="2:33">
      <c r="B52" s="12"/>
    </row>
  </sheetData>
  <mergeCells count="4">
    <mergeCell ref="AG1:AL1"/>
    <mergeCell ref="X1:AE1"/>
    <mergeCell ref="B1:K1"/>
    <mergeCell ref="M1:V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4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0"/>
  <sheetViews>
    <sheetView showGridLines="0" zoomScale="90" zoomScaleNormal="90" workbookViewId="0">
      <selection activeCell="K19" sqref="K19"/>
    </sheetView>
  </sheetViews>
  <sheetFormatPr baseColWidth="10" defaultRowHeight="14"/>
  <cols>
    <col min="1" max="1" width="10.6640625" customWidth="1"/>
    <col min="2" max="2" width="13.58203125" bestFit="1" customWidth="1"/>
    <col min="3" max="10" width="7.1640625" bestFit="1" customWidth="1"/>
    <col min="11" max="11" width="6.6640625" customWidth="1"/>
    <col min="12" max="12" width="5.33203125" bestFit="1" customWidth="1"/>
    <col min="13" max="13" width="5.6640625" bestFit="1" customWidth="1"/>
    <col min="14" max="14" width="13.58203125" bestFit="1" customWidth="1"/>
    <col min="15" max="23" width="8.08203125" bestFit="1" customWidth="1"/>
  </cols>
  <sheetData>
    <row r="1" spans="2:23" ht="22.5">
      <c r="B1" s="91" t="s">
        <v>39</v>
      </c>
      <c r="C1" s="91"/>
      <c r="D1" s="91"/>
      <c r="E1" s="91"/>
      <c r="F1" s="91"/>
      <c r="G1" s="91"/>
      <c r="H1" s="91"/>
      <c r="I1" s="91"/>
      <c r="J1" s="42"/>
      <c r="K1" s="42"/>
      <c r="L1" s="18"/>
      <c r="M1" s="15"/>
    </row>
    <row r="3" spans="2:23">
      <c r="N3" s="7" t="s">
        <v>17</v>
      </c>
      <c r="O3" s="7">
        <v>45566</v>
      </c>
      <c r="P3" s="7">
        <v>45597</v>
      </c>
      <c r="Q3" s="7">
        <v>45627</v>
      </c>
      <c r="R3" s="7">
        <v>45658</v>
      </c>
      <c r="S3" s="7">
        <v>45689</v>
      </c>
      <c r="T3" s="7">
        <v>45717</v>
      </c>
      <c r="U3" s="7">
        <v>45748</v>
      </c>
      <c r="V3" s="7">
        <v>45778</v>
      </c>
      <c r="W3" s="7">
        <v>45809</v>
      </c>
    </row>
    <row r="4" spans="2:23">
      <c r="B4" s="13"/>
      <c r="C4" s="13"/>
      <c r="D4" s="13"/>
      <c r="E4" s="13"/>
      <c r="N4" s="7" t="s">
        <v>29</v>
      </c>
      <c r="O4" s="6">
        <v>21228.068695652175</v>
      </c>
      <c r="P4" s="6">
        <v>17536.740000000002</v>
      </c>
      <c r="Q4" s="6">
        <v>19509.198</v>
      </c>
      <c r="R4" s="6">
        <v>14424.775</v>
      </c>
      <c r="S4" s="6">
        <v>14999.9</v>
      </c>
      <c r="T4" s="6">
        <v>21852</v>
      </c>
      <c r="U4" s="6">
        <v>16091</v>
      </c>
      <c r="V4" s="6">
        <f>14015923/1000</f>
        <v>14015.923000000001</v>
      </c>
      <c r="W4" s="6">
        <f>17355500/1000</f>
        <v>17355.5</v>
      </c>
    </row>
    <row r="5" spans="2:23">
      <c r="N5" s="7" t="s">
        <v>11</v>
      </c>
      <c r="O5" s="14">
        <f t="shared" ref="O5:U7" si="0">C18/O$4</f>
        <v>7.6832236760853004E-2</v>
      </c>
      <c r="P5" s="14">
        <f t="shared" si="0"/>
        <v>0.13155238658952575</v>
      </c>
      <c r="Q5" s="14">
        <f t="shared" si="0"/>
        <v>0.10738524464204013</v>
      </c>
      <c r="R5" s="14">
        <f t="shared" si="0"/>
        <v>0.19556630865992711</v>
      </c>
      <c r="S5" s="14">
        <f t="shared" si="0"/>
        <v>0.14306762045080301</v>
      </c>
      <c r="T5" s="14">
        <f t="shared" si="0"/>
        <v>0.10873146622734761</v>
      </c>
      <c r="U5" s="14">
        <f t="shared" si="0"/>
        <v>0.1480952085016469</v>
      </c>
      <c r="V5" s="14">
        <f t="shared" ref="V5:W7" si="1">J18/V$4</f>
        <v>0.15382504598519839</v>
      </c>
      <c r="W5" s="14">
        <f t="shared" si="1"/>
        <v>0.12128720002304745</v>
      </c>
    </row>
    <row r="6" spans="2:23">
      <c r="N6" s="7" t="s">
        <v>10</v>
      </c>
      <c r="O6" s="14">
        <f t="shared" si="0"/>
        <v>0.16963389612252094</v>
      </c>
      <c r="P6" s="14">
        <f t="shared" si="0"/>
        <v>0.20813446512863848</v>
      </c>
      <c r="Q6" s="14">
        <f t="shared" si="0"/>
        <v>0.1588481494728794</v>
      </c>
      <c r="R6" s="14">
        <f t="shared" si="0"/>
        <v>0.24263810007435124</v>
      </c>
      <c r="S6" s="14">
        <f t="shared" si="0"/>
        <v>0.21426809512063413</v>
      </c>
      <c r="T6" s="14">
        <f t="shared" si="0"/>
        <v>0.22524254072853744</v>
      </c>
      <c r="U6" s="14">
        <f t="shared" si="0"/>
        <v>0.28096451432477781</v>
      </c>
      <c r="V6" s="14">
        <f t="shared" si="1"/>
        <v>0.33618906154093453</v>
      </c>
      <c r="W6" s="14">
        <f t="shared" si="1"/>
        <v>0.26706231454005935</v>
      </c>
    </row>
    <row r="7" spans="2:23">
      <c r="N7" s="7" t="s">
        <v>0</v>
      </c>
      <c r="O7" s="14">
        <f t="shared" si="0"/>
        <v>7.7727278145559454E-3</v>
      </c>
      <c r="P7" s="14">
        <f t="shared" si="0"/>
        <v>0</v>
      </c>
      <c r="Q7" s="14">
        <f t="shared" si="0"/>
        <v>1.1174216387572673E-2</v>
      </c>
      <c r="R7" s="14">
        <f t="shared" si="0"/>
        <v>1.344908326126404E-2</v>
      </c>
      <c r="S7" s="14">
        <f t="shared" si="0"/>
        <v>1.806678711191408E-2</v>
      </c>
      <c r="T7" s="14">
        <f t="shared" si="0"/>
        <v>9.8846787479406912E-3</v>
      </c>
      <c r="U7" s="14">
        <f t="shared" si="0"/>
        <v>2.0197626002112983E-2</v>
      </c>
      <c r="V7" s="14">
        <f t="shared" si="1"/>
        <v>2.069075293863986E-2</v>
      </c>
      <c r="W7" s="14">
        <f t="shared" si="1"/>
        <v>1.1005156866699317E-2</v>
      </c>
    </row>
    <row r="10" spans="2:23">
      <c r="F10" s="13"/>
      <c r="S10" s="13"/>
    </row>
    <row r="11" spans="2:23">
      <c r="F11" s="13"/>
    </row>
    <row r="17" spans="2:14">
      <c r="B17" s="16" t="s">
        <v>17</v>
      </c>
      <c r="C17" s="16">
        <v>45566</v>
      </c>
      <c r="D17" s="16">
        <v>45597</v>
      </c>
      <c r="E17" s="16">
        <v>45627</v>
      </c>
      <c r="F17" s="16">
        <v>45658</v>
      </c>
      <c r="G17" s="16">
        <v>45689</v>
      </c>
      <c r="H17" s="16">
        <v>45717</v>
      </c>
      <c r="I17" s="16">
        <v>45748</v>
      </c>
      <c r="J17" s="16">
        <v>45778</v>
      </c>
      <c r="K17" s="16">
        <v>45809</v>
      </c>
    </row>
    <row r="18" spans="2:14">
      <c r="B18" s="16" t="s">
        <v>11</v>
      </c>
      <c r="C18" s="17">
        <v>1631</v>
      </c>
      <c r="D18" s="17">
        <v>2307</v>
      </c>
      <c r="E18" s="17">
        <v>2095</v>
      </c>
      <c r="F18" s="17">
        <v>2821</v>
      </c>
      <c r="G18" s="17">
        <v>2146</v>
      </c>
      <c r="H18" s="17">
        <v>2376</v>
      </c>
      <c r="I18" s="17">
        <v>2383</v>
      </c>
      <c r="J18" s="17">
        <v>2156</v>
      </c>
      <c r="K18" s="17">
        <v>2105</v>
      </c>
    </row>
    <row r="19" spans="2:14">
      <c r="B19" s="16" t="s">
        <v>10</v>
      </c>
      <c r="C19" s="17">
        <v>3601</v>
      </c>
      <c r="D19" s="17">
        <v>3650</v>
      </c>
      <c r="E19" s="17">
        <v>3099</v>
      </c>
      <c r="F19" s="17">
        <v>3500</v>
      </c>
      <c r="G19" s="17">
        <v>3214</v>
      </c>
      <c r="H19" s="17">
        <v>4922</v>
      </c>
      <c r="I19" s="17">
        <v>4521</v>
      </c>
      <c r="J19" s="17">
        <v>4712</v>
      </c>
      <c r="K19" s="17">
        <v>4635</v>
      </c>
      <c r="N19" s="34"/>
    </row>
    <row r="20" spans="2:14">
      <c r="B20" s="16" t="s">
        <v>0</v>
      </c>
      <c r="C20" s="17">
        <v>165</v>
      </c>
      <c r="D20" s="17">
        <v>0</v>
      </c>
      <c r="E20" s="17">
        <v>218</v>
      </c>
      <c r="F20" s="17">
        <v>194</v>
      </c>
      <c r="G20" s="17">
        <v>271</v>
      </c>
      <c r="H20" s="17">
        <v>216</v>
      </c>
      <c r="I20" s="17">
        <v>325</v>
      </c>
      <c r="J20" s="17">
        <v>290</v>
      </c>
      <c r="K20" s="17">
        <v>191</v>
      </c>
    </row>
  </sheetData>
  <mergeCells count="1">
    <mergeCell ref="B1:I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Sueldos febrero</vt:lpstr>
      <vt:lpstr>Sueldos 03-2025</vt:lpstr>
      <vt:lpstr>Sueldos 04-2025</vt:lpstr>
      <vt:lpstr>Sueldos 05-2025</vt:lpstr>
      <vt:lpstr>Sueldos 06-2025</vt:lpstr>
      <vt:lpstr>Base</vt:lpstr>
      <vt:lpstr>Tabla</vt:lpstr>
      <vt:lpstr>LUCERO</vt:lpstr>
      <vt:lpstr>LUCERO-SAN TELMO</vt:lpstr>
      <vt:lpstr>LUCERO-SAN TELMO (A)</vt:lpstr>
      <vt:lpstr>LUCERO-CENTRO</vt:lpstr>
      <vt:lpstr>LUCERO-CENTRO (A)</vt:lpstr>
      <vt:lpstr>AS-SAN TELMO</vt:lpstr>
      <vt:lpstr>'AS-SAN TELMO'!Área_de_impresión</vt:lpstr>
      <vt:lpstr>LUCERO!Área_de_impresión</vt:lpstr>
      <vt:lpstr>'LUCERO-CENTRO'!Área_de_impresión</vt:lpstr>
      <vt:lpstr>'LUCERO-SAN TELMO'!Área_de_impresión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PC</cp:lastModifiedBy>
  <cp:lastPrinted>2025-07-03T13:09:44Z</cp:lastPrinted>
  <dcterms:created xsi:type="dcterms:W3CDTF">2025-03-11T13:50:14Z</dcterms:created>
  <dcterms:modified xsi:type="dcterms:W3CDTF">2025-07-24T17:49:41Z</dcterms:modified>
</cp:coreProperties>
</file>