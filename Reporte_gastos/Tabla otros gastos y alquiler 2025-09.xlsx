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ocuments\"/>
    </mc:Choice>
  </mc:AlternateContent>
  <bookViews>
    <workbookView xWindow="0" yWindow="0" windowWidth="19200" windowHeight="69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9" i="1" l="1"/>
  <c r="K9" i="1"/>
  <c r="N8" i="1"/>
  <c r="K8" i="1"/>
  <c r="N7" i="1"/>
  <c r="K7" i="1"/>
  <c r="N6" i="1"/>
  <c r="K6" i="1"/>
  <c r="N5" i="1"/>
  <c r="K5" i="1"/>
  <c r="N4" i="1"/>
  <c r="K4" i="1"/>
  <c r="N3" i="1"/>
  <c r="K3" i="1"/>
</calcChain>
</file>

<file path=xl/sharedStrings.xml><?xml version="1.0" encoding="utf-8"?>
<sst xmlns="http://schemas.openxmlformats.org/spreadsheetml/2006/main" count="22" uniqueCount="22">
  <si>
    <t>-sep-25</t>
  </si>
  <si>
    <t>TIENDA</t>
  </si>
  <si>
    <t>ABL</t>
  </si>
  <si>
    <t>ALARMA</t>
  </si>
  <si>
    <t>AYSA</t>
  </si>
  <si>
    <t>EDESUR</t>
  </si>
  <si>
    <t>FUMIGACION</t>
  </si>
  <si>
    <t>INTERNET</t>
  </si>
  <si>
    <t>MANTENIMIENTO</t>
  </si>
  <si>
    <t>MATAFUEGO</t>
  </si>
  <si>
    <t>SERVICIOS</t>
  </si>
  <si>
    <t>TOTAL OTROS GASTOS</t>
  </si>
  <si>
    <t>ALQUILER</t>
  </si>
  <si>
    <t>EXPENSAS</t>
  </si>
  <si>
    <t>TOTAL ALQUILER+EXPENSAS</t>
  </si>
  <si>
    <t>COM AS SAN TELMO</t>
  </si>
  <si>
    <t>COM FLORIDA</t>
  </si>
  <si>
    <t>COM LUCERO FRENCH</t>
  </si>
  <si>
    <t>COM LUCERO GUEMES</t>
  </si>
  <si>
    <t>COM LUCERO RECOLETA</t>
  </si>
  <si>
    <t>COM LUCERO ST</t>
  </si>
  <si>
    <t>COM LUCERO ST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</si>
</sst>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$&quot;\ * #,##0.00_-;\-&quot;$&quot;\ * #,##0.00_-;_-&quot;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0" fillId="0" borderId="1" xfId="0" applyBorder="1"/>
    <xf numFmtId="44" fontId="0" fillId="0" borderId="1" xfId="1" applyFont="1" applyBorder="1"/>
    <xf numFmtId="44" fontId="2" fillId="0" borderId="1" xfId="1" applyFont="1" applyBorder="1"/>
    <xf numFmtId="44" fontId="2" fillId="0" borderId="1" xfId="0" applyNumberFormat="1" applyFont="1" applyBorder="1"/>
    <xf numFmtId="44" fontId="0" fillId="0" borderId="1" xfId="1" applyFont="1" applyFill="1" applyBorder="1"/>
    <xf numFmtId="0" fontId="2" fillId="2" borderId="1" xfId="0" applyFont="1" applyFill="1" applyBorder="1" applyAlignment="1">
      <alignment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"/>
  <sheetViews>
    <sheetView tabSelected="1" workbookViewId="0">
      <selection activeCell="A8" sqref="A8"/>
    </sheetView>
  </sheetViews>
  <sheetFormatPr baseColWidth="10" defaultRowHeight="14.5" x14ac:dyDescent="0.35"/>
  <cols>
    <col min="1" max="1" width="21.26953125" bestFit="1" customWidth="1"/>
    <col min="2" max="2" width="12.54296875" bestFit="1" customWidth="1"/>
    <col min="3" max="3" width="11.54296875" bestFit="1" customWidth="1"/>
    <col min="4" max="5" width="12.54296875" bestFit="1" customWidth="1"/>
    <col min="6" max="6" width="14.1796875" customWidth="1"/>
    <col min="7" max="7" width="12.54296875" bestFit="1" customWidth="1"/>
    <col min="8" max="8" width="18.6328125" customWidth="1"/>
    <col min="9" max="10" width="11.54296875" bestFit="1" customWidth="1"/>
    <col min="11" max="11" width="14.1796875" bestFit="1" customWidth="1"/>
    <col min="12" max="13" width="14.08984375" bestFit="1" customWidth="1"/>
    <col min="14" max="14" width="21" customWidth="1"/>
  </cols>
  <sheetData>
    <row r="1" spans="1:14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29" x14ac:dyDescent="0.35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7" t="s">
        <v>14</v>
      </c>
    </row>
    <row r="3" spans="1:14" x14ac:dyDescent="0.35">
      <c r="A3" s="2" t="s">
        <v>15</v>
      </c>
      <c r="B3" s="3"/>
      <c r="C3" s="3">
        <v>20000</v>
      </c>
      <c r="D3" s="3"/>
      <c r="E3" s="3">
        <v>41319.39</v>
      </c>
      <c r="F3" s="3">
        <v>32044</v>
      </c>
      <c r="G3" s="3">
        <v>95612</v>
      </c>
      <c r="H3" s="3">
        <v>1798723.03</v>
      </c>
      <c r="I3" s="3">
        <v>50705</v>
      </c>
      <c r="J3" s="3">
        <v>0</v>
      </c>
      <c r="K3" s="4">
        <f>SUM(B3:J3)</f>
        <v>2038403.42</v>
      </c>
      <c r="L3" s="3">
        <v>1091639.7</v>
      </c>
      <c r="M3" s="3">
        <v>1062641.6000000001</v>
      </c>
      <c r="N3" s="5">
        <f>L3+M3</f>
        <v>2154281.2999999998</v>
      </c>
    </row>
    <row r="4" spans="1:14" x14ac:dyDescent="0.35">
      <c r="A4" s="2" t="s">
        <v>16</v>
      </c>
      <c r="B4" s="6">
        <v>549364.85</v>
      </c>
      <c r="C4" s="3">
        <v>40000</v>
      </c>
      <c r="D4" s="3">
        <v>409234.95</v>
      </c>
      <c r="E4" s="3">
        <v>586553.36</v>
      </c>
      <c r="F4" s="3">
        <v>39909</v>
      </c>
      <c r="G4" s="3">
        <v>148427</v>
      </c>
      <c r="H4" s="3"/>
      <c r="I4" s="3">
        <v>0</v>
      </c>
      <c r="J4" s="3"/>
      <c r="K4" s="4">
        <f t="shared" ref="K4:K9" si="0">SUM(B4:J4)</f>
        <v>1773489.1600000001</v>
      </c>
      <c r="L4" s="3">
        <v>7000000</v>
      </c>
      <c r="M4" s="3">
        <v>300440.5</v>
      </c>
      <c r="N4" s="5">
        <f t="shared" ref="N4:N9" si="1">L4+M4</f>
        <v>7300440.5</v>
      </c>
    </row>
    <row r="5" spans="1:14" x14ac:dyDescent="0.35">
      <c r="A5" s="2" t="s">
        <v>17</v>
      </c>
      <c r="B5" s="3"/>
      <c r="C5" s="3">
        <v>40000</v>
      </c>
      <c r="D5" s="3"/>
      <c r="E5" s="3">
        <v>152149.85</v>
      </c>
      <c r="F5" s="3">
        <v>32044</v>
      </c>
      <c r="G5" s="3">
        <v>105150</v>
      </c>
      <c r="H5" s="3"/>
      <c r="I5" s="3"/>
      <c r="J5" s="3">
        <v>90000</v>
      </c>
      <c r="K5" s="4">
        <f t="shared" si="0"/>
        <v>419343.85</v>
      </c>
      <c r="L5" s="3">
        <v>703000</v>
      </c>
      <c r="M5" s="3">
        <v>220840</v>
      </c>
      <c r="N5" s="5">
        <f t="shared" si="1"/>
        <v>923840</v>
      </c>
    </row>
    <row r="6" spans="1:14" x14ac:dyDescent="0.35">
      <c r="A6" s="2" t="s">
        <v>18</v>
      </c>
      <c r="B6" s="3"/>
      <c r="C6" s="3">
        <v>40000</v>
      </c>
      <c r="D6" s="3"/>
      <c r="E6" s="3"/>
      <c r="F6" s="3">
        <v>32044</v>
      </c>
      <c r="G6" s="3">
        <v>36375</v>
      </c>
      <c r="H6" s="3"/>
      <c r="I6" s="3">
        <v>50705</v>
      </c>
      <c r="J6" s="3">
        <v>0</v>
      </c>
      <c r="K6" s="4">
        <f t="shared" si="0"/>
        <v>159124</v>
      </c>
      <c r="L6" s="3">
        <v>599275.1</v>
      </c>
      <c r="M6" s="3">
        <v>338831.14</v>
      </c>
      <c r="N6" s="5">
        <f t="shared" si="1"/>
        <v>938106.24</v>
      </c>
    </row>
    <row r="7" spans="1:14" x14ac:dyDescent="0.35">
      <c r="A7" s="2" t="s">
        <v>19</v>
      </c>
      <c r="B7" s="3"/>
      <c r="C7" s="3">
        <v>40000</v>
      </c>
      <c r="D7" s="3"/>
      <c r="E7" s="3">
        <v>78366</v>
      </c>
      <c r="F7" s="3">
        <v>32044</v>
      </c>
      <c r="G7" s="3">
        <v>59264.47</v>
      </c>
      <c r="H7" s="3"/>
      <c r="I7" s="3">
        <v>0</v>
      </c>
      <c r="J7" s="3">
        <v>0</v>
      </c>
      <c r="K7" s="4">
        <f t="shared" si="0"/>
        <v>209674.47</v>
      </c>
      <c r="L7" s="3">
        <v>1448355.71</v>
      </c>
      <c r="M7" s="3">
        <v>1948016.5</v>
      </c>
      <c r="N7" s="5">
        <f t="shared" si="1"/>
        <v>3396372.21</v>
      </c>
    </row>
    <row r="8" spans="1:14" x14ac:dyDescent="0.35">
      <c r="A8" s="2" t="s">
        <v>20</v>
      </c>
      <c r="B8" s="3"/>
      <c r="C8" s="3">
        <v>40000</v>
      </c>
      <c r="D8" s="3"/>
      <c r="E8" s="3">
        <v>78066.63</v>
      </c>
      <c r="F8" s="3">
        <v>32044</v>
      </c>
      <c r="G8" s="3"/>
      <c r="H8" s="3"/>
      <c r="I8" s="3">
        <v>50705</v>
      </c>
      <c r="J8" s="3">
        <v>0</v>
      </c>
      <c r="K8" s="4">
        <f t="shared" si="0"/>
        <v>200815.63</v>
      </c>
      <c r="L8" s="3">
        <v>2250334.64</v>
      </c>
      <c r="M8" s="3">
        <v>531320.80000000005</v>
      </c>
      <c r="N8" s="5">
        <f t="shared" si="1"/>
        <v>2781655.4400000004</v>
      </c>
    </row>
    <row r="9" spans="1:14" x14ac:dyDescent="0.35">
      <c r="A9" s="2" t="s">
        <v>21</v>
      </c>
      <c r="B9" s="3"/>
      <c r="C9" s="3">
        <v>20000</v>
      </c>
      <c r="D9" s="3"/>
      <c r="E9" s="3">
        <v>137085.62</v>
      </c>
      <c r="F9" s="3">
        <v>32044</v>
      </c>
      <c r="G9" s="3"/>
      <c r="H9" s="3"/>
      <c r="I9" s="3"/>
      <c r="J9" s="3">
        <v>0</v>
      </c>
      <c r="K9" s="4">
        <f t="shared" si="0"/>
        <v>189129.62</v>
      </c>
      <c r="L9" s="3">
        <v>900710.7</v>
      </c>
      <c r="M9" s="3">
        <v>531320.80000000005</v>
      </c>
      <c r="N9" s="5">
        <f t="shared" si="1"/>
        <v>1432031.5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2025-10-01T17:58:04Z</dcterms:created>
  <dcterms:modified xsi:type="dcterms:W3CDTF">2025-10-01T17:59:07Z</dcterms:modified>
</cp:coreProperties>
</file>