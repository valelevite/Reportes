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9200" windowHeight="6930"/>
  </bookViews>
  <sheets>
    <sheet name="Sueldos 03-2025" sheetId="1" r:id="rId1"/>
    <sheet name="Gastos 03-2025" sheetId="2" r:id="rId2"/>
    <sheet name="Sueldos 04-2025" sheetId="3" r:id="rId3"/>
  </sheets>
  <calcPr calcId="162913"/>
</workbook>
</file>

<file path=xl/calcChain.xml><?xml version="1.0" encoding="utf-8"?>
<calcChain xmlns="http://schemas.openxmlformats.org/spreadsheetml/2006/main">
  <c r="C40" i="3" l="1"/>
  <c r="B37" i="3"/>
  <c r="F35" i="3"/>
  <c r="K31" i="3"/>
  <c r="C31" i="3"/>
  <c r="G30" i="3"/>
  <c r="K29" i="3"/>
  <c r="C29" i="3"/>
  <c r="G28" i="3"/>
  <c r="J27" i="3"/>
  <c r="A27" i="3"/>
  <c r="D26" i="3"/>
  <c r="H25" i="3"/>
  <c r="L24" i="3"/>
  <c r="D24" i="3"/>
  <c r="H23" i="3"/>
  <c r="L22" i="3"/>
  <c r="D22" i="3"/>
  <c r="H21" i="3"/>
  <c r="L20" i="3"/>
  <c r="C20" i="3"/>
  <c r="G19" i="3"/>
  <c r="K18" i="3"/>
  <c r="C18" i="3"/>
  <c r="G17" i="3"/>
  <c r="K16" i="3"/>
  <c r="C16" i="3"/>
  <c r="G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E3" i="3"/>
  <c r="I2" i="3"/>
  <c r="M1" i="3"/>
  <c r="E1" i="3"/>
  <c r="I38" i="1"/>
  <c r="I37" i="1"/>
  <c r="I36" i="1"/>
  <c r="E32" i="1"/>
  <c r="I31" i="1"/>
  <c r="A31" i="1"/>
  <c r="E30" i="1"/>
  <c r="H29" i="1"/>
  <c r="L28" i="1"/>
  <c r="D28" i="1"/>
  <c r="G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B40" i="3"/>
  <c r="A37" i="3"/>
  <c r="E35" i="3"/>
  <c r="J31" i="3"/>
  <c r="B31" i="3"/>
  <c r="F30" i="3"/>
  <c r="J29" i="3"/>
  <c r="B29" i="3"/>
  <c r="E28" i="3"/>
  <c r="I27" i="3"/>
  <c r="L26" i="3"/>
  <c r="C26" i="3"/>
  <c r="G25" i="3"/>
  <c r="K24" i="3"/>
  <c r="C24" i="3"/>
  <c r="G23" i="3"/>
  <c r="K22" i="3"/>
  <c r="C22" i="3"/>
  <c r="G21" i="3"/>
  <c r="K20" i="3"/>
  <c r="B20" i="3"/>
  <c r="F19" i="3"/>
  <c r="J18" i="3"/>
  <c r="B18" i="3"/>
  <c r="F17" i="3"/>
  <c r="J16" i="3"/>
  <c r="B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D3" i="3"/>
  <c r="H2" i="3"/>
  <c r="L1" i="3"/>
  <c r="D1" i="3"/>
  <c r="E38" i="1"/>
  <c r="E37" i="1"/>
  <c r="D36" i="1"/>
  <c r="D32" i="1"/>
  <c r="H31" i="1"/>
  <c r="L30" i="1"/>
  <c r="D30" i="1"/>
  <c r="G29" i="1"/>
  <c r="K28" i="1"/>
  <c r="C28" i="1"/>
  <c r="F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L3" i="1"/>
  <c r="B3" i="1"/>
  <c r="D2" i="1"/>
  <c r="I1" i="1"/>
  <c r="A1" i="1"/>
  <c r="G31" i="1"/>
  <c r="C25" i="1"/>
  <c r="K21" i="1"/>
  <c r="C19" i="1"/>
  <c r="K17" i="1"/>
  <c r="K15" i="1"/>
  <c r="G14" i="1"/>
  <c r="C13" i="1"/>
  <c r="K11" i="1"/>
  <c r="G10" i="1"/>
  <c r="C9" i="1"/>
  <c r="G8" i="1"/>
  <c r="C7" i="1"/>
  <c r="K5" i="1"/>
  <c r="G4" i="1"/>
  <c r="A3" i="1"/>
  <c r="C2" i="1"/>
  <c r="B13" i="1"/>
  <c r="J11" i="1"/>
  <c r="B11" i="1"/>
  <c r="F10" i="1"/>
  <c r="B9" i="1"/>
  <c r="F8" i="1"/>
  <c r="B7" i="1"/>
  <c r="J5" i="1"/>
  <c r="F4" i="1"/>
  <c r="L2" i="1"/>
  <c r="G1" i="1"/>
  <c r="C39" i="3"/>
  <c r="F36" i="3"/>
  <c r="D35" i="3"/>
  <c r="I31" i="3"/>
  <c r="A31" i="3"/>
  <c r="E30" i="3"/>
  <c r="I29" i="3"/>
  <c r="A29" i="3"/>
  <c r="D28" i="3"/>
  <c r="H27" i="3"/>
  <c r="K26" i="3"/>
  <c r="B26" i="3"/>
  <c r="F25" i="3"/>
  <c r="J24" i="3"/>
  <c r="B24" i="3"/>
  <c r="F23" i="3"/>
  <c r="J22" i="3"/>
  <c r="B22" i="3"/>
  <c r="F21" i="3"/>
  <c r="J20" i="3"/>
  <c r="A20" i="3"/>
  <c r="E19" i="3"/>
  <c r="I18" i="3"/>
  <c r="A18" i="3"/>
  <c r="E17" i="3"/>
  <c r="I16" i="3"/>
  <c r="A16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3" i="3"/>
  <c r="C3" i="3"/>
  <c r="G2" i="3"/>
  <c r="K1" i="3"/>
  <c r="C1" i="3"/>
  <c r="D38" i="1"/>
  <c r="D37" i="1"/>
  <c r="M32" i="1"/>
  <c r="C32" i="1"/>
  <c r="K30" i="1"/>
  <c r="C30" i="1"/>
  <c r="F29" i="1"/>
  <c r="J28" i="1"/>
  <c r="B28" i="1"/>
  <c r="E27" i="1"/>
  <c r="G26" i="1"/>
  <c r="K25" i="1"/>
  <c r="G24" i="1"/>
  <c r="K23" i="1"/>
  <c r="C23" i="1"/>
  <c r="G22" i="1"/>
  <c r="C21" i="1"/>
  <c r="G20" i="1"/>
  <c r="K19" i="1"/>
  <c r="G18" i="1"/>
  <c r="C17" i="1"/>
  <c r="G16" i="1"/>
  <c r="C15" i="1"/>
  <c r="K13" i="1"/>
  <c r="G12" i="1"/>
  <c r="C11" i="1"/>
  <c r="K9" i="1"/>
  <c r="K7" i="1"/>
  <c r="G6" i="1"/>
  <c r="C5" i="1"/>
  <c r="K3" i="1"/>
  <c r="H1" i="1"/>
  <c r="F12" i="1"/>
  <c r="J9" i="1"/>
  <c r="J7" i="1"/>
  <c r="F6" i="1"/>
  <c r="B5" i="1"/>
  <c r="J3" i="1"/>
  <c r="B2" i="1"/>
  <c r="B39" i="3"/>
  <c r="E36" i="3"/>
  <c r="C35" i="3"/>
  <c r="H31" i="3"/>
  <c r="L30" i="3"/>
  <c r="D30" i="3"/>
  <c r="H29" i="3"/>
  <c r="L28" i="3"/>
  <c r="C28" i="3"/>
  <c r="G27" i="3"/>
  <c r="J26" i="3"/>
  <c r="A26" i="3"/>
  <c r="E25" i="3"/>
  <c r="I24" i="3"/>
  <c r="A24" i="3"/>
  <c r="E23" i="3"/>
  <c r="I22" i="3"/>
  <c r="A22" i="3"/>
  <c r="E21" i="3"/>
  <c r="I20" i="3"/>
  <c r="L19" i="3"/>
  <c r="D19" i="3"/>
  <c r="H18" i="3"/>
  <c r="L17" i="3"/>
  <c r="D17" i="3"/>
  <c r="H16" i="3"/>
  <c r="L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3" i="3"/>
  <c r="B3" i="3"/>
  <c r="E2" i="3"/>
  <c r="J1" i="3"/>
  <c r="B1" i="3"/>
  <c r="B38" i="1"/>
  <c r="B37" i="1"/>
  <c r="L32" i="1"/>
  <c r="B32" i="1"/>
  <c r="F31" i="1"/>
  <c r="J30" i="1"/>
  <c r="B30" i="1"/>
  <c r="E29" i="1"/>
  <c r="I28" i="1"/>
  <c r="A28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F37" i="3"/>
  <c r="E37" i="3"/>
  <c r="D37" i="3"/>
  <c r="B36" i="3"/>
  <c r="A32" i="3"/>
  <c r="E31" i="3"/>
  <c r="I30" i="3"/>
  <c r="A30" i="3"/>
  <c r="E29" i="3"/>
  <c r="I28" i="3"/>
  <c r="L27" i="3"/>
  <c r="C37" i="3"/>
  <c r="F31" i="3"/>
  <c r="G29" i="3"/>
  <c r="K27" i="3"/>
  <c r="E26" i="3"/>
  <c r="A25" i="3"/>
  <c r="I23" i="3"/>
  <c r="E22" i="3"/>
  <c r="A21" i="3"/>
  <c r="H19" i="3"/>
  <c r="D18" i="3"/>
  <c r="L16" i="3"/>
  <c r="H15" i="3"/>
  <c r="C14" i="3"/>
  <c r="K12" i="3"/>
  <c r="G11" i="3"/>
  <c r="C10" i="3"/>
  <c r="K8" i="3"/>
  <c r="G7" i="3"/>
  <c r="C6" i="3"/>
  <c r="K4" i="3"/>
  <c r="G3" i="3"/>
  <c r="A2" i="3"/>
  <c r="J38" i="1"/>
  <c r="J36" i="1"/>
  <c r="J31" i="1"/>
  <c r="F30" i="1"/>
  <c r="A29" i="1"/>
  <c r="H27" i="1"/>
  <c r="B26" i="1"/>
  <c r="J24" i="1"/>
  <c r="F23" i="1"/>
  <c r="B22" i="1"/>
  <c r="J20" i="1"/>
  <c r="F19" i="1"/>
  <c r="B18" i="1"/>
  <c r="J16" i="1"/>
  <c r="F15" i="1"/>
  <c r="B14" i="1"/>
  <c r="J12" i="1"/>
  <c r="F11" i="1"/>
  <c r="B10" i="1"/>
  <c r="J8" i="1"/>
  <c r="G7" i="1"/>
  <c r="E6" i="1"/>
  <c r="F5" i="1"/>
  <c r="D4" i="1"/>
  <c r="C3" i="1"/>
  <c r="L1" i="1"/>
  <c r="G9" i="1"/>
  <c r="B6" i="1"/>
  <c r="F1" i="1"/>
  <c r="L6" i="1"/>
  <c r="I26" i="3"/>
  <c r="L23" i="3"/>
  <c r="C17" i="3"/>
  <c r="F10" i="3"/>
  <c r="J3" i="3"/>
  <c r="I30" i="1"/>
  <c r="E22" i="1"/>
  <c r="E14" i="1"/>
  <c r="A8" i="1"/>
  <c r="D1" i="1"/>
  <c r="C25" i="3"/>
  <c r="F18" i="3"/>
  <c r="I11" i="3"/>
  <c r="I3" i="3"/>
  <c r="H30" i="1"/>
  <c r="H23" i="1"/>
  <c r="H15" i="1"/>
  <c r="J6" i="1"/>
  <c r="A28" i="3"/>
  <c r="E18" i="3"/>
  <c r="L8" i="3"/>
  <c r="K38" i="1"/>
  <c r="C26" i="1"/>
  <c r="G19" i="1"/>
  <c r="K16" i="1"/>
  <c r="G11" i="1"/>
  <c r="D3" i="1"/>
  <c r="D36" i="3"/>
  <c r="D31" i="3"/>
  <c r="F29" i="3"/>
  <c r="E27" i="3"/>
  <c r="L25" i="3"/>
  <c r="H24" i="3"/>
  <c r="D23" i="3"/>
  <c r="L21" i="3"/>
  <c r="H20" i="3"/>
  <c r="C19" i="3"/>
  <c r="K17" i="3"/>
  <c r="G16" i="3"/>
  <c r="B15" i="3"/>
  <c r="J13" i="3"/>
  <c r="F12" i="3"/>
  <c r="B11" i="3"/>
  <c r="J9" i="3"/>
  <c r="F8" i="3"/>
  <c r="B7" i="3"/>
  <c r="J5" i="3"/>
  <c r="F4" i="3"/>
  <c r="A3" i="3"/>
  <c r="I1" i="3"/>
  <c r="A38" i="1"/>
  <c r="K32" i="1"/>
  <c r="E31" i="1"/>
  <c r="A30" i="1"/>
  <c r="H28" i="1"/>
  <c r="A27" i="1"/>
  <c r="I25" i="1"/>
  <c r="E24" i="1"/>
  <c r="A23" i="1"/>
  <c r="I21" i="1"/>
  <c r="E20" i="1"/>
  <c r="A19" i="1"/>
  <c r="I17" i="1"/>
  <c r="E16" i="1"/>
  <c r="A15" i="1"/>
  <c r="I13" i="1"/>
  <c r="E12" i="1"/>
  <c r="A11" i="1"/>
  <c r="I9" i="1"/>
  <c r="E8" i="1"/>
  <c r="F7" i="1"/>
  <c r="D6" i="1"/>
  <c r="E5" i="1"/>
  <c r="C4" i="1"/>
  <c r="K2" i="1"/>
  <c r="K1" i="1"/>
  <c r="K10" i="1"/>
  <c r="L4" i="1"/>
  <c r="B8" i="1"/>
  <c r="F2" i="1"/>
  <c r="H28" i="3"/>
  <c r="H22" i="3"/>
  <c r="K15" i="3"/>
  <c r="B13" i="3"/>
  <c r="F6" i="3"/>
  <c r="A1" i="3"/>
  <c r="M27" i="1"/>
  <c r="I19" i="1"/>
  <c r="I11" i="1"/>
  <c r="J4" i="1"/>
  <c r="H26" i="3"/>
  <c r="J15" i="3"/>
  <c r="I7" i="3"/>
  <c r="L31" i="1"/>
  <c r="L20" i="1"/>
  <c r="I7" i="1"/>
  <c r="A2" i="1"/>
  <c r="B25" i="3"/>
  <c r="F22" i="3"/>
  <c r="I15" i="3"/>
  <c r="D10" i="3"/>
  <c r="D6" i="3"/>
  <c r="B2" i="3"/>
  <c r="G30" i="1"/>
  <c r="K27" i="1"/>
  <c r="G23" i="1"/>
  <c r="C18" i="1"/>
  <c r="C10" i="1"/>
  <c r="I6" i="1"/>
  <c r="C36" i="3"/>
  <c r="K30" i="3"/>
  <c r="D29" i="3"/>
  <c r="D27" i="3"/>
  <c r="K25" i="3"/>
  <c r="G24" i="3"/>
  <c r="C23" i="3"/>
  <c r="K21" i="3"/>
  <c r="G20" i="3"/>
  <c r="B19" i="3"/>
  <c r="J17" i="3"/>
  <c r="F16" i="3"/>
  <c r="A15" i="3"/>
  <c r="I13" i="3"/>
  <c r="E12" i="3"/>
  <c r="A11" i="3"/>
  <c r="I9" i="3"/>
  <c r="E8" i="3"/>
  <c r="A7" i="3"/>
  <c r="I5" i="3"/>
  <c r="E4" i="3"/>
  <c r="L2" i="3"/>
  <c r="H1" i="3"/>
  <c r="L37" i="1"/>
  <c r="H32" i="1"/>
  <c r="D31" i="1"/>
  <c r="M29" i="1"/>
  <c r="G28" i="1"/>
  <c r="L26" i="1"/>
  <c r="H25" i="1"/>
  <c r="D24" i="1"/>
  <c r="L22" i="1"/>
  <c r="H21" i="1"/>
  <c r="D20" i="1"/>
  <c r="L18" i="1"/>
  <c r="H17" i="1"/>
  <c r="D16" i="1"/>
  <c r="L14" i="1"/>
  <c r="H13" i="1"/>
  <c r="D12" i="1"/>
  <c r="L10" i="1"/>
  <c r="H9" i="1"/>
  <c r="D8" i="1"/>
  <c r="E7" i="1"/>
  <c r="C6" i="1"/>
  <c r="A5" i="1"/>
  <c r="B4" i="1"/>
  <c r="J2" i="1"/>
  <c r="J1" i="1"/>
  <c r="C12" i="1"/>
  <c r="A4" i="1"/>
  <c r="K4" i="1"/>
  <c r="E1" i="1"/>
  <c r="C30" i="3"/>
  <c r="G18" i="3"/>
  <c r="J7" i="3"/>
  <c r="A37" i="1"/>
  <c r="D29" i="1"/>
  <c r="I23" i="1"/>
  <c r="A17" i="1"/>
  <c r="A9" i="1"/>
  <c r="F3" i="1"/>
  <c r="L31" i="3"/>
  <c r="G22" i="3"/>
  <c r="J19" i="3"/>
  <c r="E14" i="3"/>
  <c r="A9" i="3"/>
  <c r="A5" i="3"/>
  <c r="L36" i="1"/>
  <c r="L27" i="1"/>
  <c r="D22" i="1"/>
  <c r="L16" i="1"/>
  <c r="L12" i="1"/>
  <c r="L8" i="1"/>
  <c r="I4" i="1"/>
  <c r="L29" i="3"/>
  <c r="B21" i="3"/>
  <c r="D14" i="3"/>
  <c r="H3" i="3"/>
  <c r="K24" i="1"/>
  <c r="C14" i="1"/>
  <c r="H7" i="1"/>
  <c r="E4" i="1"/>
  <c r="A36" i="3"/>
  <c r="J30" i="3"/>
  <c r="K28" i="3"/>
  <c r="C27" i="3"/>
  <c r="J25" i="3"/>
  <c r="F24" i="3"/>
  <c r="B23" i="3"/>
  <c r="J21" i="3"/>
  <c r="E20" i="3"/>
  <c r="A19" i="3"/>
  <c r="I17" i="3"/>
  <c r="E16" i="3"/>
  <c r="L14" i="3"/>
  <c r="H13" i="3"/>
  <c r="D12" i="3"/>
  <c r="L10" i="3"/>
  <c r="H9" i="3"/>
  <c r="D8" i="3"/>
  <c r="L6" i="3"/>
  <c r="H5" i="3"/>
  <c r="D4" i="3"/>
  <c r="K2" i="3"/>
  <c r="G1" i="3"/>
  <c r="K37" i="1"/>
  <c r="G32" i="1"/>
  <c r="C31" i="1"/>
  <c r="L29" i="1"/>
  <c r="F28" i="1"/>
  <c r="K26" i="1"/>
  <c r="G25" i="1"/>
  <c r="C24" i="1"/>
  <c r="K22" i="1"/>
  <c r="G21" i="1"/>
  <c r="C20" i="1"/>
  <c r="K18" i="1"/>
  <c r="G17" i="1"/>
  <c r="C16" i="1"/>
  <c r="K14" i="1"/>
  <c r="G13" i="1"/>
  <c r="C8" i="1"/>
  <c r="A7" i="1"/>
  <c r="I2" i="1"/>
  <c r="I3" i="1"/>
  <c r="I32" i="3"/>
  <c r="D21" i="3"/>
  <c r="J11" i="3"/>
  <c r="D2" i="3"/>
  <c r="A25" i="1"/>
  <c r="E18" i="1"/>
  <c r="A13" i="1"/>
  <c r="I5" i="1"/>
  <c r="B30" i="3"/>
  <c r="K23" i="3"/>
  <c r="C21" i="3"/>
  <c r="B17" i="3"/>
  <c r="E10" i="3"/>
  <c r="E6" i="3"/>
  <c r="L38" i="1"/>
  <c r="C29" i="1"/>
  <c r="L24" i="1"/>
  <c r="H19" i="1"/>
  <c r="D14" i="1"/>
  <c r="H11" i="1"/>
  <c r="H5" i="1"/>
  <c r="C1" i="1"/>
  <c r="G31" i="3"/>
  <c r="I19" i="3"/>
  <c r="H11" i="3"/>
  <c r="L4" i="3"/>
  <c r="K36" i="1"/>
  <c r="B29" i="1"/>
  <c r="K20" i="1"/>
  <c r="G15" i="1"/>
  <c r="K8" i="1"/>
  <c r="G5" i="1"/>
  <c r="B1" i="1"/>
  <c r="A34" i="3"/>
  <c r="H30" i="3"/>
  <c r="J28" i="3"/>
  <c r="B27" i="3"/>
  <c r="I25" i="3"/>
  <c r="E24" i="3"/>
  <c r="A23" i="3"/>
  <c r="I21" i="3"/>
  <c r="D20" i="3"/>
  <c r="L18" i="3"/>
  <c r="H17" i="3"/>
  <c r="D16" i="3"/>
  <c r="K14" i="3"/>
  <c r="G13" i="3"/>
  <c r="C12" i="3"/>
  <c r="K10" i="3"/>
  <c r="G9" i="3"/>
  <c r="C8" i="3"/>
  <c r="K6" i="3"/>
  <c r="G5" i="3"/>
  <c r="C4" i="3"/>
  <c r="J2" i="3"/>
  <c r="F1" i="3"/>
  <c r="J37" i="1"/>
  <c r="F32" i="1"/>
  <c r="B31" i="1"/>
  <c r="K29" i="1"/>
  <c r="E28" i="1"/>
  <c r="J26" i="1"/>
  <c r="F25" i="1"/>
  <c r="B24" i="1"/>
  <c r="J22" i="1"/>
  <c r="F21" i="1"/>
  <c r="B20" i="1"/>
  <c r="J18" i="1"/>
  <c r="F17" i="1"/>
  <c r="B16" i="1"/>
  <c r="J14" i="1"/>
  <c r="F13" i="1"/>
  <c r="B12" i="1"/>
  <c r="J10" i="1"/>
  <c r="F9" i="1"/>
  <c r="A6" i="1"/>
  <c r="D25" i="3"/>
  <c r="K19" i="3"/>
  <c r="F14" i="3"/>
  <c r="B9" i="3"/>
  <c r="B5" i="3"/>
  <c r="A32" i="1"/>
  <c r="E26" i="1"/>
  <c r="A21" i="1"/>
  <c r="I15" i="1"/>
  <c r="E10" i="1"/>
  <c r="K6" i="1"/>
  <c r="E2" i="1"/>
  <c r="B28" i="3"/>
  <c r="A13" i="3"/>
  <c r="C2" i="3"/>
  <c r="D26" i="1"/>
  <c r="D18" i="1"/>
  <c r="D10" i="1"/>
  <c r="E3" i="1"/>
  <c r="G26" i="3"/>
  <c r="J23" i="3"/>
  <c r="A17" i="3"/>
  <c r="L12" i="3"/>
  <c r="H7" i="3"/>
  <c r="K31" i="1"/>
  <c r="C22" i="1"/>
  <c r="K12" i="1"/>
  <c r="M1" i="1"/>
</calcChain>
</file>

<file path=xl/sharedStrings.xml><?xml version="1.0" encoding="utf-8"?>
<sst xmlns="http://schemas.openxmlformats.org/spreadsheetml/2006/main" count="316" uniqueCount="168">
  <si>
    <t>TIENDA</t>
  </si>
  <si>
    <t>ITEM</t>
  </si>
  <si>
    <t>RAZON SOCIAL</t>
  </si>
  <si>
    <t>OBSERVACIONES</t>
  </si>
  <si>
    <t>IMPORTE</t>
  </si>
  <si>
    <t>IVA/OTRO</t>
  </si>
  <si>
    <t>OTRAS PERCEP.</t>
  </si>
  <si>
    <t>TOTAL</t>
  </si>
  <si>
    <t>FECHA 
 PAGO</t>
  </si>
  <si>
    <t>COM LUCERO SAN TELMO</t>
  </si>
  <si>
    <t>SEGURIDAD DENAPOLI S.R.L.</t>
  </si>
  <si>
    <t>43.676,16</t>
  </si>
  <si>
    <t>FLORIDA LUCERO (TIENDA)</t>
  </si>
  <si>
    <t>ABL</t>
  </si>
  <si>
    <t>Mageca S.A.</t>
  </si>
  <si>
    <t>ND 00002-00000052</t>
  </si>
  <si>
    <t>405.356,99</t>
  </si>
  <si>
    <t>AYSA</t>
  </si>
  <si>
    <t>388.901,91</t>
  </si>
  <si>
    <t>105.003,52</t>
  </si>
  <si>
    <t>24.461,93</t>
  </si>
  <si>
    <t>518.367,36</t>
  </si>
  <si>
    <t>EDESUR</t>
  </si>
  <si>
    <t>Edesur</t>
  </si>
  <si>
    <t>FA 0501-02178398</t>
  </si>
  <si>
    <t>136.805,33</t>
  </si>
  <si>
    <t>36.937,44</t>
  </si>
  <si>
    <t>12.836,44</t>
  </si>
  <si>
    <t>186.579,21</t>
  </si>
  <si>
    <t>FA 0501-02178642</t>
  </si>
  <si>
    <t>11.872,79</t>
  </si>
  <si>
    <t>3.205,65</t>
  </si>
  <si>
    <t>1.114,02</t>
  </si>
  <si>
    <t>16.192,46</t>
  </si>
  <si>
    <t>FA 9904-02372370</t>
  </si>
  <si>
    <t>443.794,65</t>
  </si>
  <si>
    <t>119.824,56</t>
  </si>
  <si>
    <t>43.547,26</t>
  </si>
  <si>
    <t>607.166,47</t>
  </si>
  <si>
    <t>EXPENSAS</t>
  </si>
  <si>
    <t>386.280,50</t>
  </si>
  <si>
    <t>FUMIGACION</t>
  </si>
  <si>
    <t>MANOLIO MARIANO SERGIO</t>
  </si>
  <si>
    <t>FA 00003-00000955</t>
  </si>
  <si>
    <t>29.756,00</t>
  </si>
  <si>
    <t>6.248,76</t>
  </si>
  <si>
    <t>36.004,76</t>
  </si>
  <si>
    <t>INTERNET</t>
  </si>
  <si>
    <t>Telecom Argentina sa</t>
  </si>
  <si>
    <t>FA 4264-04971072</t>
  </si>
  <si>
    <t>115.950,00</t>
  </si>
  <si>
    <t>35.827,76</t>
  </si>
  <si>
    <t>7.594,00</t>
  </si>
  <si>
    <t>159.371,76</t>
  </si>
  <si>
    <t>ALQUILER</t>
  </si>
  <si>
    <t>FA 00002-00000200</t>
  </si>
  <si>
    <t>2.924.376,08</t>
  </si>
  <si>
    <t>614.118,98</t>
  </si>
  <si>
    <t>3.538.495,06</t>
  </si>
  <si>
    <t>SANES JUAN MANUEL</t>
  </si>
  <si>
    <t>162.152,00</t>
  </si>
  <si>
    <t>FRENCH LUC 27 Y 29 (TIENDA)</t>
  </si>
  <si>
    <t>FA 0501-02168207</t>
  </si>
  <si>
    <t>105.781,06</t>
  </si>
  <si>
    <t>28.560,89</t>
  </si>
  <si>
    <t>8.914,41</t>
  </si>
  <si>
    <t>143.256,36</t>
  </si>
  <si>
    <t>FA 0501-02168206</t>
  </si>
  <si>
    <t>32.735,70</t>
  </si>
  <si>
    <t>8.838,64</t>
  </si>
  <si>
    <t>2.060,56</t>
  </si>
  <si>
    <t>43.634,90</t>
  </si>
  <si>
    <t>Solar de french</t>
  </si>
  <si>
    <t>217.830,00</t>
  </si>
  <si>
    <t>23.896,00</t>
  </si>
  <si>
    <t>5.018,16</t>
  </si>
  <si>
    <t>28.914,16</t>
  </si>
  <si>
    <t>FA 4264-04959817</t>
  </si>
  <si>
    <t>81.550,00</t>
  </si>
  <si>
    <t>23.649,50</t>
  </si>
  <si>
    <t>-</t>
  </si>
  <si>
    <t>105.199,50</t>
  </si>
  <si>
    <t>Fideicomiso Laguna Oscura</t>
  </si>
  <si>
    <t>738.584,00</t>
  </si>
  <si>
    <t>GALERIA GUEMES LOC 08 (TIENDA)</t>
  </si>
  <si>
    <t>FA 4264-04943959</t>
  </si>
  <si>
    <t>30.600,00</t>
  </si>
  <si>
    <t>8.874,00</t>
  </si>
  <si>
    <t>39.474,00</t>
  </si>
  <si>
    <t>Galeria Gral Güemes SAI</t>
  </si>
  <si>
    <t>FA 00003-00018617</t>
  </si>
  <si>
    <t>540.862,00</t>
  </si>
  <si>
    <t>113.581,02</t>
  </si>
  <si>
    <t>280.206,89</t>
  </si>
  <si>
    <t>934.649,91</t>
  </si>
  <si>
    <t>725.872,00</t>
  </si>
  <si>
    <t>1.220.075,00</t>
  </si>
  <si>
    <t>QUILMES AS PDI SA (TIENDA)</t>
  </si>
  <si>
    <t>FA 0501-02195369</t>
  </si>
  <si>
    <t>134.929,12</t>
  </si>
  <si>
    <t>36.430,86</t>
  </si>
  <si>
    <t>11.907,97</t>
  </si>
  <si>
    <t>183.267,95</t>
  </si>
  <si>
    <t>Telefonica Argentina sa</t>
  </si>
  <si>
    <t>FA 3103-00017419</t>
  </si>
  <si>
    <t>80.802,40</t>
  </si>
  <si>
    <t>18.194,62</t>
  </si>
  <si>
    <t>2.424,07</t>
  </si>
  <si>
    <t>101.421,09</t>
  </si>
  <si>
    <t>VARIOS</t>
  </si>
  <si>
    <t>MUNICIPALIDAD DE QUILMES</t>
  </si>
  <si>
    <t>133.584,79</t>
  </si>
  <si>
    <t>AQUINO (FLETE)</t>
  </si>
  <si>
    <t>180.000,00</t>
  </si>
  <si>
    <t>332.100,00</t>
  </si>
  <si>
    <t>RECOLETA LUCERO (TIENDA)</t>
  </si>
  <si>
    <t>FA 0501-02168204</t>
  </si>
  <si>
    <t>82.273,04</t>
  </si>
  <si>
    <t>22.213,72</t>
  </si>
  <si>
    <t>6.708,65</t>
  </si>
  <si>
    <t>111.195,41</t>
  </si>
  <si>
    <t>FORTIN MAURE S.A.</t>
  </si>
  <si>
    <t>FA 0030-00089164</t>
  </si>
  <si>
    <t>1.858.800,59</t>
  </si>
  <si>
    <t>390.348,12</t>
  </si>
  <si>
    <t>92.940,03</t>
  </si>
  <si>
    <t>2.342.088,74</t>
  </si>
  <si>
    <t>FA 4264-05062879</t>
  </si>
  <si>
    <t>48.305,79</t>
  </si>
  <si>
    <t>14.008,68</t>
  </si>
  <si>
    <t>0,01</t>
  </si>
  <si>
    <t>62.314,48</t>
  </si>
  <si>
    <t>FA 0030-00089741</t>
  </si>
  <si>
    <t>1.776.140,28</t>
  </si>
  <si>
    <t>372.989,46</t>
  </si>
  <si>
    <t>88.807,01</t>
  </si>
  <si>
    <t>2.237.936,75</t>
  </si>
  <si>
    <t>49.946,38</t>
  </si>
  <si>
    <t>SAN TELMO AS STORE MESATEL LOC 120/121 (TIENDA)</t>
  </si>
  <si>
    <t>0501-02168205</t>
  </si>
  <si>
    <t>110.998,31</t>
  </si>
  <si>
    <t>29.969,54</t>
  </si>
  <si>
    <t>9.403,94</t>
  </si>
  <si>
    <t>150.371,79</t>
  </si>
  <si>
    <t>MESATEL</t>
  </si>
  <si>
    <t>679.193,52</t>
  </si>
  <si>
    <t>FA 00003-00007586</t>
  </si>
  <si>
    <t>1.696.728,40</t>
  </si>
  <si>
    <t>356.312,96</t>
  </si>
  <si>
    <t>2.053.041,36</t>
  </si>
  <si>
    <t>SAN TELMO LUC MESATEL LOC 92 (TIENDA)</t>
  </si>
  <si>
    <t>FA 0501-02168459</t>
  </si>
  <si>
    <t>68.433,78</t>
  </si>
  <si>
    <t>18.477,12</t>
  </si>
  <si>
    <t>5.410,11</t>
  </si>
  <si>
    <t>92.321,01</t>
  </si>
  <si>
    <t>339.596,76</t>
  </si>
  <si>
    <t>FA 00003-00007585</t>
  </si>
  <si>
    <t>2.333.371,20</t>
  </si>
  <si>
    <t>490.007,95</t>
  </si>
  <si>
    <t>2.823.379,15</t>
  </si>
  <si>
    <t>SAN TELMO LUCERO 2 MESATEL LOC 122 (TIENDA)</t>
  </si>
  <si>
    <t>cliente 03717992</t>
  </si>
  <si>
    <t>95.237,85</t>
  </si>
  <si>
    <t>FA 00003-00007587</t>
  </si>
  <si>
    <t>825.000,00</t>
  </si>
  <si>
    <t>173.250,00</t>
  </si>
  <si>
    <t>998.250,00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</si>
</sst>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&quot;/&quot;mm&quot;/&quot;yyyy"/>
    <numFmt numFmtId="165" formatCode="_ * #,##0.00_ ;_ * \-#,##0.00_ ;_ * &quot;-&quot;??_ ;_ @_ "/>
    <numFmt numFmtId="166" formatCode="dd/mm/yyyy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Calibri"/>
    </font>
    <font>
      <sz val="11"/>
      <color theme="1"/>
      <name val="Arial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/>
    <xf numFmtId="4" fontId="1" fillId="0" borderId="0" xfId="0" applyNumberFormat="1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/>
    <xf numFmtId="164" fontId="2" fillId="0" borderId="0" xfId="0" applyNumberFormat="1" applyFont="1"/>
    <xf numFmtId="4" fontId="2" fillId="0" borderId="0" xfId="0" applyNumberFormat="1" applyFont="1"/>
    <xf numFmtId="0" fontId="2" fillId="0" borderId="0" xfId="0" applyFont="1" applyAlignment="1">
      <alignment wrapText="1"/>
    </xf>
    <xf numFmtId="0" fontId="2" fillId="3" borderId="0" xfId="0" applyFont="1" applyFill="1"/>
    <xf numFmtId="0" fontId="2" fillId="3" borderId="0" xfId="0" applyFont="1" applyFill="1" applyAlignment="1">
      <alignment wrapText="1"/>
    </xf>
    <xf numFmtId="4" fontId="2" fillId="3" borderId="0" xfId="0" applyNumberFormat="1" applyFont="1" applyFill="1"/>
    <xf numFmtId="165" fontId="2" fillId="3" borderId="0" xfId="0" applyNumberFormat="1" applyFont="1" applyFill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166" fontId="5" fillId="0" borderId="0" xfId="0" applyNumberFormat="1" applyFont="1" applyAlignment="1">
      <alignment horizontal="right"/>
    </xf>
    <xf numFmtId="166" fontId="2" fillId="0" borderId="0" xfId="0" applyNumberFormat="1" applyFont="1"/>
    <xf numFmtId="3" fontId="2" fillId="0" borderId="0" xfId="0" applyNumberFormat="1" applyFont="1"/>
    <xf numFmtId="14" fontId="2" fillId="0" borderId="0" xfId="0" applyNumberFormat="1" applyFont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vertical="center"/>
    </xf>
    <xf numFmtId="2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"/>
  <sheetViews>
    <sheetView tabSelected="1" workbookViewId="0"/>
  </sheetViews>
  <sheetFormatPr baseColWidth="10" defaultColWidth="12.6328125" defaultRowHeight="15.75" customHeight="1" x14ac:dyDescent="0.25"/>
  <cols>
    <col min="1" max="1" width="6" customWidth="1"/>
    <col min="2" max="2" width="21.26953125" customWidth="1"/>
    <col min="3" max="3" width="9.36328125" customWidth="1"/>
    <col min="4" max="4" width="24.08984375" customWidth="1"/>
    <col min="5" max="5" width="11.08984375" customWidth="1"/>
    <col min="6" max="6" width="10" customWidth="1"/>
    <col min="7" max="7" width="15.08984375" customWidth="1"/>
    <col min="8" max="8" width="12.6328125" customWidth="1"/>
    <col min="9" max="9" width="13.26953125" customWidth="1"/>
    <col min="10" max="10" width="13.36328125" customWidth="1"/>
    <col min="11" max="11" width="14.7265625" customWidth="1"/>
    <col min="12" max="12" width="13.26953125" customWidth="1"/>
    <col min="13" max="13" width="18.7265625" customWidth="1"/>
  </cols>
  <sheetData>
    <row r="1" spans="1:26" x14ac:dyDescent="0.3">
      <c r="A1" s="1" t="str">
        <f ca="1">IFERROR(__xludf.DUMMYFUNCTION("IMPORTRANGE(""https://docs.google.com/spreadsheets/d/1wvfkf5xX2FDS85orIC5Z6K49ytMj34maGqGgJrXycTM/edit?gid=430646878#gid=430646878"",""Comercial!A1:z100"")"),"Legajo")</f>
        <v>Legajo</v>
      </c>
      <c r="B1" s="1" t="str">
        <f ca="1">IFERROR(__xludf.DUMMYFUNCTION("""COMPUTED_VALUE"""),"Apellido y Nombre")</f>
        <v>Apellido y Nombre</v>
      </c>
      <c r="C1" s="1" t="str">
        <f ca="1">IFERROR(__xludf.DUMMYFUNCTION("""COMPUTED_VALUE"""),"Periodo")</f>
        <v>Periodo</v>
      </c>
      <c r="D1" s="1" t="str">
        <f ca="1">IFERROR(__xludf.DUMMYFUNCTION("""COMPUTED_VALUE"""),"Tienda asignada este mes")</f>
        <v>Tienda asignada este mes</v>
      </c>
      <c r="E1" s="2" t="str">
        <f ca="1">IFERROR(__xludf.DUMMYFUNCTION("""COMPUTED_VALUE"""),"Horas Totales")</f>
        <v>Horas Totales</v>
      </c>
      <c r="F1" s="2" t="str">
        <f ca="1">IFERROR(__xludf.DUMMYFUNCTION("""COMPUTED_VALUE"""),"Hs Feriados")</f>
        <v>Hs Feriados</v>
      </c>
      <c r="G1" s="3" t="str">
        <f ca="1">IFERROR(__xludf.DUMMYFUNCTION("""COMPUTED_VALUE"""),"Hs Normales (con vacaciones)")</f>
        <v>Hs Normales (con vacaciones)</v>
      </c>
      <c r="H1" s="3" t="str">
        <f ca="1">IFERROR(__xludf.DUMMYFUNCTION("""COMPUTED_VALUE"""),"Plus vacacional")</f>
        <v>Plus vacacional</v>
      </c>
      <c r="I1" s="1" t="str">
        <f ca="1">IFERROR(__xludf.DUMMYFUNCTION("""COMPUTED_VALUE"""),"Sueldo Neto")</f>
        <v>Sueldo Neto</v>
      </c>
      <c r="J1" s="1" t="str">
        <f ca="1">IFERROR(__xludf.DUMMYFUNCTION("""COMPUTED_VALUE"""),"Sueldo Bruto")</f>
        <v>Sueldo Bruto</v>
      </c>
      <c r="K1" s="1" t="str">
        <f ca="1">IFERROR(__xludf.DUMMYFUNCTION("""COMPUTED_VALUE"""),"Cargas + ART")</f>
        <v>Cargas + ART</v>
      </c>
      <c r="L1" s="1" t="str">
        <f ca="1">IFERROR(__xludf.DUMMYFUNCTION("""COMPUTED_VALUE"""),"Costo total")</f>
        <v>Costo total</v>
      </c>
      <c r="M1" s="1" t="str">
        <f ca="1">IFERROR(__xludf.DUMMYFUNCTION("""COMPUTED_VALUE"""),"Observaciones")</f>
        <v>Observaciones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5">
      <c r="A2" s="5">
        <f ca="1">IFERROR(__xludf.DUMMYFUNCTION("""COMPUTED_VALUE"""),10)</f>
        <v>10</v>
      </c>
      <c r="B2" s="5" t="str">
        <f ca="1">IFERROR(__xludf.DUMMYFUNCTION("""COMPUTED_VALUE"""),"Cabovianco Natalia")</f>
        <v>Cabovianco Natalia</v>
      </c>
      <c r="C2" s="6">
        <f ca="1">IFERROR(__xludf.DUMMYFUNCTION("""COMPUTED_VALUE"""),40030)</f>
        <v>40030</v>
      </c>
      <c r="D2" s="4" t="str">
        <f ca="1">IFERROR(__xludf.DUMMYFUNCTION("""COMPUTED_VALUE"""),"Supervisora")</f>
        <v>Supervisora</v>
      </c>
      <c r="E2" s="7" t="str">
        <f ca="1">IFERROR(__xludf.DUMMYFUNCTION("""COMPUTED_VALUE"""),"27,00 D")</f>
        <v>27,00 D</v>
      </c>
      <c r="F2" s="7" t="str">
        <f ca="1">IFERROR(__xludf.DUMMYFUNCTION("""COMPUTED_VALUE"""),"3,00 D")</f>
        <v>3,00 D</v>
      </c>
      <c r="G2" s="8"/>
      <c r="H2" s="4"/>
      <c r="I2" s="7">
        <f ca="1">IFERROR(__xludf.DUMMYFUNCTION("""COMPUTED_VALUE"""),550512)</f>
        <v>550512</v>
      </c>
      <c r="J2" s="7">
        <f ca="1">IFERROR(__xludf.DUMMYFUNCTION("""COMPUTED_VALUE"""),650422.06)</f>
        <v>650422.06000000006</v>
      </c>
      <c r="K2" s="7">
        <f ca="1">IFERROR(__xludf.DUMMYFUNCTION("""COMPUTED_VALUE"""),207118.488)</f>
        <v>207118.48800000001</v>
      </c>
      <c r="L2" s="7">
        <f ca="1">IFERROR(__xludf.DUMMYFUNCTION("""COMPUTED_VALUE"""),857540.548)</f>
        <v>857540.54799999995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5">
      <c r="A3" s="5">
        <f ca="1">IFERROR(__xludf.DUMMYFUNCTION("""COMPUTED_VALUE"""),47)</f>
        <v>47</v>
      </c>
      <c r="B3" s="5" t="str">
        <f ca="1">IFERROR(__xludf.DUMMYFUNCTION("""COMPUTED_VALUE"""),"Eredia Cintia")</f>
        <v>Eredia Cintia</v>
      </c>
      <c r="C3" s="6">
        <f ca="1">IFERROR(__xludf.DUMMYFUNCTION("""COMPUTED_VALUE"""),44295)</f>
        <v>44295</v>
      </c>
      <c r="D3" s="4" t="str">
        <f ca="1">IFERROR(__xludf.DUMMYFUNCTION("""COMPUTED_VALUE"""),"Visual")</f>
        <v>Visual</v>
      </c>
      <c r="E3" s="7" t="str">
        <f ca="1">IFERROR(__xludf.DUMMYFUNCTION("""COMPUTED_VALUE"""),"27,00 D")</f>
        <v>27,00 D</v>
      </c>
      <c r="F3" s="7" t="str">
        <f ca="1">IFERROR(__xludf.DUMMYFUNCTION("""COMPUTED_VALUE"""),"3,00 D")</f>
        <v>3,00 D</v>
      </c>
      <c r="G3" s="4"/>
      <c r="H3" s="4"/>
      <c r="I3" s="7">
        <f ca="1">IFERROR(__xludf.DUMMYFUNCTION("""COMPUTED_VALUE"""),827217)</f>
        <v>827217</v>
      </c>
      <c r="J3" s="7">
        <f ca="1">IFERROR(__xludf.DUMMYFUNCTION("""COMPUTED_VALUE"""),1000553.3)</f>
        <v>1000553.3</v>
      </c>
      <c r="K3" s="7">
        <f ca="1">IFERROR(__xludf.DUMMYFUNCTION("""COMPUTED_VALUE"""),310606.158)</f>
        <v>310606.158</v>
      </c>
      <c r="L3" s="7">
        <f ca="1">IFERROR(__xludf.DUMMYFUNCTION("""COMPUTED_VALUE"""),1311159.458)</f>
        <v>1311159.4580000001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5">
      <c r="A4" s="4">
        <f ca="1">IFERROR(__xludf.DUMMYFUNCTION("""COMPUTED_VALUE"""),55)</f>
        <v>55</v>
      </c>
      <c r="B4" s="4" t="str">
        <f ca="1">IFERROR(__xludf.DUMMYFUNCTION("""COMPUTED_VALUE"""),"Carrizo Camila")</f>
        <v>Carrizo Camila</v>
      </c>
      <c r="C4" s="6">
        <f ca="1">IFERROR(__xludf.DUMMYFUNCTION("""COMPUTED_VALUE"""),44414)</f>
        <v>44414</v>
      </c>
      <c r="D4" s="4" t="str">
        <f ca="1">IFERROR(__xludf.DUMMYFUNCTION("""COMPUTED_VALUE"""),"AS San Telmo")</f>
        <v>AS San Telmo</v>
      </c>
      <c r="E4" s="7">
        <f ca="1">IFERROR(__xludf.DUMMYFUNCTION("""COMPUTED_VALUE"""),132)</f>
        <v>132</v>
      </c>
      <c r="F4" s="7">
        <f ca="1">IFERROR(__xludf.DUMMYFUNCTION("""COMPUTED_VALUE"""),15)</f>
        <v>15</v>
      </c>
      <c r="G4" s="7">
        <f ca="1">IFERROR(__xludf.DUMMYFUNCTION("""COMPUTED_VALUE"""),117)</f>
        <v>117</v>
      </c>
      <c r="H4" s="7" t="str">
        <f ca="1">IFERROR(__xludf.DUMMYFUNCTION("""COMPUTED_VALUE"""),"SI")</f>
        <v>SI</v>
      </c>
      <c r="I4" s="7">
        <f ca="1">IFERROR(__xludf.DUMMYFUNCTION("""COMPUTED_VALUE"""),407248)</f>
        <v>407248</v>
      </c>
      <c r="J4" s="7">
        <f ca="1">IFERROR(__xludf.DUMMYFUNCTION("""COMPUTED_VALUE"""),502512.64)</f>
        <v>502512.64000000001</v>
      </c>
      <c r="K4" s="7">
        <f ca="1">IFERROR(__xludf.DUMMYFUNCTION("""COMPUTED_VALUE"""),153537.752)</f>
        <v>153537.75200000001</v>
      </c>
      <c r="L4" s="7">
        <f ca="1">IFERROR(__xludf.DUMMYFUNCTION("""COMPUTED_VALUE"""),656050.392)</f>
        <v>656050.39199999999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5">
      <c r="A5" s="4">
        <f ca="1">IFERROR(__xludf.DUMMYFUNCTION("""COMPUTED_VALUE"""),103)</f>
        <v>103</v>
      </c>
      <c r="B5" s="4" t="str">
        <f ca="1">IFERROR(__xludf.DUMMYFUNCTION("""COMPUTED_VALUE"""),"Esposito Candela")</f>
        <v>Esposito Candela</v>
      </c>
      <c r="C5" s="6">
        <f ca="1">IFERROR(__xludf.DUMMYFUNCTION("""COMPUTED_VALUE"""),44854)</f>
        <v>44854</v>
      </c>
      <c r="D5" s="4" t="str">
        <f ca="1">IFERROR(__xludf.DUMMYFUNCTION("""COMPUTED_VALUE"""),"Lucero San Telmo")</f>
        <v>Lucero San Telmo</v>
      </c>
      <c r="E5" s="7">
        <f ca="1">IFERROR(__xludf.DUMMYFUNCTION("""COMPUTED_VALUE"""),130)</f>
        <v>130</v>
      </c>
      <c r="F5" s="7">
        <f ca="1">IFERROR(__xludf.DUMMYFUNCTION("""COMPUTED_VALUE"""),16)</f>
        <v>16</v>
      </c>
      <c r="G5" s="7">
        <f ca="1">IFERROR(__xludf.DUMMYFUNCTION("""COMPUTED_VALUE"""),114)</f>
        <v>114</v>
      </c>
      <c r="H5" s="7" t="str">
        <f ca="1">IFERROR(__xludf.DUMMYFUNCTION("""COMPUTED_VALUE"""),"SI")</f>
        <v>SI</v>
      </c>
      <c r="I5" s="7">
        <f ca="1">IFERROR(__xludf.DUMMYFUNCTION("""COMPUTED_VALUE"""),602346)</f>
        <v>602346</v>
      </c>
      <c r="J5" s="7">
        <f ca="1">IFERROR(__xludf.DUMMYFUNCTION("""COMPUTED_VALUE"""),754788.33)</f>
        <v>754788.33</v>
      </c>
      <c r="K5" s="7">
        <f ca="1">IFERROR(__xludf.DUMMYFUNCTION("""COMPUTED_VALUE"""),226504.404)</f>
        <v>226504.40400000001</v>
      </c>
      <c r="L5" s="7">
        <f ca="1">IFERROR(__xludf.DUMMYFUNCTION("""COMPUTED_VALUE"""),981292.733999999)</f>
        <v>981292.73399999901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5">
      <c r="A6" s="4">
        <f ca="1">IFERROR(__xludf.DUMMYFUNCTION("""COMPUTED_VALUE"""),120)</f>
        <v>120</v>
      </c>
      <c r="B6" s="4" t="str">
        <f ca="1">IFERROR(__xludf.DUMMYFUNCTION("""COMPUTED_VALUE"""),"Bertolo Milagros")</f>
        <v>Bertolo Milagros</v>
      </c>
      <c r="C6" s="6">
        <f ca="1">IFERROR(__xludf.DUMMYFUNCTION("""COMPUTED_VALUE"""),45020)</f>
        <v>45020</v>
      </c>
      <c r="D6" s="4" t="str">
        <f ca="1">IFERROR(__xludf.DUMMYFUNCTION("""COMPUTED_VALUE"""),"Lucero French")</f>
        <v>Lucero French</v>
      </c>
      <c r="E6" s="7">
        <f ca="1">IFERROR(__xludf.DUMMYFUNCTION("""COMPUTED_VALUE"""),132)</f>
        <v>132</v>
      </c>
      <c r="F6" s="7">
        <f ca="1">IFERROR(__xludf.DUMMYFUNCTION("""COMPUTED_VALUE"""),14)</f>
        <v>14</v>
      </c>
      <c r="G6" s="7">
        <f ca="1">IFERROR(__xludf.DUMMYFUNCTION("""COMPUTED_VALUE"""),118)</f>
        <v>118</v>
      </c>
      <c r="H6" s="7" t="str">
        <f ca="1">IFERROR(__xludf.DUMMYFUNCTION("""COMPUTED_VALUE"""),"NO")</f>
        <v>NO</v>
      </c>
      <c r="I6" s="7">
        <f ca="1">IFERROR(__xludf.DUMMYFUNCTION("""COMPUTED_VALUE"""),722257)</f>
        <v>722257</v>
      </c>
      <c r="J6" s="7">
        <f ca="1">IFERROR(__xludf.DUMMYFUNCTION("""COMPUTED_VALUE"""),909397.24)</f>
        <v>909397.24</v>
      </c>
      <c r="K6" s="7">
        <f ca="1">IFERROR(__xludf.DUMMYFUNCTION("""COMPUTED_VALUE"""),271351.118)</f>
        <v>271351.11800000002</v>
      </c>
      <c r="L6" s="7">
        <f ca="1">IFERROR(__xludf.DUMMYFUNCTION("""COMPUTED_VALUE"""),1180748.358)</f>
        <v>1180748.358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5">
      <c r="A7" s="4">
        <f ca="1">IFERROR(__xludf.DUMMYFUNCTION("""COMPUTED_VALUE"""),126)</f>
        <v>126</v>
      </c>
      <c r="B7" s="4" t="str">
        <f ca="1">IFERROR(__xludf.DUMMYFUNCTION("""COMPUTED_VALUE"""),"Barajas Barbara")</f>
        <v>Barajas Barbara</v>
      </c>
      <c r="C7" s="6">
        <f ca="1">IFERROR(__xludf.DUMMYFUNCTION("""COMPUTED_VALUE"""),45057)</f>
        <v>45057</v>
      </c>
      <c r="D7" s="4" t="str">
        <f ca="1">IFERROR(__xludf.DUMMYFUNCTION("""COMPUTED_VALUE"""),"Lucero Recoleta")</f>
        <v>Lucero Recoleta</v>
      </c>
      <c r="E7" s="7">
        <f ca="1">IFERROR(__xludf.DUMMYFUNCTION("""COMPUTED_VALUE"""),126)</f>
        <v>126</v>
      </c>
      <c r="F7" s="7">
        <f ca="1">IFERROR(__xludf.DUMMYFUNCTION("""COMPUTED_VALUE"""),12)</f>
        <v>12</v>
      </c>
      <c r="G7" s="7">
        <f ca="1">IFERROR(__xludf.DUMMYFUNCTION("""COMPUTED_VALUE"""),114)</f>
        <v>114</v>
      </c>
      <c r="H7" s="7" t="str">
        <f ca="1">IFERROR(__xludf.DUMMYFUNCTION("""COMPUTED_VALUE"""),"NO")</f>
        <v>NO</v>
      </c>
      <c r="I7" s="7">
        <f ca="1">IFERROR(__xludf.DUMMYFUNCTION("""COMPUTED_VALUE"""),691491)</f>
        <v>691491</v>
      </c>
      <c r="J7" s="7">
        <f ca="1">IFERROR(__xludf.DUMMYFUNCTION("""COMPUTED_VALUE"""),870666.13)</f>
        <v>870666.13</v>
      </c>
      <c r="K7" s="7">
        <f ca="1">IFERROR(__xludf.DUMMYFUNCTION("""COMPUTED_VALUE"""),259844.634)</f>
        <v>259844.63399999999</v>
      </c>
      <c r="L7" s="7">
        <f ca="1">IFERROR(__xludf.DUMMYFUNCTION("""COMPUTED_VALUE"""),1130510.764)</f>
        <v>1130510.764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5">
      <c r="A8" s="4">
        <f ca="1">IFERROR(__xludf.DUMMYFUNCTION("""COMPUTED_VALUE"""),131)</f>
        <v>131</v>
      </c>
      <c r="B8" s="4" t="str">
        <f ca="1">IFERROR(__xludf.DUMMYFUNCTION("""COMPUTED_VALUE"""),"De Brito Rocio")</f>
        <v>De Brito Rocio</v>
      </c>
      <c r="C8" s="6">
        <f ca="1">IFERROR(__xludf.DUMMYFUNCTION("""COMPUTED_VALUE"""),45085)</f>
        <v>45085</v>
      </c>
      <c r="D8" s="4" t="str">
        <f ca="1">IFERROR(__xludf.DUMMYFUNCTION("""COMPUTED_VALUE"""),"Lucero Güemes")</f>
        <v>Lucero Güemes</v>
      </c>
      <c r="E8" s="7">
        <f ca="1">IFERROR(__xludf.DUMMYFUNCTION("""COMPUTED_VALUE"""),119)</f>
        <v>119</v>
      </c>
      <c r="F8" s="7">
        <f ca="1">IFERROR(__xludf.DUMMYFUNCTION("""COMPUTED_VALUE"""),0)</f>
        <v>0</v>
      </c>
      <c r="G8" s="7">
        <f ca="1">IFERROR(__xludf.DUMMYFUNCTION("""COMPUTED_VALUE"""),119)</f>
        <v>119</v>
      </c>
      <c r="H8" s="7" t="str">
        <f ca="1">IFERROR(__xludf.DUMMYFUNCTION("""COMPUTED_VALUE"""),"NO")</f>
        <v>NO</v>
      </c>
      <c r="I8" s="7">
        <f ca="1">IFERROR(__xludf.DUMMYFUNCTION("""COMPUTED_VALUE"""),653295)</f>
        <v>653295</v>
      </c>
      <c r="J8" s="7">
        <f ca="1">IFERROR(__xludf.DUMMYFUNCTION("""COMPUTED_VALUE"""),806071.37)</f>
        <v>806071.37</v>
      </c>
      <c r="K8" s="7">
        <f ca="1">IFERROR(__xludf.DUMMYFUNCTION("""COMPUTED_VALUE"""),245559.33)</f>
        <v>245559.33</v>
      </c>
      <c r="L8" s="7">
        <f ca="1">IFERROR(__xludf.DUMMYFUNCTION("""COMPUTED_VALUE"""),1051630.7)</f>
        <v>1051630.7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5">
      <c r="A9" s="4">
        <f ca="1">IFERROR(__xludf.DUMMYFUNCTION("""COMPUTED_VALUE"""),138)</f>
        <v>138</v>
      </c>
      <c r="B9" s="4" t="str">
        <f ca="1">IFERROR(__xludf.DUMMYFUNCTION("""COMPUTED_VALUE"""),"Lara Robbio")</f>
        <v>Lara Robbio</v>
      </c>
      <c r="C9" s="6">
        <f ca="1">IFERROR(__xludf.DUMMYFUNCTION("""COMPUTED_VALUE"""),45139)</f>
        <v>45139</v>
      </c>
      <c r="D9" s="4" t="str">
        <f ca="1">IFERROR(__xludf.DUMMYFUNCTION("""COMPUTED_VALUE"""),"Lucero San Telmo")</f>
        <v>Lucero San Telmo</v>
      </c>
      <c r="E9" s="7">
        <f ca="1">IFERROR(__xludf.DUMMYFUNCTION("""COMPUTED_VALUE"""),131)</f>
        <v>131</v>
      </c>
      <c r="F9" s="7">
        <f ca="1">IFERROR(__xludf.DUMMYFUNCTION("""COMPUTED_VALUE"""),13)</f>
        <v>13</v>
      </c>
      <c r="G9" s="7">
        <f ca="1">IFERROR(__xludf.DUMMYFUNCTION("""COMPUTED_VALUE"""),118)</f>
        <v>118</v>
      </c>
      <c r="H9" s="7" t="str">
        <f ca="1">IFERROR(__xludf.DUMMYFUNCTION("""COMPUTED_VALUE"""),"NO")</f>
        <v>NO</v>
      </c>
      <c r="I9" s="7">
        <f ca="1">IFERROR(__xludf.DUMMYFUNCTION("""COMPUTED_VALUE"""),719467)</f>
        <v>719467</v>
      </c>
      <c r="J9" s="7">
        <f ca="1">IFERROR(__xludf.DUMMYFUNCTION("""COMPUTED_VALUE"""),905958.56)</f>
        <v>905958.56</v>
      </c>
      <c r="K9" s="7">
        <f ca="1">IFERROR(__xludf.DUMMYFUNCTION("""COMPUTED_VALUE"""),270307.658)</f>
        <v>270307.658</v>
      </c>
      <c r="L9" s="7">
        <f ca="1">IFERROR(__xludf.DUMMYFUNCTION("""COMPUTED_VALUE"""),1176266.218)</f>
        <v>1176266.2180000001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5">
      <c r="A10" s="4">
        <f ca="1">IFERROR(__xludf.DUMMYFUNCTION("""COMPUTED_VALUE"""),139)</f>
        <v>139</v>
      </c>
      <c r="B10" s="4" t="str">
        <f ca="1">IFERROR(__xludf.DUMMYFUNCTION("""COMPUTED_VALUE"""),"Viña Sofia")</f>
        <v>Viña Sofia</v>
      </c>
      <c r="C10" s="6">
        <f ca="1">IFERROR(__xludf.DUMMYFUNCTION("""COMPUTED_VALUE"""),45139)</f>
        <v>45139</v>
      </c>
      <c r="D10" s="4" t="str">
        <f ca="1">IFERROR(__xludf.DUMMYFUNCTION("""COMPUTED_VALUE"""),"Lucero Florida")</f>
        <v>Lucero Florida</v>
      </c>
      <c r="E10" s="7">
        <f ca="1">IFERROR(__xludf.DUMMYFUNCTION("""COMPUTED_VALUE"""),129)</f>
        <v>129</v>
      </c>
      <c r="F10" s="7">
        <f ca="1">IFERROR(__xludf.DUMMYFUNCTION("""COMPUTED_VALUE"""),5)</f>
        <v>5</v>
      </c>
      <c r="G10" s="7">
        <f ca="1">IFERROR(__xludf.DUMMYFUNCTION("""COMPUTED_VALUE"""),124)</f>
        <v>124</v>
      </c>
      <c r="H10" s="7" t="str">
        <f ca="1">IFERROR(__xludf.DUMMYFUNCTION("""COMPUTED_VALUE"""),"SI")</f>
        <v>SI</v>
      </c>
      <c r="I10" s="7">
        <f ca="1">IFERROR(__xludf.DUMMYFUNCTION("""COMPUTED_VALUE"""),559094)</f>
        <v>559094</v>
      </c>
      <c r="J10" s="7">
        <f ca="1">IFERROR(__xludf.DUMMYFUNCTION("""COMPUTED_VALUE"""),699347.93)</f>
        <v>699347.93</v>
      </c>
      <c r="K10" s="7">
        <f ca="1">IFERROR(__xludf.DUMMYFUNCTION("""COMPUTED_VALUE"""),210328.156)</f>
        <v>210328.15599999999</v>
      </c>
      <c r="L10" s="7">
        <f ca="1">IFERROR(__xludf.DUMMYFUNCTION("""COMPUTED_VALUE"""),909676.086)</f>
        <v>909676.08600000001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5">
      <c r="A11" s="4">
        <f ca="1">IFERROR(__xludf.DUMMYFUNCTION("""COMPUTED_VALUE"""),143)</f>
        <v>143</v>
      </c>
      <c r="B11" s="4" t="str">
        <f ca="1">IFERROR(__xludf.DUMMYFUNCTION("""COMPUTED_VALUE"""),"Molina Agustina")</f>
        <v>Molina Agustina</v>
      </c>
      <c r="C11" s="6">
        <f ca="1">IFERROR(__xludf.DUMMYFUNCTION("""COMPUTED_VALUE"""),45184)</f>
        <v>45184</v>
      </c>
      <c r="D11" s="4" t="str">
        <f ca="1">IFERROR(__xludf.DUMMYFUNCTION("""COMPUTED_VALUE"""),"AS San Telmo")</f>
        <v>AS San Telmo</v>
      </c>
      <c r="E11" s="7">
        <f ca="1">IFERROR(__xludf.DUMMYFUNCTION("""COMPUTED_VALUE"""),127)</f>
        <v>127</v>
      </c>
      <c r="F11" s="7">
        <f ca="1">IFERROR(__xludf.DUMMYFUNCTION("""COMPUTED_VALUE"""),15)</f>
        <v>15</v>
      </c>
      <c r="G11" s="7">
        <f ca="1">IFERROR(__xludf.DUMMYFUNCTION("""COMPUTED_VALUE"""),112)</f>
        <v>112</v>
      </c>
      <c r="H11" s="7" t="str">
        <f ca="1">IFERROR(__xludf.DUMMYFUNCTION("""COMPUTED_VALUE"""),"NO")</f>
        <v>NO</v>
      </c>
      <c r="I11" s="7">
        <f ca="1">IFERROR(__xludf.DUMMYFUNCTION("""COMPUTED_VALUE"""),696548)</f>
        <v>696548</v>
      </c>
      <c r="J11" s="7">
        <f ca="1">IFERROR(__xludf.DUMMYFUNCTION("""COMPUTED_VALUE"""),877030.13)</f>
        <v>877030.13</v>
      </c>
      <c r="K11" s="7">
        <f ca="1">IFERROR(__xludf.DUMMYFUNCTION("""COMPUTED_VALUE"""),261735.952)</f>
        <v>261735.95199999999</v>
      </c>
      <c r="L11" s="7">
        <f ca="1">IFERROR(__xludf.DUMMYFUNCTION("""COMPUTED_VALUE"""),1138766.082)</f>
        <v>1138766.0819999999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5">
      <c r="A12" s="4">
        <f ca="1">IFERROR(__xludf.DUMMYFUNCTION("""COMPUTED_VALUE"""),151)</f>
        <v>151</v>
      </c>
      <c r="B12" s="4" t="str">
        <f ca="1">IFERROR(__xludf.DUMMYFUNCTION("""COMPUTED_VALUE"""),"Kiara Corbalan")</f>
        <v>Kiara Corbalan</v>
      </c>
      <c r="C12" s="6">
        <f ca="1">IFERROR(__xludf.DUMMYFUNCTION("""COMPUTED_VALUE"""),45201)</f>
        <v>45201</v>
      </c>
      <c r="D12" s="4" t="str">
        <f ca="1">IFERROR(__xludf.DUMMYFUNCTION("""COMPUTED_VALUE"""),"AS San Telmo")</f>
        <v>AS San Telmo</v>
      </c>
      <c r="E12" s="7">
        <f ca="1">IFERROR(__xludf.DUMMYFUNCTION("""COMPUTED_VALUE"""),128)</f>
        <v>128</v>
      </c>
      <c r="F12" s="7">
        <f ca="1">IFERROR(__xludf.DUMMYFUNCTION("""COMPUTED_VALUE"""),5)</f>
        <v>5</v>
      </c>
      <c r="G12" s="7">
        <f ca="1">IFERROR(__xludf.DUMMYFUNCTION("""COMPUTED_VALUE"""),123)</f>
        <v>123</v>
      </c>
      <c r="H12" s="7" t="str">
        <f ca="1">IFERROR(__xludf.DUMMYFUNCTION("""COMPUTED_VALUE"""),"SI")</f>
        <v>SI</v>
      </c>
      <c r="I12" s="7">
        <f ca="1">IFERROR(__xludf.DUMMYFUNCTION("""COMPUTED_VALUE"""),473930)</f>
        <v>473930</v>
      </c>
      <c r="J12" s="7">
        <f ca="1">IFERROR(__xludf.DUMMYFUNCTION("""COMPUTED_VALUE"""),589619.99)</f>
        <v>589619.99</v>
      </c>
      <c r="K12" s="7">
        <f ca="1">IFERROR(__xludf.DUMMYFUNCTION("""COMPUTED_VALUE"""),178476.82)</f>
        <v>178476.82</v>
      </c>
      <c r="L12" s="7">
        <f ca="1">IFERROR(__xludf.DUMMYFUNCTION("""COMPUTED_VALUE"""),768096.81)</f>
        <v>768096.81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5">
      <c r="A13" s="4">
        <f ca="1">IFERROR(__xludf.DUMMYFUNCTION("""COMPUTED_VALUE"""),161)</f>
        <v>161</v>
      </c>
      <c r="B13" s="4" t="str">
        <f ca="1">IFERROR(__xludf.DUMMYFUNCTION("""COMPUTED_VALUE"""),"Martínez Brisa")</f>
        <v>Martínez Brisa</v>
      </c>
      <c r="C13" s="6">
        <f ca="1">IFERROR(__xludf.DUMMYFUNCTION("""COMPUTED_VALUE"""),45272)</f>
        <v>45272</v>
      </c>
      <c r="D13" s="4" t="str">
        <f ca="1">IFERROR(__xludf.DUMMYFUNCTION("""COMPUTED_VALUE"""),"AS San Telmo")</f>
        <v>AS San Telmo</v>
      </c>
      <c r="E13" s="7">
        <f ca="1">IFERROR(__xludf.DUMMYFUNCTION("""COMPUTED_VALUE"""),127)</f>
        <v>127</v>
      </c>
      <c r="F13" s="7">
        <f ca="1">IFERROR(__xludf.DUMMYFUNCTION("""COMPUTED_VALUE"""),15)</f>
        <v>15</v>
      </c>
      <c r="G13" s="7">
        <f ca="1">IFERROR(__xludf.DUMMYFUNCTION("""COMPUTED_VALUE"""),112)</f>
        <v>112</v>
      </c>
      <c r="H13" s="7" t="str">
        <f ca="1">IFERROR(__xludf.DUMMYFUNCTION("""COMPUTED_VALUE"""),"SI")</f>
        <v>SI</v>
      </c>
      <c r="I13" s="7">
        <f ca="1">IFERROR(__xludf.DUMMYFUNCTION("""COMPUTED_VALUE"""),574623)</f>
        <v>574623</v>
      </c>
      <c r="J13" s="7">
        <f ca="1">IFERROR(__xludf.DUMMYFUNCTION("""COMPUTED_VALUE"""),719707.58)</f>
        <v>719707.58</v>
      </c>
      <c r="K13" s="7">
        <f ca="1">IFERROR(__xludf.DUMMYFUNCTION("""COMPUTED_VALUE"""),216136.002)</f>
        <v>216136.00200000001</v>
      </c>
      <c r="L13" s="7">
        <f ca="1">IFERROR(__xludf.DUMMYFUNCTION("""COMPUTED_VALUE"""),935843.581999999)</f>
        <v>935843.58199999901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5">
      <c r="A14" s="4">
        <f ca="1">IFERROR(__xludf.DUMMYFUNCTION("""COMPUTED_VALUE"""),165)</f>
        <v>165</v>
      </c>
      <c r="B14" s="4" t="str">
        <f ca="1">IFERROR(__xludf.DUMMYFUNCTION("""COMPUTED_VALUE"""),"CORONEL Mailen")</f>
        <v>CORONEL Mailen</v>
      </c>
      <c r="C14" s="6">
        <f ca="1">IFERROR(__xludf.DUMMYFUNCTION("""COMPUTED_VALUE"""),45311)</f>
        <v>45311</v>
      </c>
      <c r="D14" s="4" t="str">
        <f ca="1">IFERROR(__xludf.DUMMYFUNCTION("""COMPUTED_VALUE"""),"Lucero Güemes")</f>
        <v>Lucero Güemes</v>
      </c>
      <c r="E14" s="7">
        <f ca="1">IFERROR(__xludf.DUMMYFUNCTION("""COMPUTED_VALUE"""),124)</f>
        <v>124</v>
      </c>
      <c r="F14" s="7">
        <f ca="1">IFERROR(__xludf.DUMMYFUNCTION("""COMPUTED_VALUE"""),0)</f>
        <v>0</v>
      </c>
      <c r="G14" s="7">
        <f ca="1">IFERROR(__xludf.DUMMYFUNCTION("""COMPUTED_VALUE"""),124)</f>
        <v>124</v>
      </c>
      <c r="H14" s="7" t="str">
        <f ca="1">IFERROR(__xludf.DUMMYFUNCTION("""COMPUTED_VALUE"""),"SI")</f>
        <v>SI</v>
      </c>
      <c r="I14" s="7">
        <f ca="1">IFERROR(__xludf.DUMMYFUNCTION("""COMPUTED_VALUE"""),446507)</f>
        <v>446507</v>
      </c>
      <c r="J14" s="7">
        <f ca="1">IFERROR(__xludf.DUMMYFUNCTION("""COMPUTED_VALUE"""),554880.08)</f>
        <v>554880.07999999996</v>
      </c>
      <c r="K14" s="7">
        <f ca="1">IFERROR(__xludf.DUMMYFUNCTION("""COMPUTED_VALUE"""),168220.618)</f>
        <v>168220.61799999999</v>
      </c>
      <c r="L14" s="7">
        <f ca="1">IFERROR(__xludf.DUMMYFUNCTION("""COMPUTED_VALUE"""),723100.698)</f>
        <v>723100.69799999997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5">
      <c r="A15" s="5">
        <f ca="1">IFERROR(__xludf.DUMMYFUNCTION("""COMPUTED_VALUE"""),169)</f>
        <v>169</v>
      </c>
      <c r="B15" s="5" t="str">
        <f ca="1">IFERROR(__xludf.DUMMYFUNCTION("""COMPUTED_VALUE"""),"Urbieta Barbara Giselle ")</f>
        <v xml:space="preserve">Urbieta Barbara Giselle </v>
      </c>
      <c r="C15" s="6">
        <f ca="1">IFERROR(__xludf.DUMMYFUNCTION("""COMPUTED_VALUE"""),45341)</f>
        <v>45341</v>
      </c>
      <c r="D15" s="4" t="str">
        <f ca="1">IFERROR(__xludf.DUMMYFUNCTION("""COMPUTED_VALUE"""),"Supervisora")</f>
        <v>Supervisora</v>
      </c>
      <c r="E15" s="7" t="str">
        <f ca="1">IFERROR(__xludf.DUMMYFUNCTION("""COMPUTED_VALUE"""),"27,00 D")</f>
        <v>27,00 D</v>
      </c>
      <c r="F15" s="7">
        <f ca="1">IFERROR(__xludf.DUMMYFUNCTION("""COMPUTED_VALUE"""),0)</f>
        <v>0</v>
      </c>
      <c r="G15" s="7">
        <f ca="1">IFERROR(__xludf.DUMMYFUNCTION("""COMPUTED_VALUE"""),0)</f>
        <v>0</v>
      </c>
      <c r="H15" s="7" t="str">
        <f ca="1">IFERROR(__xludf.DUMMYFUNCTION("""COMPUTED_VALUE"""),"NO")</f>
        <v>NO</v>
      </c>
      <c r="I15" s="7">
        <f ca="1">IFERROR(__xludf.DUMMYFUNCTION("""COMPUTED_VALUE"""),657525)</f>
        <v>657525</v>
      </c>
      <c r="J15" s="7">
        <f ca="1">IFERROR(__xludf.DUMMYFUNCTION("""COMPUTED_VALUE"""),1035616.49)</f>
        <v>1035616.49</v>
      </c>
      <c r="K15" s="7">
        <f ca="1">IFERROR(__xludf.DUMMYFUNCTION("""COMPUTED_VALUE"""),247141.35)</f>
        <v>247141.35</v>
      </c>
      <c r="L15" s="7">
        <f ca="1">IFERROR(__xludf.DUMMYFUNCTION("""COMPUTED_VALUE"""),1282757.84)</f>
        <v>1282757.8400000001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5">
      <c r="A16" s="4">
        <f ca="1">IFERROR(__xludf.DUMMYFUNCTION("""COMPUTED_VALUE"""),170)</f>
        <v>170</v>
      </c>
      <c r="B16" s="4" t="str">
        <f ca="1">IFERROR(__xludf.DUMMYFUNCTION("""COMPUTED_VALUE"""),"Ruiz de la Torre Maitena")</f>
        <v>Ruiz de la Torre Maitena</v>
      </c>
      <c r="C16" s="6">
        <f ca="1">IFERROR(__xludf.DUMMYFUNCTION("""COMPUTED_VALUE"""),45345)</f>
        <v>45345</v>
      </c>
      <c r="D16" s="4" t="str">
        <f ca="1">IFERROR(__xludf.DUMMYFUNCTION("""COMPUTED_VALUE"""),"Lucero Florida")</f>
        <v>Lucero Florida</v>
      </c>
      <c r="E16" s="7">
        <f ca="1">IFERROR(__xludf.DUMMYFUNCTION("""COMPUTED_VALUE"""),111)</f>
        <v>111</v>
      </c>
      <c r="F16" s="7">
        <f ca="1">IFERROR(__xludf.DUMMYFUNCTION("""COMPUTED_VALUE"""),8)</f>
        <v>8</v>
      </c>
      <c r="G16" s="7">
        <f ca="1">IFERROR(__xludf.DUMMYFUNCTION("""COMPUTED_VALUE"""),103)</f>
        <v>103</v>
      </c>
      <c r="H16" s="7" t="str">
        <f ca="1">IFERROR(__xludf.DUMMYFUNCTION("""COMPUTED_VALUE"""),"NO")</f>
        <v>NO</v>
      </c>
      <c r="I16" s="7">
        <f ca="1">IFERROR(__xludf.DUMMYFUNCTION("""COMPUTED_VALUE"""),599040)</f>
        <v>599040</v>
      </c>
      <c r="J16" s="7">
        <f ca="1">IFERROR(__xludf.DUMMYFUNCTION("""COMPUTED_VALUE"""),753792.29)</f>
        <v>753792.29</v>
      </c>
      <c r="K16" s="7">
        <f ca="1">IFERROR(__xludf.DUMMYFUNCTION("""COMPUTED_VALUE"""),225267.96)</f>
        <v>225267.96</v>
      </c>
      <c r="L16" s="7">
        <f ca="1">IFERROR(__xludf.DUMMYFUNCTION("""COMPUTED_VALUE"""),979060.25)</f>
        <v>979060.25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5">
      <c r="A17" s="4">
        <f ca="1">IFERROR(__xludf.DUMMYFUNCTION("""COMPUTED_VALUE"""),171)</f>
        <v>171</v>
      </c>
      <c r="B17" s="4" t="str">
        <f ca="1">IFERROR(__xludf.DUMMYFUNCTION("""COMPUTED_VALUE"""),"Gimenez Candela")</f>
        <v>Gimenez Candela</v>
      </c>
      <c r="C17" s="6">
        <f ca="1">IFERROR(__xludf.DUMMYFUNCTION("""COMPUTED_VALUE"""),45789)</f>
        <v>45789</v>
      </c>
      <c r="D17" s="4" t="str">
        <f ca="1">IFERROR(__xludf.DUMMYFUNCTION("""COMPUTED_VALUE"""),"Lucero Recoleta")</f>
        <v>Lucero Recoleta</v>
      </c>
      <c r="E17" s="7">
        <f ca="1">IFERROR(__xludf.DUMMYFUNCTION("""COMPUTED_VALUE"""),123)</f>
        <v>123</v>
      </c>
      <c r="F17" s="7">
        <f ca="1">IFERROR(__xludf.DUMMYFUNCTION("""COMPUTED_VALUE"""),12)</f>
        <v>12</v>
      </c>
      <c r="G17" s="7">
        <f ca="1">IFERROR(__xludf.DUMMYFUNCTION("""COMPUTED_VALUE"""),111)</f>
        <v>111</v>
      </c>
      <c r="H17" s="7" t="str">
        <f ca="1">IFERROR(__xludf.DUMMYFUNCTION("""COMPUTED_VALUE"""),"SI")</f>
        <v>SI</v>
      </c>
      <c r="I17" s="7">
        <f ca="1">IFERROR(__xludf.DUMMYFUNCTION("""COMPUTED_VALUE"""),626095)</f>
        <v>626095</v>
      </c>
      <c r="J17" s="7">
        <f ca="1">IFERROR(__xludf.DUMMYFUNCTION("""COMPUTED_VALUE"""),786964.08)</f>
        <v>786964.08</v>
      </c>
      <c r="K17" s="7">
        <f ca="1">IFERROR(__xludf.DUMMYFUNCTION("""COMPUTED_VALUE"""),235386.53)</f>
        <v>235386.53</v>
      </c>
      <c r="L17" s="7">
        <f ca="1">IFERROR(__xludf.DUMMYFUNCTION("""COMPUTED_VALUE"""),1022350.61)</f>
        <v>1022350.61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5">
      <c r="A18" s="4">
        <f ca="1">IFERROR(__xludf.DUMMYFUNCTION("""COMPUTED_VALUE"""),173)</f>
        <v>173</v>
      </c>
      <c r="B18" s="4" t="str">
        <f ca="1">IFERROR(__xludf.DUMMYFUNCTION("""COMPUTED_VALUE"""),"Imperiale Candela")</f>
        <v>Imperiale Candela</v>
      </c>
      <c r="C18" s="6">
        <f ca="1">IFERROR(__xludf.DUMMYFUNCTION("""COMPUTED_VALUE"""),45447)</f>
        <v>45447</v>
      </c>
      <c r="D18" s="4" t="str">
        <f ca="1">IFERROR(__xludf.DUMMYFUNCTION("""COMPUTED_VALUE"""),"Lucero Florida")</f>
        <v>Lucero Florida</v>
      </c>
      <c r="E18" s="7">
        <f ca="1">IFERROR(__xludf.DUMMYFUNCTION("""COMPUTED_VALUE"""),132)</f>
        <v>132</v>
      </c>
      <c r="F18" s="7">
        <f ca="1">IFERROR(__xludf.DUMMYFUNCTION("""COMPUTED_VALUE"""),15)</f>
        <v>15</v>
      </c>
      <c r="G18" s="7">
        <f ca="1">IFERROR(__xludf.DUMMYFUNCTION("""COMPUTED_VALUE"""),117)</f>
        <v>117</v>
      </c>
      <c r="H18" s="7" t="str">
        <f ca="1">IFERROR(__xludf.DUMMYFUNCTION("""COMPUTED_VALUE"""),"NO")</f>
        <v>NO</v>
      </c>
      <c r="I18" s="7">
        <f ca="1">IFERROR(__xludf.DUMMYFUNCTION("""COMPUTED_VALUE"""),721008)</f>
        <v>721008</v>
      </c>
      <c r="J18" s="7">
        <f ca="1">IFERROR(__xludf.DUMMYFUNCTION("""COMPUTED_VALUE"""),907996.31)</f>
        <v>907996.31</v>
      </c>
      <c r="K18" s="7">
        <f ca="1">IFERROR(__xludf.DUMMYFUNCTION("""COMPUTED_VALUE"""),270883.992)</f>
        <v>270883.99200000003</v>
      </c>
      <c r="L18" s="7">
        <f ca="1">IFERROR(__xludf.DUMMYFUNCTION("""COMPUTED_VALUE"""),1178880.302)</f>
        <v>1178880.3019999999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5">
      <c r="A19" s="4">
        <f ca="1">IFERROR(__xludf.DUMMYFUNCTION("""COMPUTED_VALUE"""),174)</f>
        <v>174</v>
      </c>
      <c r="B19" s="4" t="str">
        <f ca="1">IFERROR(__xludf.DUMMYFUNCTION("""COMPUTED_VALUE"""),"Machuca Araceli ")</f>
        <v xml:space="preserve">Machuca Araceli </v>
      </c>
      <c r="C19" s="6">
        <f ca="1">IFERROR(__xludf.DUMMYFUNCTION("""COMPUTED_VALUE"""),45477)</f>
        <v>45477</v>
      </c>
      <c r="D19" s="4" t="str">
        <f ca="1">IFERROR(__xludf.DUMMYFUNCTION("""COMPUTED_VALUE"""),"Lucero French")</f>
        <v>Lucero French</v>
      </c>
      <c r="E19" s="7">
        <f ca="1">IFERROR(__xludf.DUMMYFUNCTION("""COMPUTED_VALUE"""),131)</f>
        <v>131</v>
      </c>
      <c r="F19" s="7">
        <f ca="1">IFERROR(__xludf.DUMMYFUNCTION("""COMPUTED_VALUE"""),15)</f>
        <v>15</v>
      </c>
      <c r="G19" s="7">
        <f ca="1">IFERROR(__xludf.DUMMYFUNCTION("""COMPUTED_VALUE"""),116)</f>
        <v>116</v>
      </c>
      <c r="H19" s="7" t="str">
        <f ca="1">IFERROR(__xludf.DUMMYFUNCTION("""COMPUTED_VALUE"""),"NO")</f>
        <v>NO</v>
      </c>
      <c r="I19" s="7">
        <f ca="1">IFERROR(__xludf.DUMMYFUNCTION("""COMPUTED_VALUE"""),713645)</f>
        <v>713645</v>
      </c>
      <c r="J19" s="7">
        <f ca="1">IFERROR(__xludf.DUMMYFUNCTION("""COMPUTED_VALUE"""),898655.25)</f>
        <v>898655.25</v>
      </c>
      <c r="K19" s="7">
        <f ca="1">IFERROR(__xludf.DUMMYFUNCTION("""COMPUTED_VALUE"""),268130.23)</f>
        <v>268130.23</v>
      </c>
      <c r="L19" s="7">
        <f ca="1">IFERROR(__xludf.DUMMYFUNCTION("""COMPUTED_VALUE"""),1166785.48)</f>
        <v>1166785.48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5">
      <c r="A20" s="4">
        <f ca="1">IFERROR(__xludf.DUMMYFUNCTION("""COMPUTED_VALUE"""),184)</f>
        <v>184</v>
      </c>
      <c r="B20" s="4" t="str">
        <f ca="1">IFERROR(__xludf.DUMMYFUNCTION("""COMPUTED_VALUE"""),"Villarruel Candela")</f>
        <v>Villarruel Candela</v>
      </c>
      <c r="C20" s="6">
        <f ca="1">IFERROR(__xludf.DUMMYFUNCTION("""COMPUTED_VALUE"""),45569)</f>
        <v>45569</v>
      </c>
      <c r="D20" s="4" t="str">
        <f ca="1">IFERROR(__xludf.DUMMYFUNCTION("""COMPUTED_VALUE"""),"AS Quilmes")</f>
        <v>AS Quilmes</v>
      </c>
      <c r="E20" s="7">
        <f ca="1">IFERROR(__xludf.DUMMYFUNCTION("""COMPUTED_VALUE"""),53)</f>
        <v>53</v>
      </c>
      <c r="F20" s="7">
        <f ca="1">IFERROR(__xludf.DUMMYFUNCTION("""COMPUTED_VALUE"""),0)</f>
        <v>0</v>
      </c>
      <c r="G20" s="7">
        <f ca="1">IFERROR(__xludf.DUMMYFUNCTION("""COMPUTED_VALUE"""),53)</f>
        <v>53</v>
      </c>
      <c r="H20" s="7" t="str">
        <f ca="1">IFERROR(__xludf.DUMMYFUNCTION("""COMPUTED_VALUE"""),"NO")</f>
        <v>NO</v>
      </c>
      <c r="I20" s="7">
        <f ca="1">IFERROR(__xludf.DUMMYFUNCTION("""COMPUTED_VALUE"""),502486)</f>
        <v>502486</v>
      </c>
      <c r="J20" s="7">
        <f ca="1">IFERROR(__xludf.DUMMYFUNCTION("""COMPUTED_VALUE"""),630979.5)</f>
        <v>630979.5</v>
      </c>
      <c r="K20" s="7">
        <f ca="1">IFERROR(__xludf.DUMMYFUNCTION("""COMPUTED_VALUE"""),189156.764)</f>
        <v>189156.764</v>
      </c>
      <c r="L20" s="7">
        <f ca="1">IFERROR(__xludf.DUMMYFUNCTION("""COMPUTED_VALUE"""),820136.264)</f>
        <v>820136.26399999997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4">
        <f ca="1">IFERROR(__xludf.DUMMYFUNCTION("""COMPUTED_VALUE"""),186)</f>
        <v>186</v>
      </c>
      <c r="B21" s="4" t="str">
        <f ca="1">IFERROR(__xludf.DUMMYFUNCTION("""COMPUTED_VALUE"""),"Balmaceda Luciana")</f>
        <v>Balmaceda Luciana</v>
      </c>
      <c r="C21" s="6">
        <f ca="1">IFERROR(__xludf.DUMMYFUNCTION("""COMPUTED_VALUE"""),45587)</f>
        <v>45587</v>
      </c>
      <c r="D21" s="4" t="str">
        <f ca="1">IFERROR(__xludf.DUMMYFUNCTION("""COMPUTED_VALUE"""),"Lucero Florida")</f>
        <v>Lucero Florida</v>
      </c>
      <c r="E21" s="7">
        <f ca="1">IFERROR(__xludf.DUMMYFUNCTION("""COMPUTED_VALUE"""),116)</f>
        <v>116</v>
      </c>
      <c r="F21" s="7">
        <f ca="1">IFERROR(__xludf.DUMMYFUNCTION("""COMPUTED_VALUE"""),10)</f>
        <v>10</v>
      </c>
      <c r="G21" s="7">
        <f ca="1">IFERROR(__xludf.DUMMYFUNCTION("""COMPUTED_VALUE"""),106)</f>
        <v>106</v>
      </c>
      <c r="H21" s="7" t="str">
        <f ca="1">IFERROR(__xludf.DUMMYFUNCTION("""COMPUTED_VALUE"""),"NO")</f>
        <v>NO</v>
      </c>
      <c r="I21" s="7">
        <f ca="1">IFERROR(__xludf.DUMMYFUNCTION("""COMPUTED_VALUE"""),627839)</f>
        <v>627839</v>
      </c>
      <c r="J21" s="7">
        <f ca="1">IFERROR(__xludf.DUMMYFUNCTION("""COMPUTED_VALUE"""),790331.62)</f>
        <v>790331.62</v>
      </c>
      <c r="K21" s="7">
        <f ca="1">IFERROR(__xludf.DUMMYFUNCTION("""COMPUTED_VALUE"""),236038.786)</f>
        <v>236038.78599999999</v>
      </c>
      <c r="L21" s="7">
        <f ca="1">IFERROR(__xludf.DUMMYFUNCTION("""COMPUTED_VALUE"""),1026370.406)</f>
        <v>1026370.406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5" x14ac:dyDescent="0.25">
      <c r="A22" s="4">
        <f ca="1">IFERROR(__xludf.DUMMYFUNCTION("""COMPUTED_VALUE"""),189)</f>
        <v>189</v>
      </c>
      <c r="B22" s="4" t="str">
        <f ca="1">IFERROR(__xludf.DUMMYFUNCTION("""COMPUTED_VALUE"""),"Oliva Micaela")</f>
        <v>Oliva Micaela</v>
      </c>
      <c r="C22" s="6">
        <f ca="1">IFERROR(__xludf.DUMMYFUNCTION("""COMPUTED_VALUE"""),45597)</f>
        <v>45597</v>
      </c>
      <c r="D22" s="4" t="str">
        <f ca="1">IFERROR(__xludf.DUMMYFUNCTION("""COMPUTED_VALUE"""),"Lucero Recoleta")</f>
        <v>Lucero Recoleta</v>
      </c>
      <c r="E22" s="7">
        <f ca="1">IFERROR(__xludf.DUMMYFUNCTION("""COMPUTED_VALUE"""),122)</f>
        <v>122</v>
      </c>
      <c r="F22" s="7">
        <f ca="1">IFERROR(__xludf.DUMMYFUNCTION("""COMPUTED_VALUE"""),13)</f>
        <v>13</v>
      </c>
      <c r="G22" s="7">
        <f ca="1">IFERROR(__xludf.DUMMYFUNCTION("""COMPUTED_VALUE"""),109)</f>
        <v>109</v>
      </c>
      <c r="H22" s="7" t="str">
        <f ca="1">IFERROR(__xludf.DUMMYFUNCTION("""COMPUTED_VALUE"""),"SI")</f>
        <v>SI</v>
      </c>
      <c r="I22" s="7">
        <f ca="1">IFERROR(__xludf.DUMMYFUNCTION("""COMPUTED_VALUE"""),651612)</f>
        <v>651612</v>
      </c>
      <c r="J22" s="7">
        <f ca="1">IFERROR(__xludf.DUMMYFUNCTION("""COMPUTED_VALUE"""),820048.87)</f>
        <v>820048.87</v>
      </c>
      <c r="K22" s="7">
        <f ca="1">IFERROR(__xludf.DUMMYFUNCTION("""COMPUTED_VALUE"""),244929.888)</f>
        <v>244929.88800000001</v>
      </c>
      <c r="L22" s="7">
        <f ca="1">IFERROR(__xludf.DUMMYFUNCTION("""COMPUTED_VALUE"""),1064978.758)</f>
        <v>1064978.7579999999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5" x14ac:dyDescent="0.25">
      <c r="A23" s="4">
        <f ca="1">IFERROR(__xludf.DUMMYFUNCTION("""COMPUTED_VALUE"""),190)</f>
        <v>190</v>
      </c>
      <c r="B23" s="4" t="str">
        <f ca="1">IFERROR(__xludf.DUMMYFUNCTION("""COMPUTED_VALUE"""),"Mohamad Daila")</f>
        <v>Mohamad Daila</v>
      </c>
      <c r="C23" s="6">
        <f ca="1">IFERROR(__xludf.DUMMYFUNCTION("""COMPUTED_VALUE"""),45597)</f>
        <v>45597</v>
      </c>
      <c r="D23" s="4" t="str">
        <f ca="1">IFERROR(__xludf.DUMMYFUNCTION("""COMPUTED_VALUE"""),"Lucero San Telmo 2")</f>
        <v>Lucero San Telmo 2</v>
      </c>
      <c r="E23" s="7">
        <f ca="1">IFERROR(__xludf.DUMMYFUNCTION("""COMPUTED_VALUE"""),132)</f>
        <v>132</v>
      </c>
      <c r="F23" s="7">
        <f ca="1">IFERROR(__xludf.DUMMYFUNCTION("""COMPUTED_VALUE"""),16)</f>
        <v>16</v>
      </c>
      <c r="G23" s="7">
        <f ca="1">IFERROR(__xludf.DUMMYFUNCTION("""COMPUTED_VALUE"""),116)</f>
        <v>116</v>
      </c>
      <c r="H23" s="7" t="str">
        <f ca="1">IFERROR(__xludf.DUMMYFUNCTION("""COMPUTED_VALUE"""),"NO")</f>
        <v>NO</v>
      </c>
      <c r="I23" s="7">
        <f ca="1">IFERROR(__xludf.DUMMYFUNCTION("""COMPUTED_VALUE"""),695866)</f>
        <v>695866</v>
      </c>
      <c r="J23" s="7">
        <f ca="1">IFERROR(__xludf.DUMMYFUNCTION("""COMPUTED_VALUE"""),875555.1)</f>
        <v>875555.1</v>
      </c>
      <c r="K23" s="7">
        <f ca="1">IFERROR(__xludf.DUMMYFUNCTION("""COMPUTED_VALUE"""),261480.884)</f>
        <v>261480.88399999999</v>
      </c>
      <c r="L23" s="7">
        <f ca="1">IFERROR(__xludf.DUMMYFUNCTION("""COMPUTED_VALUE"""),1137035.984)</f>
        <v>1137035.9839999999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5" x14ac:dyDescent="0.25">
      <c r="A24" s="4">
        <f ca="1">IFERROR(__xludf.DUMMYFUNCTION("""COMPUTED_VALUE"""),192)</f>
        <v>192</v>
      </c>
      <c r="B24" s="4" t="str">
        <f ca="1">IFERROR(__xludf.DUMMYFUNCTION("""COMPUTED_VALUE"""),"Sarapura Rebecca")</f>
        <v>Sarapura Rebecca</v>
      </c>
      <c r="C24" s="6">
        <f ca="1">IFERROR(__xludf.DUMMYFUNCTION("""COMPUTED_VALUE"""),45597)</f>
        <v>45597</v>
      </c>
      <c r="D24" s="4" t="str">
        <f ca="1">IFERROR(__xludf.DUMMYFUNCTION("""COMPUTED_VALUE"""),"Lucero San Telmo 1")</f>
        <v>Lucero San Telmo 1</v>
      </c>
      <c r="E24" s="7">
        <f ca="1">IFERROR(__xludf.DUMMYFUNCTION("""COMPUTED_VALUE"""),130)</f>
        <v>130</v>
      </c>
      <c r="F24" s="7">
        <f ca="1">IFERROR(__xludf.DUMMYFUNCTION("""COMPUTED_VALUE"""),12)</f>
        <v>12</v>
      </c>
      <c r="G24" s="7">
        <f ca="1">IFERROR(__xludf.DUMMYFUNCTION("""COMPUTED_VALUE"""),118)</f>
        <v>118</v>
      </c>
      <c r="H24" s="7" t="str">
        <f ca="1">IFERROR(__xludf.DUMMYFUNCTION("""COMPUTED_VALUE"""),"NO")</f>
        <v>NO</v>
      </c>
      <c r="I24" s="7">
        <f ca="1">IFERROR(__xludf.DUMMYFUNCTION("""COMPUTED_VALUE"""),684548)</f>
        <v>684548</v>
      </c>
      <c r="J24" s="7">
        <f ca="1">IFERROR(__xludf.DUMMYFUNCTION("""COMPUTED_VALUE"""),861270.24)</f>
        <v>861270.24</v>
      </c>
      <c r="K24" s="7">
        <f ca="1">IFERROR(__xludf.DUMMYFUNCTION("""COMPUTED_VALUE"""),257247.952)</f>
        <v>257247.95199999999</v>
      </c>
      <c r="L24" s="7">
        <f ca="1">IFERROR(__xludf.DUMMYFUNCTION("""COMPUTED_VALUE"""),1118518.192)</f>
        <v>1118518.192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5" x14ac:dyDescent="0.25">
      <c r="A25" s="4">
        <f ca="1">IFERROR(__xludf.DUMMYFUNCTION("""COMPUTED_VALUE"""),194)</f>
        <v>194</v>
      </c>
      <c r="B25" s="4" t="str">
        <f ca="1">IFERROR(__xludf.DUMMYFUNCTION("""COMPUTED_VALUE"""),"Scholler Chavez Ruth")</f>
        <v>Scholler Chavez Ruth</v>
      </c>
      <c r="C25" s="6">
        <f ca="1">IFERROR(__xludf.DUMMYFUNCTION("""COMPUTED_VALUE"""),45639)</f>
        <v>45639</v>
      </c>
      <c r="D25" s="4" t="str">
        <f ca="1">IFERROR(__xludf.DUMMYFUNCTION("""COMPUTED_VALUE"""),"Lucero French")</f>
        <v>Lucero French</v>
      </c>
      <c r="E25" s="7">
        <f ca="1">IFERROR(__xludf.DUMMYFUNCTION("""COMPUTED_VALUE"""),131)</f>
        <v>131</v>
      </c>
      <c r="F25" s="7">
        <f ca="1">IFERROR(__xludf.DUMMYFUNCTION("""COMPUTED_VALUE"""),14)</f>
        <v>14</v>
      </c>
      <c r="G25" s="7">
        <f ca="1">IFERROR(__xludf.DUMMYFUNCTION("""COMPUTED_VALUE"""),117)</f>
        <v>117</v>
      </c>
      <c r="H25" s="7" t="str">
        <f ca="1">IFERROR(__xludf.DUMMYFUNCTION("""COMPUTED_VALUE"""),"NO")</f>
        <v>NO</v>
      </c>
      <c r="I25" s="7">
        <f ca="1">IFERROR(__xludf.DUMMYFUNCTION("""COMPUTED_VALUE"""),696574)</f>
        <v>696574</v>
      </c>
      <c r="J25" s="7">
        <f ca="1">IFERROR(__xludf.DUMMYFUNCTION("""COMPUTED_VALUE"""),876628.1)</f>
        <v>876628.1</v>
      </c>
      <c r="K25" s="7">
        <f ca="1">IFERROR(__xludf.DUMMYFUNCTION("""COMPUTED_VALUE"""),261745.676)</f>
        <v>261745.67600000001</v>
      </c>
      <c r="L25" s="7">
        <f ca="1">IFERROR(__xludf.DUMMYFUNCTION("""COMPUTED_VALUE"""),1138373.776)</f>
        <v>1138373.7760000001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5" x14ac:dyDescent="0.25">
      <c r="A26" s="4">
        <f ca="1">IFERROR(__xludf.DUMMYFUNCTION("""COMPUTED_VALUE"""),197)</f>
        <v>197</v>
      </c>
      <c r="B26" s="4" t="str">
        <f ca="1">IFERROR(__xludf.DUMMYFUNCTION("""COMPUTED_VALUE"""),"Ramirez Lola")</f>
        <v>Ramirez Lola</v>
      </c>
      <c r="C26" s="6">
        <f ca="1">IFERROR(__xludf.DUMMYFUNCTION("""COMPUTED_VALUE"""),45659)</f>
        <v>45659</v>
      </c>
      <c r="D26" s="4" t="str">
        <f ca="1">IFERROR(__xludf.DUMMYFUNCTION("""COMPUTED_VALUE"""),"Lucero Florida")</f>
        <v>Lucero Florida</v>
      </c>
      <c r="E26" s="7">
        <f ca="1">IFERROR(__xludf.DUMMYFUNCTION("""COMPUTED_VALUE"""),118)</f>
        <v>118</v>
      </c>
      <c r="F26" s="7">
        <f ca="1">IFERROR(__xludf.DUMMYFUNCTION("""COMPUTED_VALUE"""),10)</f>
        <v>10</v>
      </c>
      <c r="G26" s="7">
        <f ca="1">IFERROR(__xludf.DUMMYFUNCTION("""COMPUTED_VALUE"""),108)</f>
        <v>108</v>
      </c>
      <c r="H26" s="7" t="str">
        <f ca="1">IFERROR(__xludf.DUMMYFUNCTION("""COMPUTED_VALUE"""),"NO")</f>
        <v>NO</v>
      </c>
      <c r="I26" s="7">
        <f ca="1">IFERROR(__xludf.DUMMYFUNCTION("""COMPUTED_VALUE"""),607593)</f>
        <v>607593</v>
      </c>
      <c r="J26" s="7">
        <f ca="1">IFERROR(__xludf.DUMMYFUNCTION("""COMPUTED_VALUE"""),763888.44)</f>
        <v>763888.44</v>
      </c>
      <c r="K26" s="7">
        <f ca="1">IFERROR(__xludf.DUMMYFUNCTION("""COMPUTED_VALUE"""),228466.782)</f>
        <v>228466.78200000001</v>
      </c>
      <c r="L26" s="7">
        <f ca="1">IFERROR(__xludf.DUMMYFUNCTION("""COMPUTED_VALUE"""),992355.222)</f>
        <v>992355.22199999995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5" x14ac:dyDescent="0.25">
      <c r="A27" s="4">
        <f ca="1">IFERROR(__xludf.DUMMYFUNCTION("""COMPUTED_VALUE"""),201)</f>
        <v>201</v>
      </c>
      <c r="B27" s="4" t="str">
        <f ca="1">IFERROR(__xludf.DUMMYFUNCTION("""COMPUTED_VALUE"""),"Naomi Guerreño")</f>
        <v>Naomi Guerreño</v>
      </c>
      <c r="C27" s="4"/>
      <c r="D27" s="4"/>
      <c r="E27" s="7">
        <f ca="1">IFERROR(__xludf.DUMMYFUNCTION("""COMPUTED_VALUE"""),0)</f>
        <v>0</v>
      </c>
      <c r="F27" s="7">
        <f ca="1">IFERROR(__xludf.DUMMYFUNCTION("""COMPUTED_VALUE"""),0)</f>
        <v>0</v>
      </c>
      <c r="G27" s="7">
        <f ca="1">IFERROR(__xludf.DUMMYFUNCTION("""COMPUTED_VALUE"""),0)</f>
        <v>0</v>
      </c>
      <c r="H27" s="7" t="str">
        <f ca="1">IFERROR(__xludf.DUMMYFUNCTION("""COMPUTED_VALUE"""),"NO")</f>
        <v>NO</v>
      </c>
      <c r="I27" s="4"/>
      <c r="J27" s="4"/>
      <c r="K27" s="7">
        <f ca="1">IFERROR(__xludf.DUMMYFUNCTION("""COMPUTED_VALUE"""),1227)</f>
        <v>1227</v>
      </c>
      <c r="L27" s="7">
        <f ca="1">IFERROR(__xludf.DUMMYFUNCTION("""COMPUTED_VALUE"""),1227)</f>
        <v>1227</v>
      </c>
      <c r="M27" s="4" t="str">
        <f ca="1">IFERROR(__xludf.DUMMYFUNCTION("""COMPUTED_VALUE"""),"BAJA")</f>
        <v>BAJA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5" x14ac:dyDescent="0.25">
      <c r="A28" s="4">
        <f ca="1">IFERROR(__xludf.DUMMYFUNCTION("""COMPUTED_VALUE"""),202)</f>
        <v>202</v>
      </c>
      <c r="B28" s="4" t="str">
        <f ca="1">IFERROR(__xludf.DUMMYFUNCTION("""COMPUTED_VALUE"""),"Machta Gina")</f>
        <v>Machta Gina</v>
      </c>
      <c r="C28" s="6">
        <f ca="1">IFERROR(__xludf.DUMMYFUNCTION("""COMPUTED_VALUE"""),45666)</f>
        <v>45666</v>
      </c>
      <c r="D28" s="4" t="str">
        <f ca="1">IFERROR(__xludf.DUMMYFUNCTION("""COMPUTED_VALUE"""),"Lucero Florida")</f>
        <v>Lucero Florida</v>
      </c>
      <c r="E28" s="7">
        <f ca="1">IFERROR(__xludf.DUMMYFUNCTION("""COMPUTED_VALUE"""),117)</f>
        <v>117</v>
      </c>
      <c r="F28" s="7">
        <f ca="1">IFERROR(__xludf.DUMMYFUNCTION("""COMPUTED_VALUE"""),9)</f>
        <v>9</v>
      </c>
      <c r="G28" s="7">
        <f ca="1">IFERROR(__xludf.DUMMYFUNCTION("""COMPUTED_VALUE"""),108)</f>
        <v>108</v>
      </c>
      <c r="H28" s="7" t="str">
        <f ca="1">IFERROR(__xludf.DUMMYFUNCTION("""COMPUTED_VALUE"""),"NO")</f>
        <v>NO</v>
      </c>
      <c r="I28" s="7">
        <f ca="1">IFERROR(__xludf.DUMMYFUNCTION("""COMPUTED_VALUE"""),599290)</f>
        <v>599290</v>
      </c>
      <c r="J28" s="7">
        <f ca="1">IFERROR(__xludf.DUMMYFUNCTION("""COMPUTED_VALUE"""),753334.49)</f>
        <v>753334.49</v>
      </c>
      <c r="K28" s="7">
        <f ca="1">IFERROR(__xludf.DUMMYFUNCTION("""COMPUTED_VALUE"""),225361.46)</f>
        <v>225361.46</v>
      </c>
      <c r="L28" s="7">
        <f ca="1">IFERROR(__xludf.DUMMYFUNCTION("""COMPUTED_VALUE"""),978695.95)</f>
        <v>978695.95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5" x14ac:dyDescent="0.25">
      <c r="A29" s="4">
        <f ca="1">IFERROR(__xludf.DUMMYFUNCTION("""COMPUTED_VALUE"""),204)</f>
        <v>204</v>
      </c>
      <c r="B29" s="4" t="str">
        <f ca="1">IFERROR(__xludf.DUMMYFUNCTION("""COMPUTED_VALUE"""),"Dettoni Leguizamon Oriana")</f>
        <v>Dettoni Leguizamon Oriana</v>
      </c>
      <c r="C29" s="6">
        <f ca="1">IFERROR(__xludf.DUMMYFUNCTION("""COMPUTED_VALUE"""),45693)</f>
        <v>45693</v>
      </c>
      <c r="D29" s="4" t="str">
        <f ca="1">IFERROR(__xludf.DUMMYFUNCTION("""COMPUTED_VALUE"""),"Lucero Florida")</f>
        <v>Lucero Florida</v>
      </c>
      <c r="E29" s="7">
        <f ca="1">IFERROR(__xludf.DUMMYFUNCTION("""COMPUTED_VALUE"""),0)</f>
        <v>0</v>
      </c>
      <c r="F29" s="7">
        <f ca="1">IFERROR(__xludf.DUMMYFUNCTION("""COMPUTED_VALUE"""),0)</f>
        <v>0</v>
      </c>
      <c r="G29" s="7">
        <f ca="1">IFERROR(__xludf.DUMMYFUNCTION("""COMPUTED_VALUE"""),0)</f>
        <v>0</v>
      </c>
      <c r="H29" s="7" t="str">
        <f ca="1">IFERROR(__xludf.DUMMYFUNCTION("""COMPUTED_VALUE"""),"NO")</f>
        <v>NO</v>
      </c>
      <c r="I29" s="4"/>
      <c r="J29" s="4"/>
      <c r="K29" s="7">
        <f ca="1">IFERROR(__xludf.DUMMYFUNCTION("""COMPUTED_VALUE"""),1227)</f>
        <v>1227</v>
      </c>
      <c r="L29" s="7">
        <f ca="1">IFERROR(__xludf.DUMMYFUNCTION("""COMPUTED_VALUE"""),1227)</f>
        <v>1227</v>
      </c>
      <c r="M29" s="4" t="str">
        <f ca="1">IFERROR(__xludf.DUMMYFUNCTION("""COMPUTED_VALUE"""),"BAJA")</f>
        <v>BAJA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5" x14ac:dyDescent="0.25">
      <c r="A30" s="4">
        <f ca="1">IFERROR(__xludf.DUMMYFUNCTION("""COMPUTED_VALUE"""),205)</f>
        <v>205</v>
      </c>
      <c r="B30" s="4" t="str">
        <f ca="1">IFERROR(__xludf.DUMMYFUNCTION("""COMPUTED_VALUE"""),"Florencia Aguero")</f>
        <v>Florencia Aguero</v>
      </c>
      <c r="C30" s="6">
        <f ca="1">IFERROR(__xludf.DUMMYFUNCTION("""COMPUTED_VALUE"""),45713)</f>
        <v>45713</v>
      </c>
      <c r="D30" s="4" t="str">
        <f ca="1">IFERROR(__xludf.DUMMYFUNCTION("""COMPUTED_VALUE"""),"Lucero San Telmo 2")</f>
        <v>Lucero San Telmo 2</v>
      </c>
      <c r="E30" s="7">
        <f ca="1">IFERROR(__xludf.DUMMYFUNCTION("""COMPUTED_VALUE"""),132)</f>
        <v>132</v>
      </c>
      <c r="F30" s="7">
        <f ca="1">IFERROR(__xludf.DUMMYFUNCTION("""COMPUTED_VALUE"""),11)</f>
        <v>11</v>
      </c>
      <c r="G30" s="7">
        <f ca="1">IFERROR(__xludf.DUMMYFUNCTION("""COMPUTED_VALUE"""),121)</f>
        <v>121</v>
      </c>
      <c r="H30" s="7" t="str">
        <f ca="1">IFERROR(__xludf.DUMMYFUNCTION("""COMPUTED_VALUE"""),"NO")</f>
        <v>NO</v>
      </c>
      <c r="I30" s="7">
        <f ca="1">IFERROR(__xludf.DUMMYFUNCTION("""COMPUTED_VALUE"""),678229)</f>
        <v>678229</v>
      </c>
      <c r="J30" s="7">
        <f ca="1">IFERROR(__xludf.DUMMYFUNCTION("""COMPUTED_VALUE"""),852797.53)</f>
        <v>852797.53</v>
      </c>
      <c r="K30" s="7">
        <f ca="1">IFERROR(__xludf.DUMMYFUNCTION("""COMPUTED_VALUE"""),254884.646)</f>
        <v>254884.64600000001</v>
      </c>
      <c r="L30" s="7">
        <f ca="1">IFERROR(__xludf.DUMMYFUNCTION("""COMPUTED_VALUE"""),1107682.176)</f>
        <v>1107682.176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5" x14ac:dyDescent="0.25">
      <c r="A31" s="4">
        <f ca="1">IFERROR(__xludf.DUMMYFUNCTION("""COMPUTED_VALUE"""),206)</f>
        <v>206</v>
      </c>
      <c r="B31" s="4" t="str">
        <f ca="1">IFERROR(__xludf.DUMMYFUNCTION("""COMPUTED_VALUE"""),"Morena Martinez ")</f>
        <v xml:space="preserve">Morena Martinez </v>
      </c>
      <c r="C31" s="6">
        <f ca="1">IFERROR(__xludf.DUMMYFUNCTION("""COMPUTED_VALUE"""),45713)</f>
        <v>45713</v>
      </c>
      <c r="D31" s="4" t="str">
        <f ca="1">IFERROR(__xludf.DUMMYFUNCTION("""COMPUTED_VALUE"""),"Lucero San Telmo 1")</f>
        <v>Lucero San Telmo 1</v>
      </c>
      <c r="E31" s="7">
        <f ca="1">IFERROR(__xludf.DUMMYFUNCTION("""COMPUTED_VALUE"""),131)</f>
        <v>131</v>
      </c>
      <c r="F31" s="7">
        <f ca="1">IFERROR(__xludf.DUMMYFUNCTION("""COMPUTED_VALUE"""),12)</f>
        <v>12</v>
      </c>
      <c r="G31" s="7">
        <f ca="1">IFERROR(__xludf.DUMMYFUNCTION("""COMPUTED_VALUE"""),119)</f>
        <v>119</v>
      </c>
      <c r="H31" s="7" t="str">
        <f ca="1">IFERROR(__xludf.DUMMYFUNCTION("""COMPUTED_VALUE"""),"NO")</f>
        <v>NO</v>
      </c>
      <c r="I31" s="7">
        <f ca="1">IFERROR(__xludf.DUMMYFUNCTION("""COMPUTED_VALUE"""),674603)</f>
        <v>674603</v>
      </c>
      <c r="J31" s="7">
        <f ca="1">IFERROR(__xludf.DUMMYFUNCTION("""COMPUTED_VALUE"""),848278.57)</f>
        <v>848278.57</v>
      </c>
      <c r="K31" s="7">
        <f ca="1">IFERROR(__xludf.DUMMYFUNCTION("""COMPUTED_VALUE"""),253528.522)</f>
        <v>253528.522</v>
      </c>
      <c r="L31" s="7">
        <f ca="1">IFERROR(__xludf.DUMMYFUNCTION("""COMPUTED_VALUE"""),1101807.092)</f>
        <v>1101807.0919999999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5" x14ac:dyDescent="0.25">
      <c r="A32" s="4">
        <f ca="1">IFERROR(__xludf.DUMMYFUNCTION("""COMPUTED_VALUE"""),207)</f>
        <v>207</v>
      </c>
      <c r="B32" s="4" t="str">
        <f ca="1">IFERROR(__xludf.DUMMYFUNCTION("""COMPUTED_VALUE"""),"Chiara Perazzo")</f>
        <v>Chiara Perazzo</v>
      </c>
      <c r="C32" s="6">
        <f ca="1">IFERROR(__xludf.DUMMYFUNCTION("""COMPUTED_VALUE"""),45721)</f>
        <v>45721</v>
      </c>
      <c r="D32" s="4" t="str">
        <f ca="1">IFERROR(__xludf.DUMMYFUNCTION("""COMPUTED_VALUE"""),"AS San Telmo")</f>
        <v>AS San Telmo</v>
      </c>
      <c r="E32" s="7">
        <f ca="1">IFERROR(__xludf.DUMMYFUNCTION("""COMPUTED_VALUE"""),81)</f>
        <v>81</v>
      </c>
      <c r="F32" s="7">
        <f ca="1">IFERROR(__xludf.DUMMYFUNCTION("""COMPUTED_VALUE"""),0)</f>
        <v>0</v>
      </c>
      <c r="G32" s="7">
        <f ca="1">IFERROR(__xludf.DUMMYFUNCTION("""COMPUTED_VALUE"""),81)</f>
        <v>81</v>
      </c>
      <c r="H32" s="7" t="str">
        <f ca="1">IFERROR(__xludf.DUMMYFUNCTION("""COMPUTED_VALUE"""),"NO")</f>
        <v>NO</v>
      </c>
      <c r="I32" s="4"/>
      <c r="J32" s="4"/>
      <c r="K32" s="7">
        <f ca="1">IFERROR(__xludf.DUMMYFUNCTION("""COMPUTED_VALUE"""),1227)</f>
        <v>1227</v>
      </c>
      <c r="L32" s="7">
        <f ca="1">IFERROR(__xludf.DUMMYFUNCTION("""COMPUTED_VALUE"""),1227)</f>
        <v>1227</v>
      </c>
      <c r="M32" s="4" t="str">
        <f ca="1">IFERROR(__xludf.DUMMYFUNCTION("""COMPUTED_VALUE"""),"No figura en Liq Estudio")</f>
        <v>No figura en Liq Estudio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7.5" x14ac:dyDescent="0.25">
      <c r="A36" s="9"/>
      <c r="B36" s="9"/>
      <c r="C36" s="9"/>
      <c r="D36" s="9" t="str">
        <f ca="1">IFERROR(__xludf.DUMMYFUNCTION("""COMPUTED_VALUE"""),"VENDEDOR B - tarifa standard")</f>
        <v>VENDEDOR B - tarifa standard</v>
      </c>
      <c r="E36" s="9"/>
      <c r="F36" s="9"/>
      <c r="G36" s="9"/>
      <c r="H36" s="9"/>
      <c r="I36" s="10" t="str">
        <f ca="1">IFERROR(__xludf.DUMMYFUNCTION("""COMPUTED_VALUE"""),"VENDEDOR B - S Neto 88hs // 132hs")</f>
        <v>VENDEDOR B - S Neto 88hs // 132hs</v>
      </c>
      <c r="J36" s="10" t="str">
        <f ca="1">IFERROR(__xludf.DUMMYFUNCTION("""COMPUTED_VALUE"""),"VENDEDOR B - S Bruto- 88hs // 132hs")</f>
        <v>VENDEDOR B - S Bruto- 88hs // 132hs</v>
      </c>
      <c r="K36" s="10" t="str">
        <f ca="1">IFERROR(__xludf.DUMMYFUNCTION("""COMPUTED_VALUE"""),"Contribuciones + ART 88hs // 132hs")</f>
        <v>Contribuciones + ART 88hs // 132hs</v>
      </c>
      <c r="L36" s="10" t="str">
        <f ca="1">IFERROR(__xludf.DUMMYFUNCTION("""COMPUTED_VALUE"""),"COSTO TOTAL 88hs // 132hs")</f>
        <v>COSTO TOTAL 88hs // 132hs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2.5" x14ac:dyDescent="0.25">
      <c r="A37" s="9">
        <f ca="1">IFERROR(__xludf.DUMMYFUNCTION("""COMPUTED_VALUE"""),500)</f>
        <v>500</v>
      </c>
      <c r="B37" s="9" t="str">
        <f ca="1">IFERROR(__xludf.DUMMYFUNCTION("""COMPUTED_VALUE"""),"VENDEDORA B 88 HS")</f>
        <v>VENDEDORA B 88 HS</v>
      </c>
      <c r="C37" s="9"/>
      <c r="D37" s="9" t="str">
        <f ca="1">IFERROR(__xludf.DUMMYFUNCTION("""COMPUTED_VALUE"""),"Dif plus vacacional 88hs")</f>
        <v>Dif plus vacacional 88hs</v>
      </c>
      <c r="E37" s="11">
        <f ca="1">IFERROR(__xludf.DUMMYFUNCTION("""COMPUTED_VALUE"""),39006)</f>
        <v>39006</v>
      </c>
      <c r="F37" s="9"/>
      <c r="G37" s="9"/>
      <c r="H37" s="9"/>
      <c r="I37" s="12">
        <f ca="1">IFERROR(__xludf.DUMMYFUNCTION("""COMPUTED_VALUE"""),417931)</f>
        <v>417931</v>
      </c>
      <c r="J37" s="12">
        <f ca="1">IFERROR(__xludf.DUMMYFUNCTION("""COMPUTED_VALUE"""),523950.9656635)</f>
        <v>523950.96566350001</v>
      </c>
      <c r="K37" s="11">
        <f ca="1">IFERROR(__xludf.DUMMYFUNCTION("""COMPUTED_VALUE"""),157533.194)</f>
        <v>157533.19399999999</v>
      </c>
      <c r="L37" s="12">
        <f ca="1">IFERROR(__xludf.DUMMYFUNCTION("""COMPUTED_VALUE"""),681484.1596635)</f>
        <v>681484.15966350003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2.5" x14ac:dyDescent="0.25">
      <c r="A38" s="9">
        <f ca="1">IFERROR(__xludf.DUMMYFUNCTION("""COMPUTED_VALUE"""),501)</f>
        <v>501</v>
      </c>
      <c r="B38" s="9" t="str">
        <f ca="1">IFERROR(__xludf.DUMMYFUNCTION("""COMPUTED_VALUE"""),"VENDEDORA B 132 HS")</f>
        <v>VENDEDORA B 132 HS</v>
      </c>
      <c r="C38" s="9"/>
      <c r="D38" s="9" t="str">
        <f ca="1">IFERROR(__xludf.DUMMYFUNCTION("""COMPUTED_VALUE"""),"Dif plus vacacional 132 Hs")</f>
        <v>Dif plus vacacional 132 Hs</v>
      </c>
      <c r="E38" s="11">
        <f ca="1">IFERROR(__xludf.DUMMYFUNCTION("""COMPUTED_VALUE"""),58306)</f>
        <v>58306</v>
      </c>
      <c r="F38" s="9"/>
      <c r="G38" s="9"/>
      <c r="H38" s="9"/>
      <c r="I38" s="12">
        <f ca="1">IFERROR(__xludf.DUMMYFUNCTION("""COMPUTED_VALUE"""),624707)</f>
        <v>624707</v>
      </c>
      <c r="J38" s="12">
        <f ca="1">IFERROR(__xludf.DUMMYFUNCTION("""COMPUTED_VALUE"""),783736.94849525)</f>
        <v>783736.94849524996</v>
      </c>
      <c r="K38" s="11">
        <f ca="1">IFERROR(__xludf.DUMMYFUNCTION("""COMPUTED_VALUE"""),234867.418)</f>
        <v>234867.41800000001</v>
      </c>
      <c r="L38" s="12">
        <f ca="1">IFERROR(__xludf.DUMMYFUNCTION("""COMPUTED_VALUE"""),1018604.36649525)</f>
        <v>1018604.36649525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2.5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2.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5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5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5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5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5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5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5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5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5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5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5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5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5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5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5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5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5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5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5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5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5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5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5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5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5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5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5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5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5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5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5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5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5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5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5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5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5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5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5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5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5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5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5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5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5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5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5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5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5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5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baseColWidth="10" defaultColWidth="12.6328125" defaultRowHeight="15.75" customHeight="1" x14ac:dyDescent="0.25"/>
  <cols>
    <col min="1" max="1" width="41.6328125" customWidth="1"/>
    <col min="2" max="2" width="11.08984375" customWidth="1"/>
    <col min="3" max="3" width="23" customWidth="1"/>
    <col min="4" max="4" width="16.36328125" customWidth="1"/>
    <col min="5" max="7" width="12.08984375" customWidth="1"/>
    <col min="8" max="8" width="13.6328125" customWidth="1"/>
    <col min="9" max="9" width="13" customWidth="1"/>
  </cols>
  <sheetData>
    <row r="1" spans="1:26" ht="15.75" customHeight="1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75" customHeight="1" x14ac:dyDescent="0.35">
      <c r="A2" s="15" t="s">
        <v>9</v>
      </c>
      <c r="B2" s="16"/>
      <c r="C2" s="15" t="s">
        <v>10</v>
      </c>
      <c r="D2" s="17"/>
      <c r="E2" s="18"/>
      <c r="F2" s="18"/>
      <c r="G2" s="17"/>
      <c r="H2" s="19" t="s">
        <v>11</v>
      </c>
      <c r="I2" s="20">
        <v>45722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customHeight="1" x14ac:dyDescent="0.35">
      <c r="A3" s="15" t="s">
        <v>12</v>
      </c>
      <c r="B3" s="21" t="s">
        <v>13</v>
      </c>
      <c r="C3" s="15" t="s">
        <v>14</v>
      </c>
      <c r="D3" s="15" t="s">
        <v>15</v>
      </c>
      <c r="E3" s="17"/>
      <c r="F3" s="17"/>
      <c r="G3" s="17"/>
      <c r="H3" s="19" t="s">
        <v>16</v>
      </c>
      <c r="I3" s="20">
        <v>45734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.75" customHeight="1" x14ac:dyDescent="0.35">
      <c r="A4" s="15" t="s">
        <v>12</v>
      </c>
      <c r="B4" s="21" t="s">
        <v>17</v>
      </c>
      <c r="C4" s="15" t="s">
        <v>14</v>
      </c>
      <c r="D4" s="15" t="s">
        <v>15</v>
      </c>
      <c r="E4" s="19" t="s">
        <v>18</v>
      </c>
      <c r="F4" s="19" t="s">
        <v>19</v>
      </c>
      <c r="G4" s="19" t="s">
        <v>20</v>
      </c>
      <c r="H4" s="19" t="s">
        <v>21</v>
      </c>
      <c r="I4" s="20">
        <v>45734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.75" customHeight="1" x14ac:dyDescent="0.35">
      <c r="A5" s="15" t="s">
        <v>12</v>
      </c>
      <c r="B5" s="21" t="s">
        <v>22</v>
      </c>
      <c r="C5" s="15" t="s">
        <v>23</v>
      </c>
      <c r="D5" s="15" t="s">
        <v>24</v>
      </c>
      <c r="E5" s="19" t="s">
        <v>25</v>
      </c>
      <c r="F5" s="19" t="s">
        <v>26</v>
      </c>
      <c r="G5" s="19" t="s">
        <v>27</v>
      </c>
      <c r="H5" s="19" t="s">
        <v>28</v>
      </c>
      <c r="I5" s="20">
        <v>45727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.75" customHeight="1" x14ac:dyDescent="0.35">
      <c r="A6" s="15" t="s">
        <v>12</v>
      </c>
      <c r="B6" s="21" t="s">
        <v>22</v>
      </c>
      <c r="C6" s="15" t="s">
        <v>23</v>
      </c>
      <c r="D6" s="15" t="s">
        <v>29</v>
      </c>
      <c r="E6" s="19" t="s">
        <v>30</v>
      </c>
      <c r="F6" s="19" t="s">
        <v>31</v>
      </c>
      <c r="G6" s="19" t="s">
        <v>32</v>
      </c>
      <c r="H6" s="19" t="s">
        <v>33</v>
      </c>
      <c r="I6" s="20">
        <v>45727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.75" customHeight="1" x14ac:dyDescent="0.35">
      <c r="A7" s="15" t="s">
        <v>12</v>
      </c>
      <c r="B7" s="21" t="s">
        <v>22</v>
      </c>
      <c r="C7" s="15" t="s">
        <v>23</v>
      </c>
      <c r="D7" s="15" t="s">
        <v>34</v>
      </c>
      <c r="E7" s="19" t="s">
        <v>35</v>
      </c>
      <c r="F7" s="19" t="s">
        <v>36</v>
      </c>
      <c r="G7" s="19" t="s">
        <v>37</v>
      </c>
      <c r="H7" s="19" t="s">
        <v>38</v>
      </c>
      <c r="I7" s="20">
        <v>45733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.75" customHeight="1" x14ac:dyDescent="0.35">
      <c r="A8" s="15" t="s">
        <v>12</v>
      </c>
      <c r="B8" s="21" t="s">
        <v>39</v>
      </c>
      <c r="C8" s="15" t="s">
        <v>14</v>
      </c>
      <c r="D8" s="15" t="s">
        <v>15</v>
      </c>
      <c r="E8" s="17"/>
      <c r="F8" s="17"/>
      <c r="G8" s="17"/>
      <c r="H8" s="19" t="s">
        <v>40</v>
      </c>
      <c r="I8" s="20">
        <v>45734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.75" customHeight="1" x14ac:dyDescent="0.35">
      <c r="A9" s="15" t="s">
        <v>12</v>
      </c>
      <c r="B9" s="21" t="s">
        <v>41</v>
      </c>
      <c r="C9" s="15" t="s">
        <v>42</v>
      </c>
      <c r="D9" s="15" t="s">
        <v>43</v>
      </c>
      <c r="E9" s="19" t="s">
        <v>44</v>
      </c>
      <c r="F9" s="19" t="s">
        <v>45</v>
      </c>
      <c r="G9" s="17"/>
      <c r="H9" s="19" t="s">
        <v>46</v>
      </c>
      <c r="I9" s="20">
        <v>45737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 x14ac:dyDescent="0.35">
      <c r="A10" s="15" t="s">
        <v>12</v>
      </c>
      <c r="B10" s="21" t="s">
        <v>47</v>
      </c>
      <c r="C10" s="15" t="s">
        <v>48</v>
      </c>
      <c r="D10" s="15" t="s">
        <v>49</v>
      </c>
      <c r="E10" s="19" t="s">
        <v>50</v>
      </c>
      <c r="F10" s="19" t="s">
        <v>51</v>
      </c>
      <c r="G10" s="19" t="s">
        <v>52</v>
      </c>
      <c r="H10" s="19" t="s">
        <v>53</v>
      </c>
      <c r="I10" s="20">
        <v>45722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.75" customHeight="1" x14ac:dyDescent="0.35">
      <c r="A11" s="15" t="s">
        <v>12</v>
      </c>
      <c r="B11" s="21" t="s">
        <v>54</v>
      </c>
      <c r="C11" s="15" t="s">
        <v>14</v>
      </c>
      <c r="D11" s="15" t="s">
        <v>55</v>
      </c>
      <c r="E11" s="19" t="s">
        <v>56</v>
      </c>
      <c r="F11" s="19" t="s">
        <v>57</v>
      </c>
      <c r="G11" s="17"/>
      <c r="H11" s="19" t="s">
        <v>58</v>
      </c>
      <c r="I11" s="20">
        <v>45754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75" customHeight="1" x14ac:dyDescent="0.35">
      <c r="A12" s="15" t="s">
        <v>12</v>
      </c>
      <c r="B12" s="16"/>
      <c r="C12" s="15" t="s">
        <v>59</v>
      </c>
      <c r="D12" s="17"/>
      <c r="E12" s="18"/>
      <c r="F12" s="18"/>
      <c r="G12" s="17"/>
      <c r="H12" s="19" t="s">
        <v>60</v>
      </c>
      <c r="I12" s="20">
        <v>45737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 x14ac:dyDescent="0.35">
      <c r="A13" s="15" t="s">
        <v>12</v>
      </c>
      <c r="B13" s="16"/>
      <c r="C13" s="15" t="s">
        <v>10</v>
      </c>
      <c r="D13" s="17"/>
      <c r="E13" s="18"/>
      <c r="F13" s="18"/>
      <c r="G13" s="17"/>
      <c r="H13" s="19" t="s">
        <v>11</v>
      </c>
      <c r="I13" s="20">
        <v>45722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35">
      <c r="A14" s="15" t="s">
        <v>61</v>
      </c>
      <c r="B14" s="21" t="s">
        <v>22</v>
      </c>
      <c r="C14" s="15" t="s">
        <v>23</v>
      </c>
      <c r="D14" s="15" t="s">
        <v>62</v>
      </c>
      <c r="E14" s="19" t="s">
        <v>63</v>
      </c>
      <c r="F14" s="19" t="s">
        <v>64</v>
      </c>
      <c r="G14" s="19" t="s">
        <v>65</v>
      </c>
      <c r="H14" s="19" t="s">
        <v>66</v>
      </c>
      <c r="I14" s="20">
        <v>45727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35">
      <c r="A15" s="15" t="s">
        <v>61</v>
      </c>
      <c r="B15" s="21" t="s">
        <v>22</v>
      </c>
      <c r="C15" s="15" t="s">
        <v>23</v>
      </c>
      <c r="D15" s="15" t="s">
        <v>67</v>
      </c>
      <c r="E15" s="19" t="s">
        <v>68</v>
      </c>
      <c r="F15" s="19" t="s">
        <v>69</v>
      </c>
      <c r="G15" s="19" t="s">
        <v>70</v>
      </c>
      <c r="H15" s="19" t="s">
        <v>71</v>
      </c>
      <c r="I15" s="20">
        <v>45727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35">
      <c r="A16" s="15" t="s">
        <v>61</v>
      </c>
      <c r="B16" s="21" t="s">
        <v>39</v>
      </c>
      <c r="C16" s="15" t="s">
        <v>72</v>
      </c>
      <c r="D16" s="17"/>
      <c r="E16" s="19" t="s">
        <v>73</v>
      </c>
      <c r="F16" s="17"/>
      <c r="G16" s="17"/>
      <c r="H16" s="19" t="s">
        <v>73</v>
      </c>
      <c r="I16" s="20">
        <v>45730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35">
      <c r="A17" s="15" t="s">
        <v>61</v>
      </c>
      <c r="B17" s="21" t="s">
        <v>41</v>
      </c>
      <c r="C17" s="15" t="s">
        <v>42</v>
      </c>
      <c r="D17" s="15" t="s">
        <v>43</v>
      </c>
      <c r="E17" s="19" t="s">
        <v>74</v>
      </c>
      <c r="F17" s="19" t="s">
        <v>75</v>
      </c>
      <c r="G17" s="17"/>
      <c r="H17" s="19" t="s">
        <v>76</v>
      </c>
      <c r="I17" s="20">
        <v>45737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35">
      <c r="A18" s="15" t="s">
        <v>61</v>
      </c>
      <c r="B18" s="21" t="s">
        <v>47</v>
      </c>
      <c r="C18" s="15" t="s">
        <v>48</v>
      </c>
      <c r="D18" s="15" t="s">
        <v>77</v>
      </c>
      <c r="E18" s="19" t="s">
        <v>78</v>
      </c>
      <c r="F18" s="19" t="s">
        <v>79</v>
      </c>
      <c r="G18" s="19" t="s">
        <v>80</v>
      </c>
      <c r="H18" s="19" t="s">
        <v>81</v>
      </c>
      <c r="I18" s="20">
        <v>45722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35">
      <c r="A19" s="15" t="s">
        <v>61</v>
      </c>
      <c r="B19" s="21" t="s">
        <v>54</v>
      </c>
      <c r="C19" s="15" t="s">
        <v>82</v>
      </c>
      <c r="D19" s="17"/>
      <c r="E19" s="17"/>
      <c r="F19" s="19" t="s">
        <v>80</v>
      </c>
      <c r="G19" s="17"/>
      <c r="H19" s="19" t="s">
        <v>83</v>
      </c>
      <c r="I19" s="20">
        <v>45763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35">
      <c r="A20" s="15" t="s">
        <v>61</v>
      </c>
      <c r="B20" s="16"/>
      <c r="C20" s="15" t="s">
        <v>10</v>
      </c>
      <c r="D20" s="17"/>
      <c r="E20" s="18"/>
      <c r="F20" s="18"/>
      <c r="G20" s="17"/>
      <c r="H20" s="19" t="s">
        <v>11</v>
      </c>
      <c r="I20" s="20">
        <v>45722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35">
      <c r="A21" s="15" t="s">
        <v>84</v>
      </c>
      <c r="B21" s="21" t="s">
        <v>41</v>
      </c>
      <c r="C21" s="15" t="s">
        <v>42</v>
      </c>
      <c r="D21" s="15" t="s">
        <v>43</v>
      </c>
      <c r="E21" s="19" t="s">
        <v>74</v>
      </c>
      <c r="F21" s="19" t="s">
        <v>75</v>
      </c>
      <c r="G21" s="17"/>
      <c r="H21" s="19" t="s">
        <v>76</v>
      </c>
      <c r="I21" s="20">
        <v>45737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4.5" x14ac:dyDescent="0.35">
      <c r="A22" s="15" t="s">
        <v>84</v>
      </c>
      <c r="B22" s="21" t="s">
        <v>47</v>
      </c>
      <c r="C22" s="15" t="s">
        <v>48</v>
      </c>
      <c r="D22" s="15" t="s">
        <v>85</v>
      </c>
      <c r="E22" s="19" t="s">
        <v>86</v>
      </c>
      <c r="F22" s="19" t="s">
        <v>87</v>
      </c>
      <c r="G22" s="17"/>
      <c r="H22" s="19" t="s">
        <v>88</v>
      </c>
      <c r="I22" s="20">
        <v>45722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4.5" x14ac:dyDescent="0.35">
      <c r="A23" s="15" t="s">
        <v>84</v>
      </c>
      <c r="B23" s="21" t="s">
        <v>54</v>
      </c>
      <c r="C23" s="15" t="s">
        <v>89</v>
      </c>
      <c r="D23" s="15" t="s">
        <v>90</v>
      </c>
      <c r="E23" s="19" t="s">
        <v>91</v>
      </c>
      <c r="F23" s="19" t="s">
        <v>92</v>
      </c>
      <c r="G23" s="19" t="s">
        <v>93</v>
      </c>
      <c r="H23" s="19" t="s">
        <v>94</v>
      </c>
      <c r="I23" s="20">
        <v>45761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4.5" x14ac:dyDescent="0.35">
      <c r="A24" s="15" t="s">
        <v>84</v>
      </c>
      <c r="B24" s="16"/>
      <c r="C24" s="15" t="s">
        <v>59</v>
      </c>
      <c r="D24" s="17"/>
      <c r="E24" s="18"/>
      <c r="F24" s="18"/>
      <c r="G24" s="17"/>
      <c r="H24" s="19" t="s">
        <v>95</v>
      </c>
      <c r="I24" s="20">
        <v>45737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4.5" x14ac:dyDescent="0.35">
      <c r="A25" s="15" t="s">
        <v>84</v>
      </c>
      <c r="B25" s="16"/>
      <c r="C25" s="15" t="s">
        <v>59</v>
      </c>
      <c r="D25" s="17"/>
      <c r="E25" s="18"/>
      <c r="F25" s="18"/>
      <c r="G25" s="17"/>
      <c r="H25" s="19" t="s">
        <v>96</v>
      </c>
      <c r="I25" s="20">
        <v>45737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4.5" x14ac:dyDescent="0.35">
      <c r="A26" s="15" t="s">
        <v>97</v>
      </c>
      <c r="B26" s="21" t="s">
        <v>22</v>
      </c>
      <c r="C26" s="15" t="s">
        <v>23</v>
      </c>
      <c r="D26" s="15" t="s">
        <v>98</v>
      </c>
      <c r="E26" s="19" t="s">
        <v>99</v>
      </c>
      <c r="F26" s="19" t="s">
        <v>100</v>
      </c>
      <c r="G26" s="19" t="s">
        <v>101</v>
      </c>
      <c r="H26" s="19" t="s">
        <v>102</v>
      </c>
      <c r="I26" s="20">
        <v>45730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4.5" x14ac:dyDescent="0.35">
      <c r="A27" s="15" t="s">
        <v>97</v>
      </c>
      <c r="B27" s="21" t="s">
        <v>41</v>
      </c>
      <c r="C27" s="15" t="s">
        <v>42</v>
      </c>
      <c r="D27" s="15" t="s">
        <v>43</v>
      </c>
      <c r="E27" s="19" t="s">
        <v>74</v>
      </c>
      <c r="F27" s="19" t="s">
        <v>75</v>
      </c>
      <c r="G27" s="17"/>
      <c r="H27" s="19" t="s">
        <v>76</v>
      </c>
      <c r="I27" s="20">
        <v>45737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4.5" x14ac:dyDescent="0.35">
      <c r="A28" s="15" t="s">
        <v>97</v>
      </c>
      <c r="B28" s="21" t="s">
        <v>47</v>
      </c>
      <c r="C28" s="15" t="s">
        <v>103</v>
      </c>
      <c r="D28" s="15" t="s">
        <v>104</v>
      </c>
      <c r="E28" s="19" t="s">
        <v>105</v>
      </c>
      <c r="F28" s="19" t="s">
        <v>106</v>
      </c>
      <c r="G28" s="19" t="s">
        <v>107</v>
      </c>
      <c r="H28" s="19" t="s">
        <v>108</v>
      </c>
      <c r="I28" s="20">
        <v>45741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4.5" x14ac:dyDescent="0.35">
      <c r="A29" s="15" t="s">
        <v>97</v>
      </c>
      <c r="B29" s="21" t="s">
        <v>109</v>
      </c>
      <c r="C29" s="15" t="s">
        <v>110</v>
      </c>
      <c r="D29" s="17"/>
      <c r="E29" s="18"/>
      <c r="F29" s="18"/>
      <c r="G29" s="17"/>
      <c r="H29" s="19" t="s">
        <v>111</v>
      </c>
      <c r="I29" s="20">
        <v>45728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4.5" x14ac:dyDescent="0.35">
      <c r="A30" s="15" t="s">
        <v>97</v>
      </c>
      <c r="B30" s="16"/>
      <c r="C30" s="15" t="s">
        <v>112</v>
      </c>
      <c r="D30" s="17"/>
      <c r="E30" s="18"/>
      <c r="F30" s="18"/>
      <c r="G30" s="17"/>
      <c r="H30" s="19" t="s">
        <v>113</v>
      </c>
      <c r="I30" s="20">
        <v>45744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4.5" x14ac:dyDescent="0.35">
      <c r="A31" s="15" t="s">
        <v>97</v>
      </c>
      <c r="B31" s="16"/>
      <c r="C31" s="15" t="s">
        <v>59</v>
      </c>
      <c r="D31" s="17"/>
      <c r="E31" s="18"/>
      <c r="F31" s="18"/>
      <c r="G31" s="17"/>
      <c r="H31" s="19" t="s">
        <v>114</v>
      </c>
      <c r="I31" s="20">
        <v>45737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4.5" x14ac:dyDescent="0.35">
      <c r="A32" s="15" t="s">
        <v>115</v>
      </c>
      <c r="B32" s="21" t="s">
        <v>22</v>
      </c>
      <c r="C32" s="15" t="s">
        <v>23</v>
      </c>
      <c r="D32" s="15" t="s">
        <v>116</v>
      </c>
      <c r="E32" s="19" t="s">
        <v>117</v>
      </c>
      <c r="F32" s="19" t="s">
        <v>118</v>
      </c>
      <c r="G32" s="19" t="s">
        <v>119</v>
      </c>
      <c r="H32" s="19" t="s">
        <v>120</v>
      </c>
      <c r="I32" s="20">
        <v>45727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4.5" x14ac:dyDescent="0.35">
      <c r="A33" s="15" t="s">
        <v>115</v>
      </c>
      <c r="B33" s="21" t="s">
        <v>39</v>
      </c>
      <c r="C33" s="15" t="s">
        <v>121</v>
      </c>
      <c r="D33" s="15" t="s">
        <v>122</v>
      </c>
      <c r="E33" s="19" t="s">
        <v>123</v>
      </c>
      <c r="F33" s="19" t="s">
        <v>124</v>
      </c>
      <c r="G33" s="19" t="s">
        <v>125</v>
      </c>
      <c r="H33" s="19" t="s">
        <v>126</v>
      </c>
      <c r="I33" s="20">
        <v>45734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4.5" x14ac:dyDescent="0.35">
      <c r="A34" s="15" t="s">
        <v>115</v>
      </c>
      <c r="B34" s="21" t="s">
        <v>41</v>
      </c>
      <c r="C34" s="15" t="s">
        <v>42</v>
      </c>
      <c r="D34" s="15" t="s">
        <v>43</v>
      </c>
      <c r="E34" s="19" t="s">
        <v>74</v>
      </c>
      <c r="F34" s="19" t="s">
        <v>75</v>
      </c>
      <c r="G34" s="17"/>
      <c r="H34" s="19" t="s">
        <v>76</v>
      </c>
      <c r="I34" s="20">
        <v>45737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4.5" x14ac:dyDescent="0.35">
      <c r="A35" s="15" t="s">
        <v>115</v>
      </c>
      <c r="B35" s="21" t="s">
        <v>47</v>
      </c>
      <c r="C35" s="15" t="s">
        <v>48</v>
      </c>
      <c r="D35" s="15" t="s">
        <v>127</v>
      </c>
      <c r="E35" s="19" t="s">
        <v>128</v>
      </c>
      <c r="F35" s="19" t="s">
        <v>129</v>
      </c>
      <c r="G35" s="19" t="s">
        <v>130</v>
      </c>
      <c r="H35" s="19" t="s">
        <v>131</v>
      </c>
      <c r="I35" s="20">
        <v>45723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4.5" x14ac:dyDescent="0.35">
      <c r="A36" s="15" t="s">
        <v>115</v>
      </c>
      <c r="B36" s="21" t="s">
        <v>54</v>
      </c>
      <c r="C36" s="15" t="s">
        <v>121</v>
      </c>
      <c r="D36" s="15" t="s">
        <v>132</v>
      </c>
      <c r="E36" s="19" t="s">
        <v>133</v>
      </c>
      <c r="F36" s="19" t="s">
        <v>134</v>
      </c>
      <c r="G36" s="19" t="s">
        <v>135</v>
      </c>
      <c r="H36" s="19" t="s">
        <v>136</v>
      </c>
      <c r="I36" s="20">
        <v>45758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4.5" x14ac:dyDescent="0.35">
      <c r="A37" s="15" t="s">
        <v>115</v>
      </c>
      <c r="B37" s="16"/>
      <c r="C37" s="15" t="s">
        <v>10</v>
      </c>
      <c r="D37" s="17"/>
      <c r="E37" s="18"/>
      <c r="F37" s="18"/>
      <c r="G37" s="17"/>
      <c r="H37" s="19" t="s">
        <v>11</v>
      </c>
      <c r="I37" s="20">
        <v>45722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4.5" x14ac:dyDescent="0.35">
      <c r="A38" s="15" t="s">
        <v>115</v>
      </c>
      <c r="B38" s="16"/>
      <c r="C38" s="15" t="s">
        <v>10</v>
      </c>
      <c r="D38" s="17"/>
      <c r="E38" s="18"/>
      <c r="F38" s="18"/>
      <c r="G38" s="17"/>
      <c r="H38" s="19" t="s">
        <v>137</v>
      </c>
      <c r="I38" s="20">
        <v>45722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4.5" x14ac:dyDescent="0.35">
      <c r="A39" s="15" t="s">
        <v>138</v>
      </c>
      <c r="B39" s="21" t="s">
        <v>22</v>
      </c>
      <c r="C39" s="15" t="s">
        <v>23</v>
      </c>
      <c r="D39" s="15" t="s">
        <v>139</v>
      </c>
      <c r="E39" s="19" t="s">
        <v>140</v>
      </c>
      <c r="F39" s="19" t="s">
        <v>141</v>
      </c>
      <c r="G39" s="19" t="s">
        <v>142</v>
      </c>
      <c r="H39" s="19" t="s">
        <v>143</v>
      </c>
      <c r="I39" s="20">
        <v>45727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4.5" x14ac:dyDescent="0.35">
      <c r="A40" s="15" t="s">
        <v>138</v>
      </c>
      <c r="B40" s="21" t="s">
        <v>39</v>
      </c>
      <c r="C40" s="15" t="s">
        <v>144</v>
      </c>
      <c r="D40" s="17"/>
      <c r="E40" s="17"/>
      <c r="F40" s="17"/>
      <c r="G40" s="17"/>
      <c r="H40" s="19" t="s">
        <v>145</v>
      </c>
      <c r="I40" s="22">
        <v>45727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4.5" x14ac:dyDescent="0.35">
      <c r="A41" s="15" t="s">
        <v>138</v>
      </c>
      <c r="B41" s="21" t="s">
        <v>41</v>
      </c>
      <c r="C41" s="15" t="s">
        <v>42</v>
      </c>
      <c r="D41" s="15" t="s">
        <v>43</v>
      </c>
      <c r="E41" s="19" t="s">
        <v>74</v>
      </c>
      <c r="F41" s="19" t="s">
        <v>75</v>
      </c>
      <c r="G41" s="17"/>
      <c r="H41" s="19" t="s">
        <v>76</v>
      </c>
      <c r="I41" s="20">
        <v>45737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4.5" x14ac:dyDescent="0.35">
      <c r="A42" s="15" t="s">
        <v>138</v>
      </c>
      <c r="B42" s="21" t="s">
        <v>47</v>
      </c>
      <c r="C42" s="15" t="s">
        <v>103</v>
      </c>
      <c r="D42" s="15" t="s">
        <v>104</v>
      </c>
      <c r="E42" s="19" t="s">
        <v>105</v>
      </c>
      <c r="F42" s="19" t="s">
        <v>106</v>
      </c>
      <c r="G42" s="19" t="s">
        <v>107</v>
      </c>
      <c r="H42" s="19" t="s">
        <v>108</v>
      </c>
      <c r="I42" s="20">
        <v>45741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4.5" x14ac:dyDescent="0.35">
      <c r="A43" s="15" t="s">
        <v>138</v>
      </c>
      <c r="B43" s="21" t="s">
        <v>54</v>
      </c>
      <c r="C43" s="15" t="s">
        <v>144</v>
      </c>
      <c r="D43" s="15" t="s">
        <v>146</v>
      </c>
      <c r="E43" s="19" t="s">
        <v>147</v>
      </c>
      <c r="F43" s="19" t="s">
        <v>148</v>
      </c>
      <c r="G43" s="17"/>
      <c r="H43" s="19" t="s">
        <v>149</v>
      </c>
      <c r="I43" s="20">
        <v>45762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4.5" x14ac:dyDescent="0.35">
      <c r="A44" s="15" t="s">
        <v>150</v>
      </c>
      <c r="B44" s="21" t="s">
        <v>22</v>
      </c>
      <c r="C44" s="15" t="s">
        <v>23</v>
      </c>
      <c r="D44" s="15" t="s">
        <v>151</v>
      </c>
      <c r="E44" s="19" t="s">
        <v>152</v>
      </c>
      <c r="F44" s="19" t="s">
        <v>153</v>
      </c>
      <c r="G44" s="19" t="s">
        <v>154</v>
      </c>
      <c r="H44" s="19" t="s">
        <v>155</v>
      </c>
      <c r="I44" s="20">
        <v>45727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4.5" x14ac:dyDescent="0.35">
      <c r="A45" s="15" t="s">
        <v>150</v>
      </c>
      <c r="B45" s="21" t="s">
        <v>39</v>
      </c>
      <c r="C45" s="15" t="s">
        <v>144</v>
      </c>
      <c r="D45" s="17"/>
      <c r="E45" s="17"/>
      <c r="F45" s="17"/>
      <c r="G45" s="17"/>
      <c r="H45" s="19" t="s">
        <v>156</v>
      </c>
      <c r="I45" s="20">
        <v>45727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4.5" x14ac:dyDescent="0.35">
      <c r="A46" s="15" t="s">
        <v>150</v>
      </c>
      <c r="B46" s="21" t="s">
        <v>41</v>
      </c>
      <c r="C46" s="15" t="s">
        <v>42</v>
      </c>
      <c r="D46" s="15" t="s">
        <v>43</v>
      </c>
      <c r="E46" s="19" t="s">
        <v>74</v>
      </c>
      <c r="F46" s="19" t="s">
        <v>75</v>
      </c>
      <c r="G46" s="17"/>
      <c r="H46" s="19" t="s">
        <v>76</v>
      </c>
      <c r="I46" s="20">
        <v>45737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4.5" x14ac:dyDescent="0.35">
      <c r="A47" s="15" t="s">
        <v>150</v>
      </c>
      <c r="B47" s="21" t="s">
        <v>54</v>
      </c>
      <c r="C47" s="15" t="s">
        <v>144</v>
      </c>
      <c r="D47" s="15" t="s">
        <v>157</v>
      </c>
      <c r="E47" s="19" t="s">
        <v>158</v>
      </c>
      <c r="F47" s="19" t="s">
        <v>159</v>
      </c>
      <c r="G47" s="17"/>
      <c r="H47" s="19" t="s">
        <v>160</v>
      </c>
      <c r="I47" s="20">
        <v>45762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4.5" x14ac:dyDescent="0.35">
      <c r="A48" s="15" t="s">
        <v>161</v>
      </c>
      <c r="B48" s="21" t="s">
        <v>22</v>
      </c>
      <c r="C48" s="15" t="s">
        <v>23</v>
      </c>
      <c r="D48" s="15" t="s">
        <v>162</v>
      </c>
      <c r="E48" s="19" t="s">
        <v>163</v>
      </c>
      <c r="F48" s="17"/>
      <c r="G48" s="17"/>
      <c r="H48" s="19" t="s">
        <v>163</v>
      </c>
      <c r="I48" s="20">
        <v>45727</v>
      </c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4.5" x14ac:dyDescent="0.35">
      <c r="A49" s="15" t="s">
        <v>161</v>
      </c>
      <c r="B49" s="21" t="s">
        <v>39</v>
      </c>
      <c r="C49" s="15" t="s">
        <v>144</v>
      </c>
      <c r="D49" s="17"/>
      <c r="E49" s="17"/>
      <c r="F49" s="17"/>
      <c r="G49" s="17"/>
      <c r="H49" s="19" t="s">
        <v>156</v>
      </c>
      <c r="I49" s="20">
        <v>45727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4.5" x14ac:dyDescent="0.35">
      <c r="A50" s="15" t="s">
        <v>161</v>
      </c>
      <c r="B50" s="21" t="s">
        <v>41</v>
      </c>
      <c r="C50" s="15" t="s">
        <v>42</v>
      </c>
      <c r="D50" s="15" t="s">
        <v>43</v>
      </c>
      <c r="E50" s="19" t="s">
        <v>74</v>
      </c>
      <c r="F50" s="19" t="s">
        <v>75</v>
      </c>
      <c r="G50" s="17"/>
      <c r="H50" s="19" t="s">
        <v>76</v>
      </c>
      <c r="I50" s="20">
        <v>45737</v>
      </c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4.5" x14ac:dyDescent="0.35">
      <c r="A51" s="15" t="s">
        <v>161</v>
      </c>
      <c r="B51" s="21" t="s">
        <v>54</v>
      </c>
      <c r="C51" s="15" t="s">
        <v>144</v>
      </c>
      <c r="D51" s="15" t="s">
        <v>164</v>
      </c>
      <c r="E51" s="19" t="s">
        <v>165</v>
      </c>
      <c r="F51" s="19" t="s">
        <v>166</v>
      </c>
      <c r="G51" s="17"/>
      <c r="H51" s="19" t="s">
        <v>167</v>
      </c>
      <c r="I51" s="20">
        <v>45762</v>
      </c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4.5" x14ac:dyDescent="0.35">
      <c r="A52" s="17"/>
      <c r="B52" s="16"/>
      <c r="C52" s="17"/>
      <c r="D52" s="17"/>
      <c r="E52" s="18"/>
      <c r="F52" s="18"/>
      <c r="G52" s="17"/>
      <c r="H52" s="18"/>
      <c r="I52" s="18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4.5" x14ac:dyDescent="0.35">
      <c r="A53" s="17"/>
      <c r="B53" s="16"/>
      <c r="C53" s="17"/>
      <c r="D53" s="17"/>
      <c r="E53" s="18"/>
      <c r="F53" s="18"/>
      <c r="G53" s="17"/>
      <c r="H53" s="18"/>
      <c r="I53" s="18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4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4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4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4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4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4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4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4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4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4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4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4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4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4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4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4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4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4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4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4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4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4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4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4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4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4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4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4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4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4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4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4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4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4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4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4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4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4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4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4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4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4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4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4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4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4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4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4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4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4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4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4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4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4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4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4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4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4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4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4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4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4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4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4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4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4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4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4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4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4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4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4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4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4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4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4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4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4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4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4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4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4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4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4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4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4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4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4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4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4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4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4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4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4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4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4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4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4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4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4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4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4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4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4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4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4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4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4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4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4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4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4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4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4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4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4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4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4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4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4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4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4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4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4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4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4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4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4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4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4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4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4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4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4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4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4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4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4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4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4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4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4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4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4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4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4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4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4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4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4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4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4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4" x14ac:dyDescent="0.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4" x14ac:dyDescent="0.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4" x14ac:dyDescent="0.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4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4" x14ac:dyDescent="0.3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4" x14ac:dyDescent="0.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4" x14ac:dyDescent="0.3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4" x14ac:dyDescent="0.3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4" x14ac:dyDescent="0.3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4" x14ac:dyDescent="0.3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4" x14ac:dyDescent="0.3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4" x14ac:dyDescent="0.3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4" x14ac:dyDescent="0.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4" x14ac:dyDescent="0.3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4" x14ac:dyDescent="0.3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4" x14ac:dyDescent="0.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4" x14ac:dyDescent="0.3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4" x14ac:dyDescent="0.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4" x14ac:dyDescent="0.3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4" x14ac:dyDescent="0.3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4" x14ac:dyDescent="0.3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4" x14ac:dyDescent="0.3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4" x14ac:dyDescent="0.3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4" x14ac:dyDescent="0.3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4" x14ac:dyDescent="0.3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4" x14ac:dyDescent="0.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4" x14ac:dyDescent="0.3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4" x14ac:dyDescent="0.3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4" x14ac:dyDescent="0.3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4" x14ac:dyDescent="0.3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4" x14ac:dyDescent="0.3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4" x14ac:dyDescent="0.3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4" x14ac:dyDescent="0.3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4" x14ac:dyDescent="0.3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4" x14ac:dyDescent="0.3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4" x14ac:dyDescent="0.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4" x14ac:dyDescent="0.3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4" x14ac:dyDescent="0.3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4" x14ac:dyDescent="0.3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4" x14ac:dyDescent="0.3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4" x14ac:dyDescent="0.3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4" x14ac:dyDescent="0.3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4" x14ac:dyDescent="0.3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4" x14ac:dyDescent="0.3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4" x14ac:dyDescent="0.3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4" x14ac:dyDescent="0.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4" x14ac:dyDescent="0.3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4" x14ac:dyDescent="0.3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4" x14ac:dyDescent="0.3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4" x14ac:dyDescent="0.3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4" x14ac:dyDescent="0.3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4" x14ac:dyDescent="0.3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4" x14ac:dyDescent="0.3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4" x14ac:dyDescent="0.3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4" x14ac:dyDescent="0.3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4" x14ac:dyDescent="0.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4" x14ac:dyDescent="0.3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4" x14ac:dyDescent="0.3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4" x14ac:dyDescent="0.3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4" x14ac:dyDescent="0.3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4" x14ac:dyDescent="0.3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4" x14ac:dyDescent="0.3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4" x14ac:dyDescent="0.3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4" x14ac:dyDescent="0.3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4" x14ac:dyDescent="0.3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4" x14ac:dyDescent="0.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4" x14ac:dyDescent="0.3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4" x14ac:dyDescent="0.3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4" x14ac:dyDescent="0.3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4" x14ac:dyDescent="0.3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4" x14ac:dyDescent="0.3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4" x14ac:dyDescent="0.3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4" x14ac:dyDescent="0.3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4" x14ac:dyDescent="0.3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4" x14ac:dyDescent="0.3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4" x14ac:dyDescent="0.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4" x14ac:dyDescent="0.3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4" x14ac:dyDescent="0.3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4" x14ac:dyDescent="0.3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4" x14ac:dyDescent="0.3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4" x14ac:dyDescent="0.3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4" x14ac:dyDescent="0.3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4" x14ac:dyDescent="0.3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4" x14ac:dyDescent="0.3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4" x14ac:dyDescent="0.3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4" x14ac:dyDescent="0.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4" x14ac:dyDescent="0.3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4" x14ac:dyDescent="0.3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4" x14ac:dyDescent="0.3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4" x14ac:dyDescent="0.3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4" x14ac:dyDescent="0.3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4" x14ac:dyDescent="0.3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4" x14ac:dyDescent="0.3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4" x14ac:dyDescent="0.3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4" x14ac:dyDescent="0.3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4" x14ac:dyDescent="0.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4" x14ac:dyDescent="0.3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4" x14ac:dyDescent="0.3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4" x14ac:dyDescent="0.3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4" x14ac:dyDescent="0.3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4" x14ac:dyDescent="0.3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4" x14ac:dyDescent="0.3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4" x14ac:dyDescent="0.3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4" x14ac:dyDescent="0.3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4" x14ac:dyDescent="0.3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4" x14ac:dyDescent="0.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4" x14ac:dyDescent="0.3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4" x14ac:dyDescent="0.3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4" x14ac:dyDescent="0.3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4" x14ac:dyDescent="0.3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4" x14ac:dyDescent="0.3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4" x14ac:dyDescent="0.3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4" x14ac:dyDescent="0.3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4" x14ac:dyDescent="0.3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4" x14ac:dyDescent="0.3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4" x14ac:dyDescent="0.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4" x14ac:dyDescent="0.3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4" x14ac:dyDescent="0.3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4" x14ac:dyDescent="0.3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4" x14ac:dyDescent="0.3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4" x14ac:dyDescent="0.3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4" x14ac:dyDescent="0.3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4" x14ac:dyDescent="0.3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4" x14ac:dyDescent="0.3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4" x14ac:dyDescent="0.3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4" x14ac:dyDescent="0.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4" x14ac:dyDescent="0.3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4" x14ac:dyDescent="0.3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4" x14ac:dyDescent="0.3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4" x14ac:dyDescent="0.3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4" x14ac:dyDescent="0.3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4" x14ac:dyDescent="0.3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4" x14ac:dyDescent="0.3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4" x14ac:dyDescent="0.3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4" x14ac:dyDescent="0.3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4" x14ac:dyDescent="0.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4" x14ac:dyDescent="0.3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4" x14ac:dyDescent="0.3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4" x14ac:dyDescent="0.3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4" x14ac:dyDescent="0.3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4" x14ac:dyDescent="0.3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4" x14ac:dyDescent="0.3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4" x14ac:dyDescent="0.3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4" x14ac:dyDescent="0.3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4" x14ac:dyDescent="0.3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4" x14ac:dyDescent="0.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4" x14ac:dyDescent="0.3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4" x14ac:dyDescent="0.3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4" x14ac:dyDescent="0.3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4" x14ac:dyDescent="0.3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4" x14ac:dyDescent="0.3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4" x14ac:dyDescent="0.3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4" x14ac:dyDescent="0.3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4" x14ac:dyDescent="0.3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4" x14ac:dyDescent="0.3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4" x14ac:dyDescent="0.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4" x14ac:dyDescent="0.3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4" x14ac:dyDescent="0.3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4" x14ac:dyDescent="0.3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4" x14ac:dyDescent="0.3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4" x14ac:dyDescent="0.3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4" x14ac:dyDescent="0.3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4" x14ac:dyDescent="0.3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4" x14ac:dyDescent="0.3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4" x14ac:dyDescent="0.3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4" x14ac:dyDescent="0.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4" x14ac:dyDescent="0.3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4" x14ac:dyDescent="0.3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4" x14ac:dyDescent="0.3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4" x14ac:dyDescent="0.3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4" x14ac:dyDescent="0.3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4" x14ac:dyDescent="0.3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4" x14ac:dyDescent="0.3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4" x14ac:dyDescent="0.3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4" x14ac:dyDescent="0.3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4" x14ac:dyDescent="0.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4" x14ac:dyDescent="0.3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4" x14ac:dyDescent="0.3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4" x14ac:dyDescent="0.3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4" x14ac:dyDescent="0.3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4" x14ac:dyDescent="0.3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4" x14ac:dyDescent="0.3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4" x14ac:dyDescent="0.3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4" x14ac:dyDescent="0.3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4" x14ac:dyDescent="0.3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4" x14ac:dyDescent="0.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4" x14ac:dyDescent="0.3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4" x14ac:dyDescent="0.3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4" x14ac:dyDescent="0.3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4" x14ac:dyDescent="0.3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4" x14ac:dyDescent="0.3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4" x14ac:dyDescent="0.3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4" x14ac:dyDescent="0.3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4" x14ac:dyDescent="0.3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4" x14ac:dyDescent="0.3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4" x14ac:dyDescent="0.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4" x14ac:dyDescent="0.3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4" x14ac:dyDescent="0.3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4" x14ac:dyDescent="0.3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4" x14ac:dyDescent="0.3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4" x14ac:dyDescent="0.3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4" x14ac:dyDescent="0.3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4" x14ac:dyDescent="0.3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4" x14ac:dyDescent="0.3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4" x14ac:dyDescent="0.3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4" x14ac:dyDescent="0.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4" x14ac:dyDescent="0.3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4" x14ac:dyDescent="0.3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4" x14ac:dyDescent="0.3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4" x14ac:dyDescent="0.3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4" x14ac:dyDescent="0.3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4" x14ac:dyDescent="0.3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4" x14ac:dyDescent="0.3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4" x14ac:dyDescent="0.3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4" x14ac:dyDescent="0.3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4" x14ac:dyDescent="0.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4" x14ac:dyDescent="0.3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4" x14ac:dyDescent="0.3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4" x14ac:dyDescent="0.3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4" x14ac:dyDescent="0.3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4" x14ac:dyDescent="0.3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4" x14ac:dyDescent="0.3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4" x14ac:dyDescent="0.3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4" x14ac:dyDescent="0.3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4" x14ac:dyDescent="0.3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4" x14ac:dyDescent="0.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4" x14ac:dyDescent="0.3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4" x14ac:dyDescent="0.3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4" x14ac:dyDescent="0.3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4" x14ac:dyDescent="0.3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4" x14ac:dyDescent="0.3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4" x14ac:dyDescent="0.3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4" x14ac:dyDescent="0.3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4" x14ac:dyDescent="0.3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4" x14ac:dyDescent="0.3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4" x14ac:dyDescent="0.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4" x14ac:dyDescent="0.3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4" x14ac:dyDescent="0.3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4" x14ac:dyDescent="0.3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4" x14ac:dyDescent="0.3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4" x14ac:dyDescent="0.3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4" x14ac:dyDescent="0.3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4" x14ac:dyDescent="0.3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4" x14ac:dyDescent="0.3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4" x14ac:dyDescent="0.3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4" x14ac:dyDescent="0.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4" x14ac:dyDescent="0.3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4" x14ac:dyDescent="0.3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4" x14ac:dyDescent="0.3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4" x14ac:dyDescent="0.3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4" x14ac:dyDescent="0.3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4" x14ac:dyDescent="0.3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4" x14ac:dyDescent="0.3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4" x14ac:dyDescent="0.3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4" x14ac:dyDescent="0.3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4" x14ac:dyDescent="0.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4" x14ac:dyDescent="0.3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4" x14ac:dyDescent="0.3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4" x14ac:dyDescent="0.3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4" x14ac:dyDescent="0.3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4" x14ac:dyDescent="0.3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4" x14ac:dyDescent="0.3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4" x14ac:dyDescent="0.3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4" x14ac:dyDescent="0.3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4" x14ac:dyDescent="0.3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4" x14ac:dyDescent="0.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4" x14ac:dyDescent="0.3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4" x14ac:dyDescent="0.3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4" x14ac:dyDescent="0.3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4" x14ac:dyDescent="0.3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4" x14ac:dyDescent="0.3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4" x14ac:dyDescent="0.3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4" x14ac:dyDescent="0.3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4" x14ac:dyDescent="0.3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4" x14ac:dyDescent="0.3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4" x14ac:dyDescent="0.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4" x14ac:dyDescent="0.3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4" x14ac:dyDescent="0.3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4" x14ac:dyDescent="0.3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4" x14ac:dyDescent="0.3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4" x14ac:dyDescent="0.3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4" x14ac:dyDescent="0.3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4" x14ac:dyDescent="0.3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4" x14ac:dyDescent="0.3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4" x14ac:dyDescent="0.3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4" x14ac:dyDescent="0.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4" x14ac:dyDescent="0.3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4" x14ac:dyDescent="0.3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4" x14ac:dyDescent="0.3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4" x14ac:dyDescent="0.3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4" x14ac:dyDescent="0.3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4" x14ac:dyDescent="0.3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4" x14ac:dyDescent="0.3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4" x14ac:dyDescent="0.3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4" x14ac:dyDescent="0.3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4" x14ac:dyDescent="0.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4" x14ac:dyDescent="0.3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4" x14ac:dyDescent="0.3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4" x14ac:dyDescent="0.3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4" x14ac:dyDescent="0.3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4" x14ac:dyDescent="0.3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4" x14ac:dyDescent="0.3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4" x14ac:dyDescent="0.3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4" x14ac:dyDescent="0.3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4" x14ac:dyDescent="0.3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4" x14ac:dyDescent="0.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4" x14ac:dyDescent="0.3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4" x14ac:dyDescent="0.3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4" x14ac:dyDescent="0.3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4" x14ac:dyDescent="0.3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4" x14ac:dyDescent="0.3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4" x14ac:dyDescent="0.3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4" x14ac:dyDescent="0.3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4" x14ac:dyDescent="0.3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4" x14ac:dyDescent="0.3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4" x14ac:dyDescent="0.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4" x14ac:dyDescent="0.3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4" x14ac:dyDescent="0.3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4" x14ac:dyDescent="0.3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4" x14ac:dyDescent="0.3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4" x14ac:dyDescent="0.3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4" x14ac:dyDescent="0.3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4" x14ac:dyDescent="0.3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4" x14ac:dyDescent="0.3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4" x14ac:dyDescent="0.3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4" x14ac:dyDescent="0.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4" x14ac:dyDescent="0.3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4" x14ac:dyDescent="0.3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4" x14ac:dyDescent="0.3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4" x14ac:dyDescent="0.3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4" x14ac:dyDescent="0.3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4" x14ac:dyDescent="0.3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4" x14ac:dyDescent="0.3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4" x14ac:dyDescent="0.3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4" x14ac:dyDescent="0.3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4" x14ac:dyDescent="0.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4" x14ac:dyDescent="0.3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4" x14ac:dyDescent="0.3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4" x14ac:dyDescent="0.3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4" x14ac:dyDescent="0.3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4" x14ac:dyDescent="0.3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4" x14ac:dyDescent="0.3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4" x14ac:dyDescent="0.3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4" x14ac:dyDescent="0.3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4" x14ac:dyDescent="0.3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4" x14ac:dyDescent="0.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4" x14ac:dyDescent="0.3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4" x14ac:dyDescent="0.3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4" x14ac:dyDescent="0.3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4" x14ac:dyDescent="0.3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4" x14ac:dyDescent="0.3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4" x14ac:dyDescent="0.3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4" x14ac:dyDescent="0.3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4" x14ac:dyDescent="0.3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4" x14ac:dyDescent="0.3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4" x14ac:dyDescent="0.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4" x14ac:dyDescent="0.3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4" x14ac:dyDescent="0.3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4" x14ac:dyDescent="0.3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4" x14ac:dyDescent="0.3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4" x14ac:dyDescent="0.3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4" x14ac:dyDescent="0.3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4" x14ac:dyDescent="0.3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4" x14ac:dyDescent="0.3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4" x14ac:dyDescent="0.3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4" x14ac:dyDescent="0.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4" x14ac:dyDescent="0.3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4" x14ac:dyDescent="0.3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4" x14ac:dyDescent="0.3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4" x14ac:dyDescent="0.3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4" x14ac:dyDescent="0.3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4" x14ac:dyDescent="0.3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4" x14ac:dyDescent="0.3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4" x14ac:dyDescent="0.3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4" x14ac:dyDescent="0.3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4" x14ac:dyDescent="0.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4" x14ac:dyDescent="0.3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4" x14ac:dyDescent="0.3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4" x14ac:dyDescent="0.3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4" x14ac:dyDescent="0.3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4" x14ac:dyDescent="0.3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4" x14ac:dyDescent="0.3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4" x14ac:dyDescent="0.3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4" x14ac:dyDescent="0.3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4" x14ac:dyDescent="0.3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4" x14ac:dyDescent="0.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4" x14ac:dyDescent="0.3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4" x14ac:dyDescent="0.3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4" x14ac:dyDescent="0.3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4" x14ac:dyDescent="0.3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4" x14ac:dyDescent="0.3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4" x14ac:dyDescent="0.3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4" x14ac:dyDescent="0.3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4" x14ac:dyDescent="0.3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4" x14ac:dyDescent="0.3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4" x14ac:dyDescent="0.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4" x14ac:dyDescent="0.3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4" x14ac:dyDescent="0.3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4" x14ac:dyDescent="0.3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4" x14ac:dyDescent="0.3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4" x14ac:dyDescent="0.3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4" x14ac:dyDescent="0.3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4" x14ac:dyDescent="0.3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4" x14ac:dyDescent="0.3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4" x14ac:dyDescent="0.3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4" x14ac:dyDescent="0.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4" x14ac:dyDescent="0.3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4" x14ac:dyDescent="0.3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4" x14ac:dyDescent="0.3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4" x14ac:dyDescent="0.3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4" x14ac:dyDescent="0.3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4" x14ac:dyDescent="0.3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4" x14ac:dyDescent="0.3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4" x14ac:dyDescent="0.3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4" x14ac:dyDescent="0.3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4" x14ac:dyDescent="0.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4" x14ac:dyDescent="0.3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4" x14ac:dyDescent="0.3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4" x14ac:dyDescent="0.3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4" x14ac:dyDescent="0.3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4" x14ac:dyDescent="0.3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4" x14ac:dyDescent="0.3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4" x14ac:dyDescent="0.3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4" x14ac:dyDescent="0.3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4" x14ac:dyDescent="0.3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4" x14ac:dyDescent="0.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4" x14ac:dyDescent="0.3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4" x14ac:dyDescent="0.3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4" x14ac:dyDescent="0.3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4" x14ac:dyDescent="0.3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4" x14ac:dyDescent="0.3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4" x14ac:dyDescent="0.3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4" x14ac:dyDescent="0.3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4" x14ac:dyDescent="0.3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4" x14ac:dyDescent="0.3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4" x14ac:dyDescent="0.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4" x14ac:dyDescent="0.3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4" x14ac:dyDescent="0.3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4" x14ac:dyDescent="0.3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4" x14ac:dyDescent="0.3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4" x14ac:dyDescent="0.3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4" x14ac:dyDescent="0.3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4" x14ac:dyDescent="0.3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4" x14ac:dyDescent="0.3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4" x14ac:dyDescent="0.3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4" x14ac:dyDescent="0.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4" x14ac:dyDescent="0.3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4" x14ac:dyDescent="0.3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4" x14ac:dyDescent="0.3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4" x14ac:dyDescent="0.3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4" x14ac:dyDescent="0.3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4" x14ac:dyDescent="0.3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4" x14ac:dyDescent="0.3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4" x14ac:dyDescent="0.3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4" x14ac:dyDescent="0.3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4" x14ac:dyDescent="0.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4" x14ac:dyDescent="0.3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4" x14ac:dyDescent="0.3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4" x14ac:dyDescent="0.3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4" x14ac:dyDescent="0.3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4" x14ac:dyDescent="0.3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4" x14ac:dyDescent="0.3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4" x14ac:dyDescent="0.3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4" x14ac:dyDescent="0.3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4" x14ac:dyDescent="0.3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4" x14ac:dyDescent="0.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4" x14ac:dyDescent="0.3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4" x14ac:dyDescent="0.3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4" x14ac:dyDescent="0.3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4" x14ac:dyDescent="0.3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4" x14ac:dyDescent="0.3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4" x14ac:dyDescent="0.3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4" x14ac:dyDescent="0.3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4" x14ac:dyDescent="0.3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4" x14ac:dyDescent="0.3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4" x14ac:dyDescent="0.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4" x14ac:dyDescent="0.3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4" x14ac:dyDescent="0.3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4" x14ac:dyDescent="0.3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4" x14ac:dyDescent="0.3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4" x14ac:dyDescent="0.3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4" x14ac:dyDescent="0.3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4" x14ac:dyDescent="0.3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4" x14ac:dyDescent="0.3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4" x14ac:dyDescent="0.3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4" x14ac:dyDescent="0.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4" x14ac:dyDescent="0.3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4" x14ac:dyDescent="0.3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4" x14ac:dyDescent="0.3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4" x14ac:dyDescent="0.3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4" x14ac:dyDescent="0.3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4" x14ac:dyDescent="0.3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4" x14ac:dyDescent="0.3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4" x14ac:dyDescent="0.3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4" x14ac:dyDescent="0.3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4" x14ac:dyDescent="0.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4" x14ac:dyDescent="0.3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4" x14ac:dyDescent="0.3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4" x14ac:dyDescent="0.3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4" x14ac:dyDescent="0.3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4" x14ac:dyDescent="0.3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4" x14ac:dyDescent="0.3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4" x14ac:dyDescent="0.3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4" x14ac:dyDescent="0.3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4" x14ac:dyDescent="0.3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4" x14ac:dyDescent="0.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4" x14ac:dyDescent="0.3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4" x14ac:dyDescent="0.3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4" x14ac:dyDescent="0.3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4" x14ac:dyDescent="0.3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4" x14ac:dyDescent="0.3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4" x14ac:dyDescent="0.3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4" x14ac:dyDescent="0.3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4" x14ac:dyDescent="0.3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4" x14ac:dyDescent="0.3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4" x14ac:dyDescent="0.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4" x14ac:dyDescent="0.3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4" x14ac:dyDescent="0.3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4" x14ac:dyDescent="0.3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4" x14ac:dyDescent="0.3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4" x14ac:dyDescent="0.3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4" x14ac:dyDescent="0.3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4" x14ac:dyDescent="0.3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4" x14ac:dyDescent="0.3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4" x14ac:dyDescent="0.3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4" x14ac:dyDescent="0.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4" x14ac:dyDescent="0.3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4" x14ac:dyDescent="0.3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4" x14ac:dyDescent="0.3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4" x14ac:dyDescent="0.3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4" x14ac:dyDescent="0.3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4" x14ac:dyDescent="0.3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4" x14ac:dyDescent="0.3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4" x14ac:dyDescent="0.3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4" x14ac:dyDescent="0.3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4" x14ac:dyDescent="0.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4" x14ac:dyDescent="0.3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4" x14ac:dyDescent="0.3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4" x14ac:dyDescent="0.3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4" x14ac:dyDescent="0.3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4" x14ac:dyDescent="0.3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4" x14ac:dyDescent="0.3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4" x14ac:dyDescent="0.3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4" x14ac:dyDescent="0.3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4" x14ac:dyDescent="0.3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4" x14ac:dyDescent="0.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4" x14ac:dyDescent="0.3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4" x14ac:dyDescent="0.3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4" x14ac:dyDescent="0.3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4" x14ac:dyDescent="0.3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4" x14ac:dyDescent="0.3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4" x14ac:dyDescent="0.3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4" x14ac:dyDescent="0.3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4" x14ac:dyDescent="0.3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4" x14ac:dyDescent="0.3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4" x14ac:dyDescent="0.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4" x14ac:dyDescent="0.3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4" x14ac:dyDescent="0.3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4" x14ac:dyDescent="0.3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4" x14ac:dyDescent="0.3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4" x14ac:dyDescent="0.3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4" x14ac:dyDescent="0.3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4" x14ac:dyDescent="0.3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4" x14ac:dyDescent="0.3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4" x14ac:dyDescent="0.3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4" x14ac:dyDescent="0.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4" x14ac:dyDescent="0.3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4" x14ac:dyDescent="0.3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4" x14ac:dyDescent="0.3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4" x14ac:dyDescent="0.3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4" x14ac:dyDescent="0.3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4" x14ac:dyDescent="0.3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4" x14ac:dyDescent="0.3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4" x14ac:dyDescent="0.3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4" x14ac:dyDescent="0.3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4" x14ac:dyDescent="0.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4" x14ac:dyDescent="0.3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4" x14ac:dyDescent="0.3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4" x14ac:dyDescent="0.3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4" x14ac:dyDescent="0.3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4" x14ac:dyDescent="0.3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4" x14ac:dyDescent="0.3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4" x14ac:dyDescent="0.3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4" x14ac:dyDescent="0.3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4" x14ac:dyDescent="0.3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4" x14ac:dyDescent="0.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4" x14ac:dyDescent="0.3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4" x14ac:dyDescent="0.3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4" x14ac:dyDescent="0.3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4" x14ac:dyDescent="0.3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4" x14ac:dyDescent="0.3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4" x14ac:dyDescent="0.3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4" x14ac:dyDescent="0.3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4" x14ac:dyDescent="0.3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4" x14ac:dyDescent="0.3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4" x14ac:dyDescent="0.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4" x14ac:dyDescent="0.3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4" x14ac:dyDescent="0.3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4" x14ac:dyDescent="0.3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4" x14ac:dyDescent="0.3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4" x14ac:dyDescent="0.3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4" x14ac:dyDescent="0.3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4" x14ac:dyDescent="0.3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4" x14ac:dyDescent="0.3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4" x14ac:dyDescent="0.3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4" x14ac:dyDescent="0.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4" x14ac:dyDescent="0.3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4" x14ac:dyDescent="0.3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4" x14ac:dyDescent="0.3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4" x14ac:dyDescent="0.3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4" x14ac:dyDescent="0.3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4" x14ac:dyDescent="0.3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4" x14ac:dyDescent="0.3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4" x14ac:dyDescent="0.3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4" x14ac:dyDescent="0.3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4" x14ac:dyDescent="0.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4" x14ac:dyDescent="0.3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4" x14ac:dyDescent="0.3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4" x14ac:dyDescent="0.3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4" x14ac:dyDescent="0.3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4" x14ac:dyDescent="0.3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4" x14ac:dyDescent="0.3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4" x14ac:dyDescent="0.3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4" x14ac:dyDescent="0.3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4" x14ac:dyDescent="0.3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4" x14ac:dyDescent="0.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4" x14ac:dyDescent="0.3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4" x14ac:dyDescent="0.3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4" x14ac:dyDescent="0.3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4" x14ac:dyDescent="0.3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4" x14ac:dyDescent="0.3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4" x14ac:dyDescent="0.3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4" x14ac:dyDescent="0.3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4" x14ac:dyDescent="0.3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4" x14ac:dyDescent="0.3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4" x14ac:dyDescent="0.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4" x14ac:dyDescent="0.3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4" x14ac:dyDescent="0.3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4" x14ac:dyDescent="0.3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4" x14ac:dyDescent="0.3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4" x14ac:dyDescent="0.3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4" x14ac:dyDescent="0.3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4" x14ac:dyDescent="0.3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4" x14ac:dyDescent="0.3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4" x14ac:dyDescent="0.3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4" x14ac:dyDescent="0.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4" x14ac:dyDescent="0.3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4" x14ac:dyDescent="0.3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4" x14ac:dyDescent="0.3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4" x14ac:dyDescent="0.3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4" x14ac:dyDescent="0.3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4" x14ac:dyDescent="0.3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4" x14ac:dyDescent="0.3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4" x14ac:dyDescent="0.3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4" x14ac:dyDescent="0.3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4" x14ac:dyDescent="0.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4" x14ac:dyDescent="0.3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4" x14ac:dyDescent="0.3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4" x14ac:dyDescent="0.3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4" x14ac:dyDescent="0.3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4" x14ac:dyDescent="0.3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4" x14ac:dyDescent="0.3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4" x14ac:dyDescent="0.3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4" x14ac:dyDescent="0.3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4" x14ac:dyDescent="0.3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4" x14ac:dyDescent="0.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4" x14ac:dyDescent="0.3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4" x14ac:dyDescent="0.3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4" x14ac:dyDescent="0.3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4" x14ac:dyDescent="0.3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4" x14ac:dyDescent="0.3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4" x14ac:dyDescent="0.3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4" x14ac:dyDescent="0.3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4" x14ac:dyDescent="0.3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4" x14ac:dyDescent="0.3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4" x14ac:dyDescent="0.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4" x14ac:dyDescent="0.3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4" x14ac:dyDescent="0.3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4" x14ac:dyDescent="0.3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4" x14ac:dyDescent="0.3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4" x14ac:dyDescent="0.3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4" x14ac:dyDescent="0.3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4" x14ac:dyDescent="0.3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4" x14ac:dyDescent="0.3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4" x14ac:dyDescent="0.3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4" x14ac:dyDescent="0.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4" x14ac:dyDescent="0.3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4" x14ac:dyDescent="0.3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4" x14ac:dyDescent="0.3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4" x14ac:dyDescent="0.3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4" x14ac:dyDescent="0.3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4" x14ac:dyDescent="0.3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4" x14ac:dyDescent="0.3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4" x14ac:dyDescent="0.3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4" x14ac:dyDescent="0.3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4" x14ac:dyDescent="0.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4" x14ac:dyDescent="0.3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4" x14ac:dyDescent="0.3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4" x14ac:dyDescent="0.3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4" x14ac:dyDescent="0.3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4" x14ac:dyDescent="0.3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4" x14ac:dyDescent="0.3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4" x14ac:dyDescent="0.3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4" x14ac:dyDescent="0.3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4" x14ac:dyDescent="0.3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4" x14ac:dyDescent="0.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4" x14ac:dyDescent="0.3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4" x14ac:dyDescent="0.3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4" x14ac:dyDescent="0.3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4" x14ac:dyDescent="0.3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4" x14ac:dyDescent="0.3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4" x14ac:dyDescent="0.3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4" x14ac:dyDescent="0.3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4" x14ac:dyDescent="0.3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4" x14ac:dyDescent="0.3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4" x14ac:dyDescent="0.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4" x14ac:dyDescent="0.3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4" x14ac:dyDescent="0.3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4" x14ac:dyDescent="0.3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4" x14ac:dyDescent="0.3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4" x14ac:dyDescent="0.3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4" x14ac:dyDescent="0.3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4" x14ac:dyDescent="0.3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4" x14ac:dyDescent="0.3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4" x14ac:dyDescent="0.3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4" x14ac:dyDescent="0.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4" x14ac:dyDescent="0.3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4" x14ac:dyDescent="0.3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4" x14ac:dyDescent="0.3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4" x14ac:dyDescent="0.3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4" x14ac:dyDescent="0.3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4" x14ac:dyDescent="0.3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4" x14ac:dyDescent="0.3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4" x14ac:dyDescent="0.3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4" x14ac:dyDescent="0.3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4" x14ac:dyDescent="0.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4" x14ac:dyDescent="0.3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4" x14ac:dyDescent="0.3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4" x14ac:dyDescent="0.3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4" x14ac:dyDescent="0.3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4" x14ac:dyDescent="0.3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4" x14ac:dyDescent="0.3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4" x14ac:dyDescent="0.3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4" x14ac:dyDescent="0.3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4" x14ac:dyDescent="0.3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4" x14ac:dyDescent="0.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4" x14ac:dyDescent="0.3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4" x14ac:dyDescent="0.3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4" x14ac:dyDescent="0.3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4" x14ac:dyDescent="0.3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4" x14ac:dyDescent="0.3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4" x14ac:dyDescent="0.3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4" x14ac:dyDescent="0.3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4" x14ac:dyDescent="0.3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4" x14ac:dyDescent="0.3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4" x14ac:dyDescent="0.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4" x14ac:dyDescent="0.3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4" x14ac:dyDescent="0.3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4" x14ac:dyDescent="0.3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4" x14ac:dyDescent="0.3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4" x14ac:dyDescent="0.3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4" x14ac:dyDescent="0.3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4" x14ac:dyDescent="0.3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4" x14ac:dyDescent="0.3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4" x14ac:dyDescent="0.3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4" x14ac:dyDescent="0.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4" x14ac:dyDescent="0.3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4" x14ac:dyDescent="0.3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4" x14ac:dyDescent="0.3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4" x14ac:dyDescent="0.3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4" x14ac:dyDescent="0.3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4" x14ac:dyDescent="0.3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4" x14ac:dyDescent="0.3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4" x14ac:dyDescent="0.3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4" x14ac:dyDescent="0.3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4" x14ac:dyDescent="0.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4" x14ac:dyDescent="0.3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4" x14ac:dyDescent="0.3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4" x14ac:dyDescent="0.3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4" x14ac:dyDescent="0.3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4" x14ac:dyDescent="0.3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4" x14ac:dyDescent="0.3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4" x14ac:dyDescent="0.3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4" x14ac:dyDescent="0.3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4" x14ac:dyDescent="0.3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4" x14ac:dyDescent="0.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4" x14ac:dyDescent="0.3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4" x14ac:dyDescent="0.3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4" x14ac:dyDescent="0.3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4" x14ac:dyDescent="0.3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4" x14ac:dyDescent="0.3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4" x14ac:dyDescent="0.3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4" x14ac:dyDescent="0.3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"/>
  <sheetViews>
    <sheetView workbookViewId="0"/>
  </sheetViews>
  <sheetFormatPr baseColWidth="10" defaultColWidth="12.6328125" defaultRowHeight="15.75" customHeight="1" x14ac:dyDescent="0.25"/>
  <cols>
    <col min="2" max="2" width="22" customWidth="1"/>
    <col min="3" max="3" width="12.26953125" customWidth="1"/>
    <col min="5" max="5" width="14" customWidth="1"/>
  </cols>
  <sheetData>
    <row r="1" spans="1:26" x14ac:dyDescent="0.3">
      <c r="A1" s="1" t="str">
        <f ca="1">IFERROR(__xludf.DUMMYFUNCTION("IMPORTRANGE(""https://docs.google.com/spreadsheets/d/14lMQEQfNvU16WPF6t149kvvPGHnMGYsIgN2EyG89odM/edit?gid=1136507210#gid=1136507210"",""ComercialAbril!A1:Z100"")"),"Legajo")</f>
        <v>Legajo</v>
      </c>
      <c r="B1" s="1" t="str">
        <f ca="1">IFERROR(__xludf.DUMMYFUNCTION("""COMPUTED_VALUE"""),"Apellido y Nombre")</f>
        <v>Apellido y Nombre</v>
      </c>
      <c r="C1" s="1" t="str">
        <f ca="1">IFERROR(__xludf.DUMMYFUNCTION("""COMPUTED_VALUE"""),"Periodo")</f>
        <v>Periodo</v>
      </c>
      <c r="D1" s="1" t="str">
        <f ca="1">IFERROR(__xludf.DUMMYFUNCTION("""COMPUTED_VALUE"""),"Tienda asignada este mes")</f>
        <v>Tienda asignada este mes</v>
      </c>
      <c r="E1" s="1" t="str">
        <f ca="1">IFERROR(__xludf.DUMMYFUNCTION("""COMPUTED_VALUE"""),"Horas Totales ")</f>
        <v xml:space="preserve">Horas Totales </v>
      </c>
      <c r="F1" s="1" t="str">
        <f ca="1">IFERROR(__xludf.DUMMYFUNCTION("""COMPUTED_VALUE"""),"Hs Normales (con vacaciones)")</f>
        <v>Hs Normales (con vacaciones)</v>
      </c>
      <c r="G1" s="1" t="str">
        <f ca="1">IFERROR(__xludf.DUMMYFUNCTION("""COMPUTED_VALUE"""),"Hs Feriados")</f>
        <v>Hs Feriados</v>
      </c>
      <c r="H1" s="1" t="str">
        <f ca="1">IFERROR(__xludf.DUMMYFUNCTION("""COMPUTED_VALUE"""),"Plus vacacional")</f>
        <v>Plus vacacional</v>
      </c>
      <c r="I1" s="1" t="str">
        <f ca="1">IFERROR(__xludf.DUMMYFUNCTION("""COMPUTED_VALUE"""),"Sueldo Neto")</f>
        <v>Sueldo Neto</v>
      </c>
      <c r="J1" s="1" t="str">
        <f ca="1">IFERROR(__xludf.DUMMYFUNCTION("""COMPUTED_VALUE"""),"Sueldo Bruto")</f>
        <v>Sueldo Bruto</v>
      </c>
      <c r="K1" s="1" t="str">
        <f ca="1">IFERROR(__xludf.DUMMYFUNCTION("""COMPUTED_VALUE"""),"Contribuciones + ART")</f>
        <v>Contribuciones + ART</v>
      </c>
      <c r="L1" s="1" t="str">
        <f ca="1">IFERROR(__xludf.DUMMYFUNCTION("""COMPUTED_VALUE"""),"Costo total")</f>
        <v>Costo total</v>
      </c>
      <c r="M1" s="1" t="str">
        <f ca="1">IFERROR(__xludf.DUMMYFUNCTION("""COMPUTED_VALUE"""),"Observaciones")</f>
        <v>Observaciones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5">
        <f ca="1">IFERROR(__xludf.DUMMYFUNCTION("""COMPUTED_VALUE"""),10)</f>
        <v>10</v>
      </c>
      <c r="B2" s="5" t="str">
        <f ca="1">IFERROR(__xludf.DUMMYFUNCTION("""COMPUTED_VALUE"""),"Cabovianco Natalia")</f>
        <v>Cabovianco Natalia</v>
      </c>
      <c r="C2" s="23">
        <f ca="1">IFERROR(__xludf.DUMMYFUNCTION("""COMPUTED_VALUE"""),40030)</f>
        <v>40030</v>
      </c>
      <c r="D2" s="4" t="str">
        <f ca="1">IFERROR(__xludf.DUMMYFUNCTION("""COMPUTED_VALUE"""),"Supervisora")</f>
        <v>Supervisora</v>
      </c>
      <c r="E2" s="4" t="str">
        <f ca="1">IFERROR(__xludf.DUMMYFUNCTION("""COMPUTED_VALUE"""),"28,00 D")</f>
        <v>28,00 D</v>
      </c>
      <c r="F2" s="4"/>
      <c r="G2" s="4" t="str">
        <f ca="1">IFERROR(__xludf.DUMMYFUNCTION("""COMPUTED_VALUE"""),"2,00 D")</f>
        <v>2,00 D</v>
      </c>
      <c r="H2" s="4" t="str">
        <f ca="1">IFERROR(__xludf.DUMMYFUNCTION("""COMPUTED_VALUE"""),"NO")</f>
        <v>NO</v>
      </c>
      <c r="I2" s="7">
        <f ca="1">IFERROR(__xludf.DUMMYFUNCTION("""COMPUTED_VALUE"""),1145324)</f>
        <v>1145324</v>
      </c>
      <c r="J2" s="7">
        <f ca="1">IFERROR(__xludf.DUMMYFUNCTION("""COMPUTED_VALUE"""),1392408.06)</f>
        <v>1392408.06</v>
      </c>
      <c r="K2" s="7">
        <f ca="1">IFERROR(__xludf.DUMMYFUNCTION("""COMPUTED_VALUE"""),418949.418)</f>
        <v>418949.41800000001</v>
      </c>
      <c r="L2" s="7">
        <f ca="1">IFERROR(__xludf.DUMMYFUNCTION("""COMPUTED_VALUE"""),1811357.478)</f>
        <v>1811357.4779999999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6" ht="15.75" customHeight="1" x14ac:dyDescent="0.25">
      <c r="A3" s="5">
        <f ca="1">IFERROR(__xludf.DUMMYFUNCTION("""COMPUTED_VALUE"""),47)</f>
        <v>47</v>
      </c>
      <c r="B3" s="5" t="str">
        <f ca="1">IFERROR(__xludf.DUMMYFUNCTION("""COMPUTED_VALUE"""),"Eredia Cintia")</f>
        <v>Eredia Cintia</v>
      </c>
      <c r="C3" s="23">
        <f ca="1">IFERROR(__xludf.DUMMYFUNCTION("""COMPUTED_VALUE"""),44295)</f>
        <v>44295</v>
      </c>
      <c r="D3" s="4" t="str">
        <f ca="1">IFERROR(__xludf.DUMMYFUNCTION("""COMPUTED_VALUE"""),"Visual")</f>
        <v>Visual</v>
      </c>
      <c r="E3" s="4" t="str">
        <f ca="1">IFERROR(__xludf.DUMMYFUNCTION("""COMPUTED_VALUE"""),"28,00 D")</f>
        <v>28,00 D</v>
      </c>
      <c r="F3" s="4"/>
      <c r="G3" s="4" t="str">
        <f ca="1">IFERROR(__xludf.DUMMYFUNCTION("""COMPUTED_VALUE"""),"1,00 D")</f>
        <v>1,00 D</v>
      </c>
      <c r="H3" s="4" t="str">
        <f ca="1">IFERROR(__xludf.DUMMYFUNCTION("""COMPUTED_VALUE"""),"NO")</f>
        <v>NO</v>
      </c>
      <c r="I3" s="7">
        <f ca="1">IFERROR(__xludf.DUMMYFUNCTION("""COMPUTED_VALUE"""),970183)</f>
        <v>970183</v>
      </c>
      <c r="J3" s="7">
        <f ca="1">IFERROR(__xludf.DUMMYFUNCTION("""COMPUTED_VALUE"""),1180379.39)</f>
        <v>1180379.3899999999</v>
      </c>
      <c r="K3" s="7">
        <f ca="1">IFERROR(__xludf.DUMMYFUNCTION("""COMPUTED_VALUE"""),355340.817)</f>
        <v>355340.81699999998</v>
      </c>
      <c r="L3" s="7">
        <f ca="1">IFERROR(__xludf.DUMMYFUNCTION("""COMPUTED_VALUE"""),1535720.207)</f>
        <v>1535720.2069999999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6" ht="15.75" customHeight="1" x14ac:dyDescent="0.25">
      <c r="A4" s="4">
        <f ca="1">IFERROR(__xludf.DUMMYFUNCTION("""COMPUTED_VALUE"""),55)</f>
        <v>55</v>
      </c>
      <c r="B4" s="4" t="str">
        <f ca="1">IFERROR(__xludf.DUMMYFUNCTION("""COMPUTED_VALUE"""),"Carrizo Camila")</f>
        <v>Carrizo Camila</v>
      </c>
      <c r="C4" s="23">
        <f ca="1">IFERROR(__xludf.DUMMYFUNCTION("""COMPUTED_VALUE"""),44414)</f>
        <v>44414</v>
      </c>
      <c r="D4" s="4" t="str">
        <f ca="1">IFERROR(__xludf.DUMMYFUNCTION("""COMPUTED_VALUE"""),"AS San Telmo")</f>
        <v>AS San Telmo</v>
      </c>
      <c r="E4" s="24">
        <f ca="1">IFERROR(__xludf.DUMMYFUNCTION("""COMPUTED_VALUE"""),132)</f>
        <v>132</v>
      </c>
      <c r="F4" s="24">
        <f ca="1">IFERROR(__xludf.DUMMYFUNCTION("""COMPUTED_VALUE"""),122)</f>
        <v>122</v>
      </c>
      <c r="G4" s="4">
        <f ca="1">IFERROR(__xludf.DUMMYFUNCTION("""COMPUTED_VALUE"""),10)</f>
        <v>10</v>
      </c>
      <c r="H4" s="4" t="str">
        <f ca="1">IFERROR(__xludf.DUMMYFUNCTION("""COMPUTED_VALUE"""),"NO")</f>
        <v>NO</v>
      </c>
      <c r="I4" s="7">
        <f ca="1">IFERROR(__xludf.DUMMYFUNCTION("""COMPUTED_VALUE"""),748018)</f>
        <v>748018</v>
      </c>
      <c r="J4" s="7">
        <f ca="1">IFERROR(__xludf.DUMMYFUNCTION("""COMPUTED_VALUE"""),944319.79)</f>
        <v>944319.79</v>
      </c>
      <c r="K4" s="7">
        <f ca="1">IFERROR(__xludf.DUMMYFUNCTION("""COMPUTED_VALUE"""),284522.937)</f>
        <v>284522.93699999998</v>
      </c>
      <c r="L4" s="7">
        <f ca="1">IFERROR(__xludf.DUMMYFUNCTION("""COMPUTED_VALUE"""),1228842.727)</f>
        <v>1228842.727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6" ht="15.75" customHeight="1" x14ac:dyDescent="0.25">
      <c r="A5" s="4">
        <f ca="1">IFERROR(__xludf.DUMMYFUNCTION("""COMPUTED_VALUE"""),103)</f>
        <v>103</v>
      </c>
      <c r="B5" s="4" t="str">
        <f ca="1">IFERROR(__xludf.DUMMYFUNCTION("""COMPUTED_VALUE"""),"Esposito Candela")</f>
        <v>Esposito Candela</v>
      </c>
      <c r="C5" s="25">
        <f ca="1">IFERROR(__xludf.DUMMYFUNCTION("""COMPUTED_VALUE"""),44854)</f>
        <v>44854</v>
      </c>
      <c r="D5" s="4" t="str">
        <f ca="1">IFERROR(__xludf.DUMMYFUNCTION("""COMPUTED_VALUE"""),"Lucero San Telmo")</f>
        <v>Lucero San Telmo</v>
      </c>
      <c r="E5" s="24">
        <f ca="1">IFERROR(__xludf.DUMMYFUNCTION("""COMPUTED_VALUE"""),129)</f>
        <v>129</v>
      </c>
      <c r="F5" s="24">
        <f ca="1">IFERROR(__xludf.DUMMYFUNCTION("""COMPUTED_VALUE"""),91)</f>
        <v>91</v>
      </c>
      <c r="G5" s="4">
        <f ca="1">IFERROR(__xludf.DUMMYFUNCTION("""COMPUTED_VALUE"""),6)</f>
        <v>6</v>
      </c>
      <c r="H5" s="4" t="str">
        <f ca="1">IFERROR(__xludf.DUMMYFUNCTION("""COMPUTED_VALUE"""),"SI")</f>
        <v>SI</v>
      </c>
      <c r="I5" s="7">
        <f ca="1">IFERROR(__xludf.DUMMYFUNCTION("""COMPUTED_VALUE"""),544266)</f>
        <v>544266</v>
      </c>
      <c r="J5" s="7">
        <f ca="1">IFERROR(__xludf.DUMMYFUNCTION("""COMPUTED_VALUE"""),682045.2)</f>
        <v>682045.2</v>
      </c>
      <c r="K5" s="7">
        <f ca="1">IFERROR(__xludf.DUMMYFUNCTION("""COMPUTED_VALUE"""),205840.559999999)</f>
        <v>205840.55999999901</v>
      </c>
      <c r="L5" s="7">
        <f ca="1">IFERROR(__xludf.DUMMYFUNCTION("""COMPUTED_VALUE"""),887885.759999999)</f>
        <v>887885.75999999896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6" ht="15.75" customHeight="1" x14ac:dyDescent="0.25">
      <c r="A6" s="4">
        <f ca="1">IFERROR(__xludf.DUMMYFUNCTION("""COMPUTED_VALUE"""),120)</f>
        <v>120</v>
      </c>
      <c r="B6" s="4" t="str">
        <f ca="1">IFERROR(__xludf.DUMMYFUNCTION("""COMPUTED_VALUE"""),"Bertolo Milagros")</f>
        <v>Bertolo Milagros</v>
      </c>
      <c r="C6" s="23">
        <f ca="1">IFERROR(__xludf.DUMMYFUNCTION("""COMPUTED_VALUE"""),45020)</f>
        <v>45020</v>
      </c>
      <c r="D6" s="4" t="str">
        <f ca="1">IFERROR(__xludf.DUMMYFUNCTION("""COMPUTED_VALUE"""),"Lucero French")</f>
        <v>Lucero French</v>
      </c>
      <c r="E6" s="24">
        <f ca="1">IFERROR(__xludf.DUMMYFUNCTION("""COMPUTED_VALUE"""),128)</f>
        <v>128</v>
      </c>
      <c r="F6" s="24">
        <f ca="1">IFERROR(__xludf.DUMMYFUNCTION("""COMPUTED_VALUE"""),119)</f>
        <v>119</v>
      </c>
      <c r="G6" s="4">
        <f ca="1">IFERROR(__xludf.DUMMYFUNCTION("""COMPUTED_VALUE"""),9)</f>
        <v>9</v>
      </c>
      <c r="H6" s="4" t="str">
        <f ca="1">IFERROR(__xludf.DUMMYFUNCTION("""COMPUTED_VALUE"""),"NO")</f>
        <v>NO</v>
      </c>
      <c r="I6" s="7">
        <f ca="1">IFERROR(__xludf.DUMMYFUNCTION("""COMPUTED_VALUE"""),720514)</f>
        <v>720514</v>
      </c>
      <c r="J6" s="7">
        <f ca="1">IFERROR(__xludf.DUMMYFUNCTION("""COMPUTED_VALUE"""),909608.85)</f>
        <v>909608.85</v>
      </c>
      <c r="K6" s="7">
        <f ca="1">IFERROR(__xludf.DUMMYFUNCTION("""COMPUTED_VALUE"""),274109.654999999)</f>
        <v>274109.65499999898</v>
      </c>
      <c r="L6" s="7">
        <f ca="1">IFERROR(__xludf.DUMMYFUNCTION("""COMPUTED_VALUE"""),1183718.505)</f>
        <v>1183718.5049999999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6" ht="15.75" customHeight="1" x14ac:dyDescent="0.25">
      <c r="A7" s="4">
        <f ca="1">IFERROR(__xludf.DUMMYFUNCTION("""COMPUTED_VALUE"""),126)</f>
        <v>126</v>
      </c>
      <c r="B7" s="4" t="str">
        <f ca="1">IFERROR(__xludf.DUMMYFUNCTION("""COMPUTED_VALUE"""),"Barajas Barbara")</f>
        <v>Barajas Barbara</v>
      </c>
      <c r="C7" s="23">
        <f ca="1">IFERROR(__xludf.DUMMYFUNCTION("""COMPUTED_VALUE"""),45057)</f>
        <v>45057</v>
      </c>
      <c r="D7" s="4" t="str">
        <f ca="1">IFERROR(__xludf.DUMMYFUNCTION("""COMPUTED_VALUE"""),"Lucero Recoleta")</f>
        <v>Lucero Recoleta</v>
      </c>
      <c r="E7" s="24">
        <f ca="1">IFERROR(__xludf.DUMMYFUNCTION("""COMPUTED_VALUE"""),120)</f>
        <v>120</v>
      </c>
      <c r="F7" s="24">
        <f ca="1">IFERROR(__xludf.DUMMYFUNCTION("""COMPUTED_VALUE"""),111)</f>
        <v>111</v>
      </c>
      <c r="G7" s="4">
        <f ca="1">IFERROR(__xludf.DUMMYFUNCTION("""COMPUTED_VALUE"""),9)</f>
        <v>9</v>
      </c>
      <c r="H7" s="4" t="str">
        <f ca="1">IFERROR(__xludf.DUMMYFUNCTION("""COMPUTED_VALUE"""),"NO")</f>
        <v>NO</v>
      </c>
      <c r="I7" s="7">
        <f ca="1">IFERROR(__xludf.DUMMYFUNCTION("""COMPUTED_VALUE"""),673751)</f>
        <v>673751</v>
      </c>
      <c r="J7" s="7">
        <f ca="1">IFERROR(__xludf.DUMMYFUNCTION("""COMPUTED_VALUE"""),850618.43)</f>
        <v>850618.43</v>
      </c>
      <c r="K7" s="7">
        <f ca="1">IFERROR(__xludf.DUMMYFUNCTION("""COMPUTED_VALUE"""),256412.529)</f>
        <v>256412.52900000001</v>
      </c>
      <c r="L7" s="7">
        <f ca="1">IFERROR(__xludf.DUMMYFUNCTION("""COMPUTED_VALUE"""),1107030.959)</f>
        <v>1107030.959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6" ht="15.75" customHeight="1" x14ac:dyDescent="0.25">
      <c r="A8" s="4">
        <f ca="1">IFERROR(__xludf.DUMMYFUNCTION("""COMPUTED_VALUE"""),131)</f>
        <v>131</v>
      </c>
      <c r="B8" s="4" t="str">
        <f ca="1">IFERROR(__xludf.DUMMYFUNCTION("""COMPUTED_VALUE"""),"De Brito Rocio")</f>
        <v>De Brito Rocio</v>
      </c>
      <c r="C8" s="23">
        <f ca="1">IFERROR(__xludf.DUMMYFUNCTION("""COMPUTED_VALUE"""),45085)</f>
        <v>45085</v>
      </c>
      <c r="D8" s="4" t="str">
        <f ca="1">IFERROR(__xludf.DUMMYFUNCTION("""COMPUTED_VALUE"""),"Lucero Güemes")</f>
        <v>Lucero Güemes</v>
      </c>
      <c r="E8" s="24">
        <f ca="1">IFERROR(__xludf.DUMMYFUNCTION("""COMPUTED_VALUE"""),122)</f>
        <v>122</v>
      </c>
      <c r="F8" s="24">
        <f ca="1">IFERROR(__xludf.DUMMYFUNCTION("""COMPUTED_VALUE"""),118)</f>
        <v>118</v>
      </c>
      <c r="G8" s="4">
        <f ca="1">IFERROR(__xludf.DUMMYFUNCTION("""COMPUTED_VALUE"""),0)</f>
        <v>0</v>
      </c>
      <c r="H8" s="4" t="str">
        <f ca="1">IFERROR(__xludf.DUMMYFUNCTION("""COMPUTED_VALUE"""),"NO")</f>
        <v>NO</v>
      </c>
      <c r="I8" s="7">
        <f ca="1">IFERROR(__xludf.DUMMYFUNCTION("""COMPUTED_VALUE"""),636686)</f>
        <v>636686</v>
      </c>
      <c r="J8" s="7">
        <f ca="1">IFERROR(__xludf.DUMMYFUNCTION("""COMPUTED_VALUE"""),802501.66)</f>
        <v>802501.66</v>
      </c>
      <c r="K8" s="7">
        <f ca="1">IFERROR(__xludf.DUMMYFUNCTION("""COMPUTED_VALUE"""),241977.498)</f>
        <v>241977.49799999999</v>
      </c>
      <c r="L8" s="7">
        <f ca="1">IFERROR(__xludf.DUMMYFUNCTION("""COMPUTED_VALUE"""),1044479.158)</f>
        <v>1044479.1580000001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6" ht="15.75" customHeight="1" x14ac:dyDescent="0.25">
      <c r="A9" s="4">
        <f ca="1">IFERROR(__xludf.DUMMYFUNCTION("""COMPUTED_VALUE"""),138)</f>
        <v>138</v>
      </c>
      <c r="B9" s="4" t="str">
        <f ca="1">IFERROR(__xludf.DUMMYFUNCTION("""COMPUTED_VALUE"""),"Lara Robbio")</f>
        <v>Lara Robbio</v>
      </c>
      <c r="C9" s="23">
        <f ca="1">IFERROR(__xludf.DUMMYFUNCTION("""COMPUTED_VALUE"""),45139)</f>
        <v>45139</v>
      </c>
      <c r="D9" s="4" t="str">
        <f ca="1">IFERROR(__xludf.DUMMYFUNCTION("""COMPUTED_VALUE"""),"Lucero San Telmo")</f>
        <v>Lucero San Telmo</v>
      </c>
      <c r="E9" s="24">
        <f ca="1">IFERROR(__xludf.DUMMYFUNCTION("""COMPUTED_VALUE"""),121)</f>
        <v>121</v>
      </c>
      <c r="F9" s="24">
        <f ca="1">IFERROR(__xludf.DUMMYFUNCTION("""COMPUTED_VALUE"""),105)</f>
        <v>105</v>
      </c>
      <c r="G9" s="4">
        <f ca="1">IFERROR(__xludf.DUMMYFUNCTION("""COMPUTED_VALUE"""),8)</f>
        <v>8</v>
      </c>
      <c r="H9" s="4" t="str">
        <f ca="1">IFERROR(__xludf.DUMMYFUNCTION("""COMPUTED_VALUE"""),"NO")</f>
        <v>NO</v>
      </c>
      <c r="I9" s="7">
        <f ca="1">IFERROR(__xludf.DUMMYFUNCTION("""COMPUTED_VALUE"""),678666)</f>
        <v>678666</v>
      </c>
      <c r="J9" s="7">
        <f ca="1">IFERROR(__xludf.DUMMYFUNCTION("""COMPUTED_VALUE"""),856814.76)</f>
        <v>856814.76</v>
      </c>
      <c r="K9" s="7">
        <f ca="1">IFERROR(__xludf.DUMMYFUNCTION("""COMPUTED_VALUE"""),258271.427999999)</f>
        <v>258271.427999999</v>
      </c>
      <c r="L9" s="7">
        <f ca="1">IFERROR(__xludf.DUMMYFUNCTION("""COMPUTED_VALUE"""),1115086.188)</f>
        <v>1115086.1880000001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6" ht="15.75" customHeight="1" x14ac:dyDescent="0.25">
      <c r="A10" s="4">
        <f ca="1">IFERROR(__xludf.DUMMYFUNCTION("""COMPUTED_VALUE"""),139)</f>
        <v>139</v>
      </c>
      <c r="B10" s="4" t="str">
        <f ca="1">IFERROR(__xludf.DUMMYFUNCTION("""COMPUTED_VALUE"""),"Viña Sofia")</f>
        <v>Viña Sofia</v>
      </c>
      <c r="C10" s="23">
        <f ca="1">IFERROR(__xludf.DUMMYFUNCTION("""COMPUTED_VALUE"""),45139)</f>
        <v>45139</v>
      </c>
      <c r="D10" s="4" t="str">
        <f ca="1">IFERROR(__xludf.DUMMYFUNCTION("""COMPUTED_VALUE"""),"Lucero Florida")</f>
        <v>Lucero Florida</v>
      </c>
      <c r="E10" s="24">
        <f ca="1">IFERROR(__xludf.DUMMYFUNCTION("""COMPUTED_VALUE"""),122)</f>
        <v>122</v>
      </c>
      <c r="F10" s="24">
        <f ca="1">IFERROR(__xludf.DUMMYFUNCTION("""COMPUTED_VALUE"""),112)</f>
        <v>112</v>
      </c>
      <c r="G10" s="4">
        <f ca="1">IFERROR(__xludf.DUMMYFUNCTION("""COMPUTED_VALUE"""),10)</f>
        <v>10</v>
      </c>
      <c r="H10" s="4" t="str">
        <f ca="1">IFERROR(__xludf.DUMMYFUNCTION("""COMPUTED_VALUE"""),"NO")</f>
        <v>NO</v>
      </c>
      <c r="I10" s="7">
        <f ca="1">IFERROR(__xludf.DUMMYFUNCTION("""COMPUTED_VALUE"""),695901)</f>
        <v>695901</v>
      </c>
      <c r="J10" s="7">
        <f ca="1">IFERROR(__xludf.DUMMYFUNCTION("""COMPUTED_VALUE"""),878907.97)</f>
        <v>878907.97</v>
      </c>
      <c r="K10" s="7">
        <f ca="1">IFERROR(__xludf.DUMMYFUNCTION("""COMPUTED_VALUE"""),264899.391)</f>
        <v>264899.391</v>
      </c>
      <c r="L10" s="7">
        <f ca="1">IFERROR(__xludf.DUMMYFUNCTION("""COMPUTED_VALUE"""),1143807.361)</f>
        <v>1143807.361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6" ht="15.75" customHeight="1" x14ac:dyDescent="0.25">
      <c r="A11" s="4">
        <f ca="1">IFERROR(__xludf.DUMMYFUNCTION("""COMPUTED_VALUE"""),143)</f>
        <v>143</v>
      </c>
      <c r="B11" s="4" t="str">
        <f ca="1">IFERROR(__xludf.DUMMYFUNCTION("""COMPUTED_VALUE"""),"Molina Agustina")</f>
        <v>Molina Agustina</v>
      </c>
      <c r="C11" s="23">
        <f ca="1">IFERROR(__xludf.DUMMYFUNCTION("""COMPUTED_VALUE"""),45184)</f>
        <v>45184</v>
      </c>
      <c r="D11" s="4" t="str">
        <f ca="1">IFERROR(__xludf.DUMMYFUNCTION("""COMPUTED_VALUE"""),"AS San Telmo")</f>
        <v>AS San Telmo</v>
      </c>
      <c r="E11" s="24">
        <f ca="1">IFERROR(__xludf.DUMMYFUNCTION("""COMPUTED_VALUE"""),126)</f>
        <v>126</v>
      </c>
      <c r="F11" s="24">
        <f ca="1">IFERROR(__xludf.DUMMYFUNCTION("""COMPUTED_VALUE"""),116)</f>
        <v>116</v>
      </c>
      <c r="G11" s="4">
        <f ca="1">IFERROR(__xludf.DUMMYFUNCTION("""COMPUTED_VALUE"""),10)</f>
        <v>10</v>
      </c>
      <c r="H11" s="4" t="str">
        <f ca="1">IFERROR(__xludf.DUMMYFUNCTION("""COMPUTED_VALUE"""),"NO")</f>
        <v>NO</v>
      </c>
      <c r="I11" s="7">
        <f ca="1">IFERROR(__xludf.DUMMYFUNCTION("""COMPUTED_VALUE"""),702171)</f>
        <v>702171</v>
      </c>
      <c r="J11" s="7">
        <f ca="1">IFERROR(__xludf.DUMMYFUNCTION("""COMPUTED_VALUE"""),886416.02)</f>
        <v>886416.02</v>
      </c>
      <c r="K11" s="7">
        <f ca="1">IFERROR(__xludf.DUMMYFUNCTION("""COMPUTED_VALUE"""),267151.806)</f>
        <v>267151.80599999998</v>
      </c>
      <c r="L11" s="7">
        <f ca="1">IFERROR(__xludf.DUMMYFUNCTION("""COMPUTED_VALUE"""),1153567.826)</f>
        <v>1153567.8259999999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6" ht="15.75" customHeight="1" x14ac:dyDescent="0.25">
      <c r="A12" s="4">
        <f ca="1">IFERROR(__xludf.DUMMYFUNCTION("""COMPUTED_VALUE"""),151)</f>
        <v>151</v>
      </c>
      <c r="B12" s="4" t="str">
        <f ca="1">IFERROR(__xludf.DUMMYFUNCTION("""COMPUTED_VALUE"""),"Kiara Corbalan")</f>
        <v>Kiara Corbalan</v>
      </c>
      <c r="C12" s="23">
        <f ca="1">IFERROR(__xludf.DUMMYFUNCTION("""COMPUTED_VALUE"""),45201)</f>
        <v>45201</v>
      </c>
      <c r="D12" s="4" t="str">
        <f ca="1">IFERROR(__xludf.DUMMYFUNCTION("""COMPUTED_VALUE"""),"AS San Telmo")</f>
        <v>AS San Telmo</v>
      </c>
      <c r="E12" s="24">
        <f ca="1">IFERROR(__xludf.DUMMYFUNCTION("""COMPUTED_VALUE"""),127)</f>
        <v>127</v>
      </c>
      <c r="F12" s="24">
        <f ca="1">IFERROR(__xludf.DUMMYFUNCTION("""COMPUTED_VALUE"""),122)</f>
        <v>122</v>
      </c>
      <c r="G12" s="4">
        <f ca="1">IFERROR(__xludf.DUMMYFUNCTION("""COMPUTED_VALUE"""),5)</f>
        <v>5</v>
      </c>
      <c r="H12" s="4" t="str">
        <f ca="1">IFERROR(__xludf.DUMMYFUNCTION("""COMPUTED_VALUE"""),"NO")</f>
        <v>NO</v>
      </c>
      <c r="I12" s="7">
        <f ca="1">IFERROR(__xludf.DUMMYFUNCTION("""COMPUTED_VALUE"""),690903)</f>
        <v>690903</v>
      </c>
      <c r="J12" s="7">
        <f ca="1">IFERROR(__xludf.DUMMYFUNCTION("""COMPUTED_VALUE"""),871731.26)</f>
        <v>871731.26</v>
      </c>
      <c r="K12" s="7">
        <f ca="1">IFERROR(__xludf.DUMMYFUNCTION("""COMPUTED_VALUE"""),262746.378)</f>
        <v>262746.37800000003</v>
      </c>
      <c r="L12" s="7">
        <f ca="1">IFERROR(__xludf.DUMMYFUNCTION("""COMPUTED_VALUE"""),1134477.638)</f>
        <v>1134477.638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6" ht="15.75" customHeight="1" x14ac:dyDescent="0.25">
      <c r="A13" s="4">
        <f ca="1">IFERROR(__xludf.DUMMYFUNCTION("""COMPUTED_VALUE"""),161)</f>
        <v>161</v>
      </c>
      <c r="B13" s="4" t="str">
        <f ca="1">IFERROR(__xludf.DUMMYFUNCTION("""COMPUTED_VALUE"""),"Martínez Brisa")</f>
        <v>Martínez Brisa</v>
      </c>
      <c r="C13" s="25">
        <f ca="1">IFERROR(__xludf.DUMMYFUNCTION("""COMPUTED_VALUE"""),45272)</f>
        <v>45272</v>
      </c>
      <c r="D13" s="4" t="str">
        <f ca="1">IFERROR(__xludf.DUMMYFUNCTION("""COMPUTED_VALUE"""),"AS San Telmo")</f>
        <v>AS San Telmo</v>
      </c>
      <c r="E13" s="24">
        <f ca="1">IFERROR(__xludf.DUMMYFUNCTION("""COMPUTED_VALUE"""),126)</f>
        <v>126</v>
      </c>
      <c r="F13" s="24">
        <f ca="1">IFERROR(__xludf.DUMMYFUNCTION("""COMPUTED_VALUE"""),93)</f>
        <v>93</v>
      </c>
      <c r="G13" s="4">
        <f ca="1">IFERROR(__xludf.DUMMYFUNCTION("""COMPUTED_VALUE"""),5)</f>
        <v>5</v>
      </c>
      <c r="H13" s="4" t="str">
        <f ca="1">IFERROR(__xludf.DUMMYFUNCTION("""COMPUTED_VALUE"""),"SI")</f>
        <v>SI</v>
      </c>
      <c r="I13" s="7">
        <f ca="1">IFERROR(__xludf.DUMMYFUNCTION("""COMPUTED_VALUE"""),567481)</f>
        <v>567481</v>
      </c>
      <c r="J13" s="7">
        <f ca="1">IFERROR(__xludf.DUMMYFUNCTION("""COMPUTED_VALUE"""),712622.67)</f>
        <v>712622.67</v>
      </c>
      <c r="K13" s="7">
        <f ca="1">IFERROR(__xludf.DUMMYFUNCTION("""COMPUTED_VALUE"""),215013.801)</f>
        <v>215013.80100000001</v>
      </c>
      <c r="L13" s="7">
        <f ca="1">IFERROR(__xludf.DUMMYFUNCTION("""COMPUTED_VALUE"""),927636.471)</f>
        <v>927636.47100000002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6" ht="15.75" customHeight="1" x14ac:dyDescent="0.25">
      <c r="A14" s="4">
        <f ca="1">IFERROR(__xludf.DUMMYFUNCTION("""COMPUTED_VALUE"""),165)</f>
        <v>165</v>
      </c>
      <c r="B14" s="4" t="str">
        <f ca="1">IFERROR(__xludf.DUMMYFUNCTION("""COMPUTED_VALUE"""),"CORONEL Mailen")</f>
        <v>CORONEL Mailen</v>
      </c>
      <c r="C14" s="23">
        <f ca="1">IFERROR(__xludf.DUMMYFUNCTION("""COMPUTED_VALUE"""),45311)</f>
        <v>45311</v>
      </c>
      <c r="D14" s="4" t="str">
        <f ca="1">IFERROR(__xludf.DUMMYFUNCTION("""COMPUTED_VALUE"""),"Lucero Güemes")</f>
        <v>Lucero Güemes</v>
      </c>
      <c r="E14" s="24">
        <f ca="1">IFERROR(__xludf.DUMMYFUNCTION("""COMPUTED_VALUE"""),123)</f>
        <v>123</v>
      </c>
      <c r="F14" s="24">
        <f ca="1">IFERROR(__xludf.DUMMYFUNCTION("""COMPUTED_VALUE"""),123)</f>
        <v>123</v>
      </c>
      <c r="G14" s="4">
        <f ca="1">IFERROR(__xludf.DUMMYFUNCTION("""COMPUTED_VALUE"""),0)</f>
        <v>0</v>
      </c>
      <c r="H14" s="4" t="str">
        <f ca="1">IFERROR(__xludf.DUMMYFUNCTION("""COMPUTED_VALUE"""),"NO")</f>
        <v>NO</v>
      </c>
      <c r="I14" s="7">
        <f ca="1">IFERROR(__xludf.DUMMYFUNCTION("""COMPUTED_VALUE"""),769679)</f>
        <v>769679</v>
      </c>
      <c r="J14" s="7">
        <f ca="1">IFERROR(__xludf.DUMMYFUNCTION("""COMPUTED_VALUE"""),973959.74)</f>
        <v>973959.74</v>
      </c>
      <c r="K14" s="7">
        <f ca="1">IFERROR(__xludf.DUMMYFUNCTION("""COMPUTED_VALUE"""),293414.921999999)</f>
        <v>293414.92199999897</v>
      </c>
      <c r="L14" s="7">
        <f ca="1">IFERROR(__xludf.DUMMYFUNCTION("""COMPUTED_VALUE"""),1267374.662)</f>
        <v>1267374.662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6" ht="15.75" customHeight="1" x14ac:dyDescent="0.25">
      <c r="A15" s="5">
        <f ca="1">IFERROR(__xludf.DUMMYFUNCTION("""COMPUTED_VALUE"""),169)</f>
        <v>169</v>
      </c>
      <c r="B15" s="5" t="str">
        <f ca="1">IFERROR(__xludf.DUMMYFUNCTION("""COMPUTED_VALUE"""),"Urbieta Barbara Giselle")</f>
        <v>Urbieta Barbara Giselle</v>
      </c>
      <c r="C15" s="23">
        <f ca="1">IFERROR(__xludf.DUMMYFUNCTION("""COMPUTED_VALUE"""),45341)</f>
        <v>45341</v>
      </c>
      <c r="D15" s="4" t="str">
        <f ca="1">IFERROR(__xludf.DUMMYFUNCTION("""COMPUTED_VALUE"""),"Supervisora")</f>
        <v>Supervisora</v>
      </c>
      <c r="E15" s="4" t="str">
        <f ca="1">IFERROR(__xludf.DUMMYFUNCTION("""COMPUTED_VALUE"""),"27,00 D")</f>
        <v>27,00 D</v>
      </c>
      <c r="F15" s="4"/>
      <c r="G15" s="4" t="str">
        <f ca="1">IFERROR(__xludf.DUMMYFUNCTION("""COMPUTED_VALUE"""),"1,00 D")</f>
        <v>1,00 D</v>
      </c>
      <c r="H15" s="4" t="str">
        <f ca="1">IFERROR(__xludf.DUMMYFUNCTION("""COMPUTED_VALUE"""),"NO")</f>
        <v>NO</v>
      </c>
      <c r="I15" s="7">
        <f ca="1">IFERROR(__xludf.DUMMYFUNCTION("""COMPUTED_VALUE"""),780313)</f>
        <v>780313</v>
      </c>
      <c r="J15" s="7">
        <f ca="1">IFERROR(__xludf.DUMMYFUNCTION("""COMPUTED_VALUE"""),1190861.57)</f>
        <v>1190861.57</v>
      </c>
      <c r="K15" s="7">
        <f ca="1">IFERROR(__xludf.DUMMYFUNCTION("""COMPUTED_VALUE"""),358485.471)</f>
        <v>358485.47100000002</v>
      </c>
      <c r="L15" s="7">
        <f ca="1">IFERROR(__xludf.DUMMYFUNCTION("""COMPUTED_VALUE"""),1549347.041)</f>
        <v>1549347.041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6" ht="15.75" customHeight="1" x14ac:dyDescent="0.25">
      <c r="A16" s="4">
        <f ca="1">IFERROR(__xludf.DUMMYFUNCTION("""COMPUTED_VALUE"""),170)</f>
        <v>170</v>
      </c>
      <c r="B16" s="4" t="str">
        <f ca="1">IFERROR(__xludf.DUMMYFUNCTION("""COMPUTED_VALUE"""),"Ruiz de la Torre Maitena")</f>
        <v>Ruiz de la Torre Maitena</v>
      </c>
      <c r="C16" s="23">
        <f ca="1">IFERROR(__xludf.DUMMYFUNCTION("""COMPUTED_VALUE"""),45345)</f>
        <v>45345</v>
      </c>
      <c r="D16" s="4" t="str">
        <f ca="1">IFERROR(__xludf.DUMMYFUNCTION("""COMPUTED_VALUE"""),"Lucero Florida")</f>
        <v>Lucero Florida</v>
      </c>
      <c r="E16" s="24">
        <f ca="1">IFERROR(__xludf.DUMMYFUNCTION("""COMPUTED_VALUE"""),125)</f>
        <v>125</v>
      </c>
      <c r="F16" s="24">
        <f ca="1">IFERROR(__xludf.DUMMYFUNCTION("""COMPUTED_VALUE"""),115)</f>
        <v>115</v>
      </c>
      <c r="G16" s="4">
        <f ca="1">IFERROR(__xludf.DUMMYFUNCTION("""COMPUTED_VALUE"""),10)</f>
        <v>10</v>
      </c>
      <c r="H16" s="4" t="str">
        <f ca="1">IFERROR(__xludf.DUMMYFUNCTION("""COMPUTED_VALUE"""),"NO")</f>
        <v>NO</v>
      </c>
      <c r="I16" s="7">
        <f ca="1">IFERROR(__xludf.DUMMYFUNCTION("""COMPUTED_VALUE"""),711966)</f>
        <v>711966</v>
      </c>
      <c r="J16" s="7">
        <f ca="1">IFERROR(__xludf.DUMMYFUNCTION("""COMPUTED_VALUE"""),899200.38)</f>
        <v>899200.38</v>
      </c>
      <c r="K16" s="7">
        <f ca="1">IFERROR(__xludf.DUMMYFUNCTION("""COMPUTED_VALUE"""),270987.114)</f>
        <v>270987.114</v>
      </c>
      <c r="L16" s="7">
        <f ca="1">IFERROR(__xludf.DUMMYFUNCTION("""COMPUTED_VALUE"""),1170187.494)</f>
        <v>1170187.4939999999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.75" customHeight="1" x14ac:dyDescent="0.25">
      <c r="A17" s="4">
        <f ca="1">IFERROR(__xludf.DUMMYFUNCTION("""COMPUTED_VALUE"""),171)</f>
        <v>171</v>
      </c>
      <c r="B17" s="4" t="str">
        <f ca="1">IFERROR(__xludf.DUMMYFUNCTION("""COMPUTED_VALUE"""),"Gimenez Candela")</f>
        <v>Gimenez Candela</v>
      </c>
      <c r="C17" s="23">
        <f ca="1">IFERROR(__xludf.DUMMYFUNCTION("""COMPUTED_VALUE"""),45771)</f>
        <v>45771</v>
      </c>
      <c r="D17" s="4" t="str">
        <f ca="1">IFERROR(__xludf.DUMMYFUNCTION("""COMPUTED_VALUE"""),"Lucero Recoleta")</f>
        <v>Lucero Recoleta</v>
      </c>
      <c r="E17" s="24">
        <f ca="1">IFERROR(__xludf.DUMMYFUNCTION("""COMPUTED_VALUE"""),127)</f>
        <v>127</v>
      </c>
      <c r="F17" s="24">
        <f ca="1">IFERROR(__xludf.DUMMYFUNCTION("""COMPUTED_VALUE"""),117)</f>
        <v>117</v>
      </c>
      <c r="G17" s="4">
        <f ca="1">IFERROR(__xludf.DUMMYFUNCTION("""COMPUTED_VALUE"""),10)</f>
        <v>10</v>
      </c>
      <c r="H17" s="4" t="str">
        <f ca="1">IFERROR(__xludf.DUMMYFUNCTION("""COMPUTED_VALUE"""),"NO")</f>
        <v>NO</v>
      </c>
      <c r="I17" s="7">
        <f ca="1">IFERROR(__xludf.DUMMYFUNCTION("""COMPUTED_VALUE"""),714613)</f>
        <v>714613</v>
      </c>
      <c r="J17" s="7">
        <f ca="1">IFERROR(__xludf.DUMMYFUNCTION("""COMPUTED_VALUE"""),902324.75)</f>
        <v>902324.75</v>
      </c>
      <c r="K17" s="7">
        <f ca="1">IFERROR(__xludf.DUMMYFUNCTION("""COMPUTED_VALUE"""),271924.425)</f>
        <v>271924.42499999999</v>
      </c>
      <c r="L17" s="7">
        <f ca="1">IFERROR(__xludf.DUMMYFUNCTION("""COMPUTED_VALUE"""),1174249.175)</f>
        <v>1174249.175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.75" customHeight="1" x14ac:dyDescent="0.25">
      <c r="A18" s="4">
        <f ca="1">IFERROR(__xludf.DUMMYFUNCTION("""COMPUTED_VALUE"""),173)</f>
        <v>173</v>
      </c>
      <c r="B18" s="4" t="str">
        <f ca="1">IFERROR(__xludf.DUMMYFUNCTION("""COMPUTED_VALUE"""),"Imperiale Candela")</f>
        <v>Imperiale Candela</v>
      </c>
      <c r="C18" s="23">
        <f ca="1">IFERROR(__xludf.DUMMYFUNCTION("""COMPUTED_VALUE"""),45447)</f>
        <v>45447</v>
      </c>
      <c r="D18" s="4" t="str">
        <f ca="1">IFERROR(__xludf.DUMMYFUNCTION("""COMPUTED_VALUE"""),"Lucero Florida")</f>
        <v>Lucero Florida</v>
      </c>
      <c r="E18" s="24">
        <f ca="1">IFERROR(__xludf.DUMMYFUNCTION("""COMPUTED_VALUE"""),132)</f>
        <v>132</v>
      </c>
      <c r="F18" s="24">
        <f ca="1">IFERROR(__xludf.DUMMYFUNCTION("""COMPUTED_VALUE"""),120)</f>
        <v>120</v>
      </c>
      <c r="G18" s="4">
        <f ca="1">IFERROR(__xludf.DUMMYFUNCTION("""COMPUTED_VALUE"""),12)</f>
        <v>12</v>
      </c>
      <c r="H18" s="4" t="str">
        <f ca="1">IFERROR(__xludf.DUMMYFUNCTION("""COMPUTED_VALUE"""),"NO")</f>
        <v>NO</v>
      </c>
      <c r="I18" s="7">
        <f ca="1">IFERROR(__xludf.DUMMYFUNCTION("""COMPUTED_VALUE"""),749642)</f>
        <v>749642</v>
      </c>
      <c r="J18" s="7">
        <f ca="1">IFERROR(__xludf.DUMMYFUNCTION("""COMPUTED_VALUE"""),946985.8)</f>
        <v>946985.8</v>
      </c>
      <c r="K18" s="7">
        <f ca="1">IFERROR(__xludf.DUMMYFUNCTION("""COMPUTED_VALUE"""),285322.74)</f>
        <v>285322.74</v>
      </c>
      <c r="L18" s="7">
        <f ca="1">IFERROR(__xludf.DUMMYFUNCTION("""COMPUTED_VALUE"""),1232308.54)</f>
        <v>1232308.54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customHeight="1" x14ac:dyDescent="0.25">
      <c r="A19" s="4">
        <f ca="1">IFERROR(__xludf.DUMMYFUNCTION("""COMPUTED_VALUE"""),174)</f>
        <v>174</v>
      </c>
      <c r="B19" s="4" t="str">
        <f ca="1">IFERROR(__xludf.DUMMYFUNCTION("""COMPUTED_VALUE"""),"Machuca Araceli")</f>
        <v>Machuca Araceli</v>
      </c>
      <c r="C19" s="23">
        <f ca="1">IFERROR(__xludf.DUMMYFUNCTION("""COMPUTED_VALUE"""),45477)</f>
        <v>45477</v>
      </c>
      <c r="D19" s="4" t="str">
        <f ca="1">IFERROR(__xludf.DUMMYFUNCTION("""COMPUTED_VALUE"""),"Lucero French")</f>
        <v>Lucero French</v>
      </c>
      <c r="E19" s="24">
        <f ca="1">IFERROR(__xludf.DUMMYFUNCTION("""COMPUTED_VALUE"""),121)</f>
        <v>121</v>
      </c>
      <c r="F19" s="24">
        <f ca="1">IFERROR(__xludf.DUMMYFUNCTION("""COMPUTED_VALUE"""),112)</f>
        <v>112</v>
      </c>
      <c r="G19" s="4">
        <f ca="1">IFERROR(__xludf.DUMMYFUNCTION("""COMPUTED_VALUE"""),9)</f>
        <v>9</v>
      </c>
      <c r="H19" s="4" t="str">
        <f ca="1">IFERROR(__xludf.DUMMYFUNCTION("""COMPUTED_VALUE"""),"NO")</f>
        <v>NO</v>
      </c>
      <c r="I19" s="7">
        <f ca="1">IFERROR(__xludf.DUMMYFUNCTION("""COMPUTED_VALUE"""),669939)</f>
        <v>669939</v>
      </c>
      <c r="J19" s="7">
        <f ca="1">IFERROR(__xludf.DUMMYFUNCTION("""COMPUTED_VALUE"""),845728.49)</f>
        <v>845728.49</v>
      </c>
      <c r="K19" s="7">
        <f ca="1">IFERROR(__xludf.DUMMYFUNCTION("""COMPUTED_VALUE"""),254945.547)</f>
        <v>254945.54699999999</v>
      </c>
      <c r="L19" s="7">
        <f ca="1">IFERROR(__xludf.DUMMYFUNCTION("""COMPUTED_VALUE"""),1100674.037)</f>
        <v>1100674.037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 x14ac:dyDescent="0.25">
      <c r="A20" s="4">
        <f ca="1">IFERROR(__xludf.DUMMYFUNCTION("""COMPUTED_VALUE"""),184)</f>
        <v>184</v>
      </c>
      <c r="B20" s="4" t="str">
        <f ca="1">IFERROR(__xludf.DUMMYFUNCTION("""COMPUTED_VALUE"""),"Villarruel Candela")</f>
        <v>Villarruel Candela</v>
      </c>
      <c r="C20" s="23">
        <f ca="1">IFERROR(__xludf.DUMMYFUNCTION("""COMPUTED_VALUE"""),45569)</f>
        <v>45569</v>
      </c>
      <c r="D20" s="4" t="str">
        <f ca="1">IFERROR(__xludf.DUMMYFUNCTION("""COMPUTED_VALUE"""),"AS San Telmo")</f>
        <v>AS San Telmo</v>
      </c>
      <c r="E20" s="24" t="str">
        <f ca="1">IFERROR(__xludf.DUMMYFUNCTION("""COMPUTED_VALUE"""),"88")</f>
        <v>88</v>
      </c>
      <c r="F20" s="4"/>
      <c r="G20" s="4">
        <f ca="1">IFERROR(__xludf.DUMMYFUNCTION("""COMPUTED_VALUE"""),0)</f>
        <v>0</v>
      </c>
      <c r="H20" s="4" t="str">
        <f ca="1">IFERROR(__xludf.DUMMYFUNCTION("""COMPUTED_VALUE"""),"NO")</f>
        <v>NO</v>
      </c>
      <c r="I20" s="7">
        <f ca="1">IFERROR(__xludf.DUMMYFUNCTION("""COMPUTED_VALUE"""),452065)</f>
        <v>452065</v>
      </c>
      <c r="J20" s="7">
        <f ca="1">IFERROR(__xludf.DUMMYFUNCTION("""COMPUTED_VALUE"""),569356.43)</f>
        <v>569356.43000000005</v>
      </c>
      <c r="K20" s="7">
        <f ca="1">IFERROR(__xludf.DUMMYFUNCTION("""COMPUTED_VALUE"""),172033.929)</f>
        <v>172033.929</v>
      </c>
      <c r="L20" s="7">
        <f ca="1">IFERROR(__xludf.DUMMYFUNCTION("""COMPUTED_VALUE"""),741390.359)</f>
        <v>741390.35900000005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 x14ac:dyDescent="0.25">
      <c r="A21" s="4">
        <f ca="1">IFERROR(__xludf.DUMMYFUNCTION("""COMPUTED_VALUE"""),186)</f>
        <v>186</v>
      </c>
      <c r="B21" s="4" t="str">
        <f ca="1">IFERROR(__xludf.DUMMYFUNCTION("""COMPUTED_VALUE"""),"Balmaceda Luciana")</f>
        <v>Balmaceda Luciana</v>
      </c>
      <c r="C21" s="25">
        <f ca="1">IFERROR(__xludf.DUMMYFUNCTION("""COMPUTED_VALUE"""),45587)</f>
        <v>45587</v>
      </c>
      <c r="D21" s="4" t="str">
        <f ca="1">IFERROR(__xludf.DUMMYFUNCTION("""COMPUTED_VALUE"""),"Lucero Florida")</f>
        <v>Lucero Florida</v>
      </c>
      <c r="E21" s="24">
        <f ca="1">IFERROR(__xludf.DUMMYFUNCTION("""COMPUTED_VALUE"""),113)</f>
        <v>113</v>
      </c>
      <c r="F21" s="24">
        <f ca="1">IFERROR(__xludf.DUMMYFUNCTION("""COMPUTED_VALUE"""),104)</f>
        <v>104</v>
      </c>
      <c r="G21" s="4">
        <f ca="1">IFERROR(__xludf.DUMMYFUNCTION("""COMPUTED_VALUE"""),9)</f>
        <v>9</v>
      </c>
      <c r="H21" s="4" t="str">
        <f ca="1">IFERROR(__xludf.DUMMYFUNCTION("""COMPUTED_VALUE"""),"NO")</f>
        <v>NO</v>
      </c>
      <c r="I21" s="7">
        <f ca="1">IFERROR(__xludf.DUMMYFUNCTION("""COMPUTED_VALUE"""),632219)</f>
        <v>632219</v>
      </c>
      <c r="J21" s="7">
        <f ca="1">IFERROR(__xludf.DUMMYFUNCTION("""COMPUTED_VALUE"""),798210.54)</f>
        <v>798210.54</v>
      </c>
      <c r="K21" s="7">
        <f ca="1">IFERROR(__xludf.DUMMYFUNCTION("""COMPUTED_VALUE"""),240690.162)</f>
        <v>240690.16200000001</v>
      </c>
      <c r="L21" s="7">
        <f ca="1">IFERROR(__xludf.DUMMYFUNCTION("""COMPUTED_VALUE"""),1038900.702)</f>
        <v>1038900.702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5" x14ac:dyDescent="0.25">
      <c r="A22" s="4">
        <f ca="1">IFERROR(__xludf.DUMMYFUNCTION("""COMPUTED_VALUE"""),189)</f>
        <v>189</v>
      </c>
      <c r="B22" s="4" t="str">
        <f ca="1">IFERROR(__xludf.DUMMYFUNCTION("""COMPUTED_VALUE"""),"Oliva Micaela")</f>
        <v>Oliva Micaela</v>
      </c>
      <c r="C22" s="23">
        <f ca="1">IFERROR(__xludf.DUMMYFUNCTION("""COMPUTED_VALUE"""),45597)</f>
        <v>45597</v>
      </c>
      <c r="D22" s="4" t="str">
        <f ca="1">IFERROR(__xludf.DUMMYFUNCTION("""COMPUTED_VALUE"""),"Lucero Recoleta")</f>
        <v>Lucero Recoleta</v>
      </c>
      <c r="E22" s="24">
        <f ca="1">IFERROR(__xludf.DUMMYFUNCTION("""COMPUTED_VALUE"""),118)</f>
        <v>118</v>
      </c>
      <c r="F22" s="24">
        <f ca="1">IFERROR(__xludf.DUMMYFUNCTION("""COMPUTED_VALUE"""),107)</f>
        <v>107</v>
      </c>
      <c r="G22" s="4">
        <f ca="1">IFERROR(__xludf.DUMMYFUNCTION("""COMPUTED_VALUE"""),11)</f>
        <v>11</v>
      </c>
      <c r="H22" s="4" t="str">
        <f ca="1">IFERROR(__xludf.DUMMYFUNCTION("""COMPUTED_VALUE"""),"NO")</f>
        <v>NO</v>
      </c>
      <c r="I22" s="7">
        <f ca="1">IFERROR(__xludf.DUMMYFUNCTION("""COMPUTED_VALUE"""),664213)</f>
        <v>664213</v>
      </c>
      <c r="J22" s="7">
        <f ca="1">IFERROR(__xludf.DUMMYFUNCTION("""COMPUTED_VALUE"""),838772.66)</f>
        <v>838772.66</v>
      </c>
      <c r="K22" s="7">
        <f ca="1">IFERROR(__xludf.DUMMYFUNCTION("""COMPUTED_VALUE"""),252858.798)</f>
        <v>252858.79800000001</v>
      </c>
      <c r="L22" s="7">
        <f ca="1">IFERROR(__xludf.DUMMYFUNCTION("""COMPUTED_VALUE"""),1091631.458)</f>
        <v>1091631.4580000001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5" x14ac:dyDescent="0.25">
      <c r="A23" s="4">
        <f ca="1">IFERROR(__xludf.DUMMYFUNCTION("""COMPUTED_VALUE"""),190)</f>
        <v>190</v>
      </c>
      <c r="B23" s="4" t="str">
        <f ca="1">IFERROR(__xludf.DUMMYFUNCTION("""COMPUTED_VALUE"""),"Mohamad Daila")</f>
        <v>Mohamad Daila</v>
      </c>
      <c r="C23" s="23">
        <f ca="1">IFERROR(__xludf.DUMMYFUNCTION("""COMPUTED_VALUE"""),45597)</f>
        <v>45597</v>
      </c>
      <c r="D23" s="4" t="str">
        <f ca="1">IFERROR(__xludf.DUMMYFUNCTION("""COMPUTED_VALUE"""),"Lucero San Telmo 2")</f>
        <v>Lucero San Telmo 2</v>
      </c>
      <c r="E23" s="24">
        <f ca="1">IFERROR(__xludf.DUMMYFUNCTION("""COMPUTED_VALUE"""),129)</f>
        <v>129</v>
      </c>
      <c r="F23" s="24">
        <f ca="1">IFERROR(__xludf.DUMMYFUNCTION("""COMPUTED_VALUE"""),119)</f>
        <v>119</v>
      </c>
      <c r="G23" s="4">
        <f ca="1">IFERROR(__xludf.DUMMYFUNCTION("""COMPUTED_VALUE"""),10)</f>
        <v>10</v>
      </c>
      <c r="H23" s="4" t="str">
        <f ca="1">IFERROR(__xludf.DUMMYFUNCTION("""COMPUTED_VALUE"""),"NO")</f>
        <v>NO</v>
      </c>
      <c r="I23" s="7">
        <f ca="1">IFERROR(__xludf.DUMMYFUNCTION("""COMPUTED_VALUE"""),718261)</f>
        <v>718261</v>
      </c>
      <c r="J23" s="7">
        <f ca="1">IFERROR(__xludf.DUMMYFUNCTION("""COMPUTED_VALUE"""),906926.69)</f>
        <v>906926.69</v>
      </c>
      <c r="K23" s="7">
        <f ca="1">IFERROR(__xludf.DUMMYFUNCTION("""COMPUTED_VALUE"""),273305.007)</f>
        <v>273305.00699999998</v>
      </c>
      <c r="L23" s="7">
        <f ca="1">IFERROR(__xludf.DUMMYFUNCTION("""COMPUTED_VALUE"""),1180231.697)</f>
        <v>1180231.6969999999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5" x14ac:dyDescent="0.25">
      <c r="A24" s="4">
        <f ca="1">IFERROR(__xludf.DUMMYFUNCTION("""COMPUTED_VALUE"""),192)</f>
        <v>192</v>
      </c>
      <c r="B24" s="4" t="str">
        <f ca="1">IFERROR(__xludf.DUMMYFUNCTION("""COMPUTED_VALUE"""),"Sarapura Rebecca")</f>
        <v>Sarapura Rebecca</v>
      </c>
      <c r="C24" s="23">
        <f ca="1">IFERROR(__xludf.DUMMYFUNCTION("""COMPUTED_VALUE"""),45597)</f>
        <v>45597</v>
      </c>
      <c r="D24" s="4" t="str">
        <f ca="1">IFERROR(__xludf.DUMMYFUNCTION("""COMPUTED_VALUE"""),"Lucero San Telmo 1")</f>
        <v>Lucero San Telmo 1</v>
      </c>
      <c r="E24" s="24">
        <f ca="1">IFERROR(__xludf.DUMMYFUNCTION("""COMPUTED_VALUE"""),119)</f>
        <v>119</v>
      </c>
      <c r="F24" s="24">
        <f ca="1">IFERROR(__xludf.DUMMYFUNCTION("""COMPUTED_VALUE"""),111)</f>
        <v>111</v>
      </c>
      <c r="G24" s="4">
        <f ca="1">IFERROR(__xludf.DUMMYFUNCTION("""COMPUTED_VALUE"""),8)</f>
        <v>8</v>
      </c>
      <c r="H24" s="4" t="str">
        <f ca="1">IFERROR(__xludf.DUMMYFUNCTION("""COMPUTED_VALUE"""),"NO")</f>
        <v>NO</v>
      </c>
      <c r="I24" s="7">
        <f ca="1">IFERROR(__xludf.DUMMYFUNCTION("""COMPUTED_VALUE"""),681246)</f>
        <v>681246</v>
      </c>
      <c r="J24" s="7">
        <f ca="1">IFERROR(__xludf.DUMMYFUNCTION("""COMPUTED_VALUE"""),860606.43)</f>
        <v>860606.43</v>
      </c>
      <c r="K24" s="7">
        <f ca="1">IFERROR(__xludf.DUMMYFUNCTION("""COMPUTED_VALUE"""),259408.929)</f>
        <v>259408.929</v>
      </c>
      <c r="L24" s="7">
        <f ca="1">IFERROR(__xludf.DUMMYFUNCTION("""COMPUTED_VALUE"""),1120015.359)</f>
        <v>1120015.3589999999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5" x14ac:dyDescent="0.25">
      <c r="A25" s="4">
        <f ca="1">IFERROR(__xludf.DUMMYFUNCTION("""COMPUTED_VALUE"""),194)</f>
        <v>194</v>
      </c>
      <c r="B25" s="4" t="str">
        <f ca="1">IFERROR(__xludf.DUMMYFUNCTION("""COMPUTED_VALUE"""),"Scholler Chavez Ruth")</f>
        <v>Scholler Chavez Ruth</v>
      </c>
      <c r="C25" s="25">
        <f ca="1">IFERROR(__xludf.DUMMYFUNCTION("""COMPUTED_VALUE"""),45639)</f>
        <v>45639</v>
      </c>
      <c r="D25" s="4" t="str">
        <f ca="1">IFERROR(__xludf.DUMMYFUNCTION("""COMPUTED_VALUE"""),"Lucero French")</f>
        <v>Lucero French</v>
      </c>
      <c r="E25" s="24">
        <f ca="1">IFERROR(__xludf.DUMMYFUNCTION("""COMPUTED_VALUE"""),122)</f>
        <v>122</v>
      </c>
      <c r="F25" s="24">
        <f ca="1">IFERROR(__xludf.DUMMYFUNCTION("""COMPUTED_VALUE"""),117)</f>
        <v>117</v>
      </c>
      <c r="G25" s="4">
        <f ca="1">IFERROR(__xludf.DUMMYFUNCTION("""COMPUTED_VALUE"""),5)</f>
        <v>5</v>
      </c>
      <c r="H25" s="4" t="str">
        <f ca="1">IFERROR(__xludf.DUMMYFUNCTION("""COMPUTED_VALUE"""),"NO")</f>
        <v>NO</v>
      </c>
      <c r="I25" s="7">
        <f ca="1">IFERROR(__xludf.DUMMYFUNCTION("""COMPUTED_VALUE"""),660181)</f>
        <v>660181</v>
      </c>
      <c r="J25" s="7">
        <f ca="1">IFERROR(__xludf.DUMMYFUNCTION("""COMPUTED_VALUE"""),832993.42)</f>
        <v>832993.42</v>
      </c>
      <c r="K25" s="7">
        <f ca="1">IFERROR(__xludf.DUMMYFUNCTION("""COMPUTED_VALUE"""),251125.026)</f>
        <v>251125.02600000001</v>
      </c>
      <c r="L25" s="7">
        <f ca="1">IFERROR(__xludf.DUMMYFUNCTION("""COMPUTED_VALUE"""),1084118.446)</f>
        <v>1084118.446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5" x14ac:dyDescent="0.25">
      <c r="A26" s="4">
        <f ca="1">IFERROR(__xludf.DUMMYFUNCTION("""COMPUTED_VALUE"""),197)</f>
        <v>197</v>
      </c>
      <c r="B26" s="4" t="str">
        <f ca="1">IFERROR(__xludf.DUMMYFUNCTION("""COMPUTED_VALUE"""),"Ramirez Lola")</f>
        <v>Ramirez Lola</v>
      </c>
      <c r="C26" s="23">
        <f ca="1">IFERROR(__xludf.DUMMYFUNCTION("""COMPUTED_VALUE"""),45659)</f>
        <v>45659</v>
      </c>
      <c r="D26" s="4" t="str">
        <f ca="1">IFERROR(__xludf.DUMMYFUNCTION("""COMPUTED_VALUE"""),"Lucero Florida")</f>
        <v>Lucero Florida</v>
      </c>
      <c r="E26" s="4">
        <f ca="1">IFERROR(__xludf.DUMMYFUNCTION("""COMPUTED_VALUE"""),30)</f>
        <v>30</v>
      </c>
      <c r="F26" s="4"/>
      <c r="G26" s="4">
        <f ca="1">IFERROR(__xludf.DUMMYFUNCTION("""COMPUTED_VALUE"""),0)</f>
        <v>0</v>
      </c>
      <c r="H26" s="4" t="str">
        <f ca="1">IFERROR(__xludf.DUMMYFUNCTION("""COMPUTED_VALUE"""),"NO")</f>
        <v>NO</v>
      </c>
      <c r="I26" s="7">
        <f ca="1">IFERROR(__xludf.DUMMYFUNCTION("""COMPUTED_VALUE"""),631496)</f>
        <v>631496</v>
      </c>
      <c r="J26" s="7">
        <f ca="1">IFERROR(__xludf.DUMMYFUNCTION("""COMPUTED_VALUE"""),770333.3)</f>
        <v>770333.3</v>
      </c>
      <c r="K26" s="7">
        <f ca="1">IFERROR(__xludf.DUMMYFUNCTION("""COMPUTED_VALUE"""),232326.99)</f>
        <v>232326.99</v>
      </c>
      <c r="L26" s="7">
        <f ca="1">IFERROR(__xludf.DUMMYFUNCTION("""COMPUTED_VALUE"""),1002660.29)</f>
        <v>1002660.29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5" x14ac:dyDescent="0.25">
      <c r="A27" s="4">
        <f ca="1">IFERROR(__xludf.DUMMYFUNCTION("""COMPUTED_VALUE"""),202)</f>
        <v>202</v>
      </c>
      <c r="B27" s="4" t="str">
        <f ca="1">IFERROR(__xludf.DUMMYFUNCTION("""COMPUTED_VALUE"""),"Machta Gina")</f>
        <v>Machta Gina</v>
      </c>
      <c r="C27" s="23">
        <f ca="1">IFERROR(__xludf.DUMMYFUNCTION("""COMPUTED_VALUE"""),45666)</f>
        <v>45666</v>
      </c>
      <c r="D27" s="4" t="str">
        <f ca="1">IFERROR(__xludf.DUMMYFUNCTION("""COMPUTED_VALUE"""),"Lucero Florida")</f>
        <v>Lucero Florida</v>
      </c>
      <c r="E27" s="4">
        <f ca="1">IFERROR(__xludf.DUMMYFUNCTION("""COMPUTED_VALUE"""),45)</f>
        <v>45</v>
      </c>
      <c r="F27" s="4"/>
      <c r="G27" s="4">
        <f ca="1">IFERROR(__xludf.DUMMYFUNCTION("""COMPUTED_VALUE"""),0)</f>
        <v>0</v>
      </c>
      <c r="H27" s="4" t="str">
        <f ca="1">IFERROR(__xludf.DUMMYFUNCTION("""COMPUTED_VALUE"""),"NO")</f>
        <v>NO</v>
      </c>
      <c r="I27" s="7">
        <f ca="1">IFERROR(__xludf.DUMMYFUNCTION("""COMPUTED_VALUE"""),386912)</f>
        <v>386912</v>
      </c>
      <c r="J27" s="7">
        <f ca="1">IFERROR(__xludf.DUMMYFUNCTION("""COMPUTED_VALUE"""),462356.36)</f>
        <v>462356.36</v>
      </c>
      <c r="K27" s="7">
        <f ca="1">IFERROR(__xludf.DUMMYFUNCTION("""COMPUTED_VALUE"""),139933.908)</f>
        <v>139933.908</v>
      </c>
      <c r="L27" s="7">
        <f ca="1">IFERROR(__xludf.DUMMYFUNCTION("""COMPUTED_VALUE"""),602290.267999999)</f>
        <v>602290.26799999899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5" x14ac:dyDescent="0.25">
      <c r="A28" s="4">
        <f ca="1">IFERROR(__xludf.DUMMYFUNCTION("""COMPUTED_VALUE"""),204)</f>
        <v>204</v>
      </c>
      <c r="B28" s="4" t="str">
        <f ca="1">IFERROR(__xludf.DUMMYFUNCTION("""COMPUTED_VALUE"""),"Dettoni Leguizamon Oriana")</f>
        <v>Dettoni Leguizamon Oriana</v>
      </c>
      <c r="C28" s="23">
        <f ca="1">IFERROR(__xludf.DUMMYFUNCTION("""COMPUTED_VALUE"""),45693)</f>
        <v>45693</v>
      </c>
      <c r="D28" s="4" t="str">
        <f ca="1">IFERROR(__xludf.DUMMYFUNCTION("""COMPUTED_VALUE"""),"Lucero Florida")</f>
        <v>Lucero Florida</v>
      </c>
      <c r="E28" s="4">
        <f ca="1">IFERROR(__xludf.DUMMYFUNCTION("""COMPUTED_VALUE"""),0)</f>
        <v>0</v>
      </c>
      <c r="F28" s="4"/>
      <c r="G28" s="4">
        <f ca="1">IFERROR(__xludf.DUMMYFUNCTION("""COMPUTED_VALUE"""),0)</f>
        <v>0</v>
      </c>
      <c r="H28" s="4" t="str">
        <f ca="1">IFERROR(__xludf.DUMMYFUNCTION("""COMPUTED_VALUE"""),"NO")</f>
        <v>NO</v>
      </c>
      <c r="I28" s="7">
        <f ca="1">IFERROR(__xludf.DUMMYFUNCTION("""COMPUTED_VALUE"""),0)</f>
        <v>0</v>
      </c>
      <c r="J28" s="7">
        <f ca="1">IFERROR(__xludf.DUMMYFUNCTION("""COMPUTED_VALUE"""),0)</f>
        <v>0</v>
      </c>
      <c r="K28" s="7">
        <f ca="1">IFERROR(__xludf.DUMMYFUNCTION("""COMPUTED_VALUE"""),1227)</f>
        <v>1227</v>
      </c>
      <c r="L28" s="7">
        <f ca="1">IFERROR(__xludf.DUMMYFUNCTION("""COMPUTED_VALUE"""),1227)</f>
        <v>1227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5" x14ac:dyDescent="0.25">
      <c r="A29" s="4">
        <f ca="1">IFERROR(__xludf.DUMMYFUNCTION("""COMPUTED_VALUE"""),205)</f>
        <v>205</v>
      </c>
      <c r="B29" s="4" t="str">
        <f ca="1">IFERROR(__xludf.DUMMYFUNCTION("""COMPUTED_VALUE"""),"Florencia Aguero")</f>
        <v>Florencia Aguero</v>
      </c>
      <c r="C29" s="23">
        <f ca="1">IFERROR(__xludf.DUMMYFUNCTION("""COMPUTED_VALUE"""),45713)</f>
        <v>45713</v>
      </c>
      <c r="D29" s="4" t="str">
        <f ca="1">IFERROR(__xludf.DUMMYFUNCTION("""COMPUTED_VALUE"""),"Lucero San Telmo 2")</f>
        <v>Lucero San Telmo 2</v>
      </c>
      <c r="E29" s="24">
        <f ca="1">IFERROR(__xludf.DUMMYFUNCTION("""COMPUTED_VALUE"""),128)</f>
        <v>128</v>
      </c>
      <c r="F29" s="24">
        <f ca="1">IFERROR(__xludf.DUMMYFUNCTION("""COMPUTED_VALUE"""),119)</f>
        <v>119</v>
      </c>
      <c r="G29" s="4">
        <f ca="1">IFERROR(__xludf.DUMMYFUNCTION("""COMPUTED_VALUE"""),9)</f>
        <v>9</v>
      </c>
      <c r="H29" s="4" t="str">
        <f ca="1">IFERROR(__xludf.DUMMYFUNCTION("""COMPUTED_VALUE"""),"NO")</f>
        <v>NO</v>
      </c>
      <c r="I29" s="7">
        <f ca="1">IFERROR(__xludf.DUMMYFUNCTION("""COMPUTED_VALUE"""),682276)</f>
        <v>682276</v>
      </c>
      <c r="J29" s="7">
        <f ca="1">IFERROR(__xludf.DUMMYFUNCTION("""COMPUTED_VALUE"""),860638.46)</f>
        <v>860638.46</v>
      </c>
      <c r="K29" s="7">
        <f ca="1">IFERROR(__xludf.DUMMYFUNCTION("""COMPUTED_VALUE"""),259418.537999999)</f>
        <v>259418.53799999901</v>
      </c>
      <c r="L29" s="7">
        <f ca="1">IFERROR(__xludf.DUMMYFUNCTION("""COMPUTED_VALUE"""),1120056.998)</f>
        <v>1120056.9979999999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5" x14ac:dyDescent="0.25">
      <c r="A30" s="4">
        <f ca="1">IFERROR(__xludf.DUMMYFUNCTION("""COMPUTED_VALUE"""),206)</f>
        <v>206</v>
      </c>
      <c r="B30" s="4" t="str">
        <f ca="1">IFERROR(__xludf.DUMMYFUNCTION("""COMPUTED_VALUE"""),"Morena Martinez")</f>
        <v>Morena Martinez</v>
      </c>
      <c r="C30" s="23">
        <f ca="1">IFERROR(__xludf.DUMMYFUNCTION("""COMPUTED_VALUE"""),45713)</f>
        <v>45713</v>
      </c>
      <c r="D30" s="4" t="str">
        <f ca="1">IFERROR(__xludf.DUMMYFUNCTION("""COMPUTED_VALUE"""),"Lucero San Telmo 1")</f>
        <v>Lucero San Telmo 1</v>
      </c>
      <c r="E30" s="24">
        <f ca="1">IFERROR(__xludf.DUMMYFUNCTION("""COMPUTED_VALUE"""),119)</f>
        <v>119</v>
      </c>
      <c r="F30" s="24">
        <f ca="1">IFERROR(__xludf.DUMMYFUNCTION("""COMPUTED_VALUE"""),111)</f>
        <v>111</v>
      </c>
      <c r="G30" s="4">
        <f ca="1">IFERROR(__xludf.DUMMYFUNCTION("""COMPUTED_VALUE"""),8)</f>
        <v>8</v>
      </c>
      <c r="H30" s="4" t="str">
        <f ca="1">IFERROR(__xludf.DUMMYFUNCTION("""COMPUTED_VALUE"""),"NO")</f>
        <v>NO</v>
      </c>
      <c r="I30" s="7">
        <f ca="1">IFERROR(__xludf.DUMMYFUNCTION("""COMPUTED_VALUE"""),633222)</f>
        <v>633222</v>
      </c>
      <c r="J30" s="7">
        <f ca="1">IFERROR(__xludf.DUMMYFUNCTION("""COMPUTED_VALUE"""),798639.95)</f>
        <v>798639.95</v>
      </c>
      <c r="K30" s="7">
        <f ca="1">IFERROR(__xludf.DUMMYFUNCTION("""COMPUTED_VALUE"""),240818.985)</f>
        <v>240818.98499999999</v>
      </c>
      <c r="L30" s="7">
        <f ca="1">IFERROR(__xludf.DUMMYFUNCTION("""COMPUTED_VALUE"""),1039458.93499999)</f>
        <v>1039458.93499999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5" x14ac:dyDescent="0.25">
      <c r="A31" s="4">
        <f ca="1">IFERROR(__xludf.DUMMYFUNCTION("""COMPUTED_VALUE"""),210)</f>
        <v>210</v>
      </c>
      <c r="B31" s="4" t="str">
        <f ca="1">IFERROR(__xludf.DUMMYFUNCTION("""COMPUTED_VALUE"""),"Dettoni Leguizamon Oriana")</f>
        <v>Dettoni Leguizamon Oriana</v>
      </c>
      <c r="C31" s="23">
        <f ca="1">IFERROR(__xludf.DUMMYFUNCTION("""COMPUTED_VALUE"""),45759)</f>
        <v>45759</v>
      </c>
      <c r="D31" s="4" t="str">
        <f ca="1">IFERROR(__xludf.DUMMYFUNCTION("""COMPUTED_VALUE"""),"Lucero Florida")</f>
        <v>Lucero Florida</v>
      </c>
      <c r="E31" s="4">
        <f ca="1">IFERROR(__xludf.DUMMYFUNCTION("""COMPUTED_VALUE"""),84)</f>
        <v>84</v>
      </c>
      <c r="F31" s="4">
        <f ca="1">IFERROR(__xludf.DUMMYFUNCTION("""COMPUTED_VALUE"""),79)</f>
        <v>79</v>
      </c>
      <c r="G31" s="4">
        <f ca="1">IFERROR(__xludf.DUMMYFUNCTION("""COMPUTED_VALUE"""),5)</f>
        <v>5</v>
      </c>
      <c r="H31" s="4" t="str">
        <f ca="1">IFERROR(__xludf.DUMMYFUNCTION("""COMPUTED_VALUE"""),"NO")</f>
        <v>NO</v>
      </c>
      <c r="I31" s="7">
        <f ca="1">IFERROR(__xludf.DUMMYFUNCTION("""COMPUTED_VALUE"""),445820)</f>
        <v>445820</v>
      </c>
      <c r="J31" s="7">
        <f ca="1">IFERROR(__xludf.DUMMYFUNCTION("""COMPUTED_VALUE"""),561874.75)</f>
        <v>561874.75</v>
      </c>
      <c r="K31" s="7">
        <f ca="1">IFERROR(__xludf.DUMMYFUNCTION("""COMPUTED_VALUE"""),169789.425)</f>
        <v>169789.42499999999</v>
      </c>
      <c r="L31" s="7">
        <f ca="1">IFERROR(__xludf.DUMMYFUNCTION("""COMPUTED_VALUE"""),731664.175)</f>
        <v>731664.17500000005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5" x14ac:dyDescent="0.25">
      <c r="A32" s="4" t="str">
        <f ca="1">IFERROR(__xludf.DUMMYFUNCTION("""COMPUTED_VALUE"""),"TOTAL")</f>
        <v>TOTAL</v>
      </c>
      <c r="B32" s="4"/>
      <c r="C32" s="4"/>
      <c r="D32" s="4"/>
      <c r="E32" s="4"/>
      <c r="F32" s="4"/>
      <c r="G32" s="4"/>
      <c r="H32" s="4"/>
      <c r="I32" s="7">
        <f ca="1">IFERROR(__xludf.DUMMYFUNCTION("""COMPUTED_VALUE"""),19757927)</f>
        <v>19757927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6" ht="12.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6" ht="13" x14ac:dyDescent="0.3">
      <c r="A34" s="26" t="str">
        <f ca="1">IFERROR(__xludf.DUMMYFUNCTION("""COMPUTED_VALUE"""),"VENDEDOR B - tarifa standard")</f>
        <v>VENDEDOR B - tarifa standard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26" x14ac:dyDescent="0.3">
      <c r="A35" s="9"/>
      <c r="B35" s="9"/>
      <c r="C35" s="27" t="str">
        <f ca="1">IFERROR(__xludf.DUMMYFUNCTION("""COMPUTED_VALUE"""),"Vendedor B - S Neto")</f>
        <v>Vendedor B - S Neto</v>
      </c>
      <c r="D35" s="27" t="str">
        <f ca="1">IFERROR(__xludf.DUMMYFUNCTION("""COMPUTED_VALUE"""),"Vendedor B - S Bruto")</f>
        <v>Vendedor B - S Bruto</v>
      </c>
      <c r="E35" s="27" t="str">
        <f ca="1">IFERROR(__xludf.DUMMYFUNCTION("""COMPUTED_VALUE"""),"Contribuciones + ART ")</f>
        <v xml:space="preserve">Contribuciones + ART </v>
      </c>
      <c r="F35" s="28" t="str">
        <f ca="1">IFERROR(__xludf.DUMMYFUNCTION("""COMPUTED_VALUE"""),"COSTO TOTAL")</f>
        <v>COSTO TOTAL</v>
      </c>
      <c r="G35" s="27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3" x14ac:dyDescent="0.3">
      <c r="A36" s="9">
        <f ca="1">IFERROR(__xludf.DUMMYFUNCTION("""COMPUTED_VALUE"""),500)</f>
        <v>500</v>
      </c>
      <c r="B36" s="26" t="str">
        <f ca="1">IFERROR(__xludf.DUMMYFUNCTION("""COMPUTED_VALUE"""),"VENDEDORA B 88 HS")</f>
        <v>VENDEDORA B 88 HS</v>
      </c>
      <c r="C36" s="29">
        <f ca="1">IFERROR(__xludf.DUMMYFUNCTION("""COMPUTED_VALUE"""),449185)</f>
        <v>449185</v>
      </c>
      <c r="D36" s="11">
        <f ca="1">IFERROR(__xludf.DUMMYFUNCTION("""COMPUTED_VALUE"""),563819.849332)</f>
        <v>563819.84933200001</v>
      </c>
      <c r="E36" s="11">
        <f ca="1">IFERROR(__xludf.DUMMYFUNCTION("""COMPUTED_VALUE"""),169222.19)</f>
        <v>169222.19</v>
      </c>
      <c r="F36" s="11">
        <f ca="1">IFERROR(__xludf.DUMMYFUNCTION("""COMPUTED_VALUE"""),733042.039332)</f>
        <v>733042.03933199996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3" x14ac:dyDescent="0.3">
      <c r="A37" s="9">
        <f ca="1">IFERROR(__xludf.DUMMYFUNCTION("""COMPUTED_VALUE"""),501)</f>
        <v>501</v>
      </c>
      <c r="B37" s="26" t="str">
        <f ca="1">IFERROR(__xludf.DUMMYFUNCTION("""COMPUTED_VALUE"""),"VENDEDORA B 132 HS")</f>
        <v>VENDEDORA B 132 HS</v>
      </c>
      <c r="C37" s="29">
        <f ca="1">IFERROR(__xludf.DUMMYFUNCTION("""COMPUTED_VALUE"""),671588)</f>
        <v>671588</v>
      </c>
      <c r="D37" s="11">
        <f ca="1">IFERROR(__xludf.DUMMYFUNCTION("""COMPUTED_VALUE"""),843540.273998)</f>
        <v>843540.27399799996</v>
      </c>
      <c r="E37" s="11">
        <f ca="1">IFERROR(__xludf.DUMMYFUNCTION("""COMPUTED_VALUE"""),252400.912)</f>
        <v>252400.91200000001</v>
      </c>
      <c r="F37" s="11">
        <f ca="1">IFERROR(__xludf.DUMMYFUNCTION("""COMPUTED_VALUE"""),1095941.185998)</f>
        <v>1095941.185998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2.5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2.5" x14ac:dyDescent="0.25">
      <c r="A39" s="9"/>
      <c r="B39" s="9" t="str">
        <f ca="1">IFERROR(__xludf.DUMMYFUNCTION("""COMPUTED_VALUE"""),"Dif plus vacacional 88hs")</f>
        <v>Dif plus vacacional 88hs</v>
      </c>
      <c r="C39" s="29">
        <f ca="1">IFERROR(__xludf.DUMMYFUNCTION("""COMPUTED_VALUE"""),41923.9333333333)</f>
        <v>41923.933333333298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2.5" x14ac:dyDescent="0.25">
      <c r="A40" s="9"/>
      <c r="B40" s="9" t="str">
        <f ca="1">IFERROR(__xludf.DUMMYFUNCTION("""COMPUTED_VALUE"""),"Dif plus vacacional 132 Hs")</f>
        <v>Dif plus vacacional 132 Hs</v>
      </c>
      <c r="C40" s="29">
        <f ca="1">IFERROR(__xludf.DUMMYFUNCTION("""COMPUTED_VALUE"""),62681.5466666666)</f>
        <v>62681.546666666603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2.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6" ht="12.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6" ht="12.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6" ht="12.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6" ht="12.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6" ht="12.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6" ht="12.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6" ht="12.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5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5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5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5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5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5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5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5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5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5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5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5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5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5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5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5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5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5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5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5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5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5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5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5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5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5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5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5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5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5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5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5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5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5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5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5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5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5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5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5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5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5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5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5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5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5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5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5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5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5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Sueldos 03-2025</vt:lpstr>
      <vt:lpstr>Gastos 03-2025</vt:lpstr>
      <vt:lpstr>Sueldos 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2025-05-12T18:55:30Z</dcterms:modified>
</cp:coreProperties>
</file>