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Paritarias\"/>
    </mc:Choice>
  </mc:AlternateContent>
  <bookViews>
    <workbookView xWindow="0" yWindow="0" windowWidth="19200" windowHeight="6310"/>
  </bookViews>
  <sheets>
    <sheet name="Julio 2026" sheetId="16" r:id="rId1"/>
    <sheet name="Junio 2026" sheetId="15" r:id="rId2"/>
    <sheet name="Mayo 2026" sheetId="14" r:id="rId3"/>
    <sheet name="Abril 2026" sheetId="13" r:id="rId4"/>
    <sheet name="Marzo 2026" sheetId="17" r:id="rId5"/>
    <sheet name="Diciembre 2025" sheetId="11" r:id="rId6"/>
    <sheet name="Noviembre 2025" sheetId="10" r:id="rId7"/>
    <sheet name="Octubre 2025" sheetId="9" r:id="rId8"/>
    <sheet name="Septiembre 2025" sheetId="8" r:id="rId9"/>
    <sheet name="Julio 2025" sheetId="6" r:id="rId10"/>
    <sheet name="Enero 2025" sheetId="5" r:id="rId11"/>
    <sheet name="Julio 2024" sheetId="1" r:id="rId12"/>
    <sheet name="AUX" sheetId="7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6" l="1"/>
  <c r="I10" i="16" s="1"/>
  <c r="B11" i="15"/>
  <c r="I11" i="15" s="1"/>
  <c r="B10" i="15"/>
  <c r="I10" i="15" s="1"/>
  <c r="J11" i="14"/>
  <c r="I11" i="14"/>
  <c r="B11" i="14"/>
  <c r="E11" i="14" s="1"/>
  <c r="J10" i="14"/>
  <c r="I10" i="14"/>
  <c r="E10" i="14"/>
  <c r="D10" i="14"/>
  <c r="C10" i="14"/>
  <c r="B10" i="14"/>
  <c r="J11" i="13"/>
  <c r="I11" i="13"/>
  <c r="E11" i="13"/>
  <c r="D11" i="13"/>
  <c r="C11" i="13"/>
  <c r="B11" i="13"/>
  <c r="J10" i="13"/>
  <c r="I10" i="13"/>
  <c r="E10" i="13"/>
  <c r="D10" i="13"/>
  <c r="C10" i="13"/>
  <c r="B10" i="13"/>
  <c r="J10" i="17"/>
  <c r="I10" i="17"/>
  <c r="E10" i="17"/>
  <c r="D10" i="17"/>
  <c r="C10" i="17"/>
  <c r="B10" i="17"/>
  <c r="C10" i="11"/>
  <c r="B11" i="11"/>
  <c r="B10" i="11"/>
  <c r="C10" i="16" l="1"/>
  <c r="J10" i="16" s="1"/>
  <c r="D10" i="16"/>
  <c r="E10" i="16"/>
  <c r="C11" i="15"/>
  <c r="J11" i="15" s="1"/>
  <c r="D11" i="15"/>
  <c r="C10" i="15"/>
  <c r="J10" i="15" s="1"/>
  <c r="E11" i="15"/>
  <c r="D10" i="15"/>
  <c r="E10" i="15"/>
  <c r="C11" i="14"/>
  <c r="D11" i="14"/>
  <c r="D15" i="17"/>
  <c r="I9" i="17"/>
  <c r="I8" i="17"/>
  <c r="I7" i="17"/>
  <c r="F27" i="17"/>
  <c r="E15" i="17" s="1"/>
  <c r="B17" i="17"/>
  <c r="B13" i="17" s="1"/>
  <c r="C15" i="17"/>
  <c r="E14" i="17"/>
  <c r="D14" i="17"/>
  <c r="I13" i="17"/>
  <c r="J9" i="17"/>
  <c r="E9" i="17"/>
  <c r="D9" i="17"/>
  <c r="C9" i="17"/>
  <c r="J8" i="17"/>
  <c r="J13" i="17" s="1"/>
  <c r="C8" i="17"/>
  <c r="D8" i="17" s="1"/>
  <c r="J7" i="17"/>
  <c r="I11" i="17" s="1"/>
  <c r="C7" i="17"/>
  <c r="D7" i="17" s="1"/>
  <c r="B11" i="17" l="1"/>
  <c r="C17" i="17"/>
  <c r="D16" i="17"/>
  <c r="I12" i="17"/>
  <c r="J12" i="17"/>
  <c r="J15" i="17" s="1"/>
  <c r="D17" i="17"/>
  <c r="D13" i="17" s="1"/>
  <c r="C13" i="17"/>
  <c r="E7" i="17"/>
  <c r="E8" i="17"/>
  <c r="I9" i="16"/>
  <c r="I8" i="16"/>
  <c r="J8" i="16" s="1"/>
  <c r="J13" i="16" s="1"/>
  <c r="F27" i="16"/>
  <c r="B17" i="16"/>
  <c r="E15" i="16"/>
  <c r="D15" i="16"/>
  <c r="C15" i="16"/>
  <c r="D14" i="16"/>
  <c r="E14" i="16" s="1"/>
  <c r="I13" i="16"/>
  <c r="B13" i="16"/>
  <c r="J9" i="16"/>
  <c r="E9" i="16"/>
  <c r="D9" i="16"/>
  <c r="C9" i="16"/>
  <c r="C8" i="16"/>
  <c r="D8" i="16" s="1"/>
  <c r="I7" i="16"/>
  <c r="D7" i="16"/>
  <c r="C7" i="16"/>
  <c r="I7" i="14"/>
  <c r="I7" i="15"/>
  <c r="F27" i="15"/>
  <c r="B17" i="15"/>
  <c r="E15" i="15"/>
  <c r="D15" i="15"/>
  <c r="C15" i="15"/>
  <c r="D14" i="15"/>
  <c r="E14" i="15" s="1"/>
  <c r="I13" i="15"/>
  <c r="B13" i="15"/>
  <c r="J9" i="15"/>
  <c r="E9" i="15"/>
  <c r="D9" i="15"/>
  <c r="C9" i="15"/>
  <c r="J8" i="15"/>
  <c r="J13" i="15" s="1"/>
  <c r="C8" i="15"/>
  <c r="D8" i="15" s="1"/>
  <c r="J7" i="15"/>
  <c r="C7" i="15"/>
  <c r="I12" i="14"/>
  <c r="F27" i="14"/>
  <c r="E15" i="14" s="1"/>
  <c r="B17" i="14"/>
  <c r="D15" i="14"/>
  <c r="C15" i="14"/>
  <c r="D14" i="14"/>
  <c r="E14" i="14" s="1"/>
  <c r="I13" i="14"/>
  <c r="B13" i="14"/>
  <c r="J9" i="14"/>
  <c r="E9" i="14"/>
  <c r="D9" i="14"/>
  <c r="C9" i="14"/>
  <c r="J8" i="14"/>
  <c r="J13" i="14" s="1"/>
  <c r="C8" i="14"/>
  <c r="D8" i="14" s="1"/>
  <c r="J7" i="14"/>
  <c r="C7" i="14"/>
  <c r="J8" i="13"/>
  <c r="D12" i="17" l="1"/>
  <c r="D18" i="17" s="1"/>
  <c r="D19" i="17" s="1"/>
  <c r="D20" i="17" s="1"/>
  <c r="J16" i="17"/>
  <c r="J17" i="17" s="1"/>
  <c r="E16" i="17"/>
  <c r="E17" i="17"/>
  <c r="E13" i="17"/>
  <c r="D17" i="16"/>
  <c r="D13" i="16"/>
  <c r="E8" i="16"/>
  <c r="J7" i="16"/>
  <c r="B11" i="16"/>
  <c r="C17" i="16"/>
  <c r="C13" i="16" s="1"/>
  <c r="E7" i="16"/>
  <c r="D17" i="15"/>
  <c r="D13" i="15"/>
  <c r="E8" i="15"/>
  <c r="C13" i="15"/>
  <c r="C17" i="15"/>
  <c r="D7" i="15"/>
  <c r="I12" i="15"/>
  <c r="D17" i="14"/>
  <c r="D13" i="14"/>
  <c r="E8" i="14"/>
  <c r="B16" i="14"/>
  <c r="B12" i="14" s="1"/>
  <c r="C13" i="14"/>
  <c r="C16" i="14"/>
  <c r="C12" i="14" s="1"/>
  <c r="C18" i="14" s="1"/>
  <c r="C17" i="14"/>
  <c r="D7" i="14"/>
  <c r="J12" i="14"/>
  <c r="J15" i="14" s="1"/>
  <c r="E12" i="17" l="1"/>
  <c r="E18" i="17" s="1"/>
  <c r="E19" i="17" s="1"/>
  <c r="E20" i="17" s="1"/>
  <c r="C16" i="16"/>
  <c r="D16" i="16"/>
  <c r="D12" i="16" s="1"/>
  <c r="D18" i="16" s="1"/>
  <c r="D19" i="16" s="1"/>
  <c r="D20" i="16" s="1"/>
  <c r="E17" i="16"/>
  <c r="E13" i="16" s="1"/>
  <c r="B16" i="16"/>
  <c r="B12" i="16" s="1"/>
  <c r="C12" i="16"/>
  <c r="C18" i="16" s="1"/>
  <c r="I12" i="16"/>
  <c r="I11" i="16"/>
  <c r="J12" i="15"/>
  <c r="D16" i="15"/>
  <c r="E7" i="15"/>
  <c r="E17" i="15"/>
  <c r="E13" i="15" s="1"/>
  <c r="B16" i="15"/>
  <c r="B12" i="15" s="1"/>
  <c r="C16" i="15"/>
  <c r="C12" i="15" s="1"/>
  <c r="C18" i="15" s="1"/>
  <c r="J15" i="15"/>
  <c r="C19" i="14"/>
  <c r="C20" i="14" s="1"/>
  <c r="J16" i="14"/>
  <c r="J17" i="14" s="1"/>
  <c r="D16" i="14"/>
  <c r="D12" i="14" s="1"/>
  <c r="D18" i="14" s="1"/>
  <c r="E7" i="14"/>
  <c r="E17" i="14"/>
  <c r="E13" i="14" s="1"/>
  <c r="E16" i="16" l="1"/>
  <c r="E12" i="16" s="1"/>
  <c r="E18" i="16" s="1"/>
  <c r="C19" i="16"/>
  <c r="C20" i="16"/>
  <c r="J12" i="16"/>
  <c r="J15" i="16"/>
  <c r="D12" i="15"/>
  <c r="D18" i="15" s="1"/>
  <c r="C19" i="15"/>
  <c r="C20" i="15"/>
  <c r="E16" i="15"/>
  <c r="J16" i="15"/>
  <c r="J17" i="15" s="1"/>
  <c r="D19" i="14"/>
  <c r="D20" i="14"/>
  <c r="E16" i="14"/>
  <c r="E12" i="14"/>
  <c r="E18" i="14" s="1"/>
  <c r="E19" i="16" l="1"/>
  <c r="E20" i="16" s="1"/>
  <c r="J16" i="16"/>
  <c r="J17" i="16" s="1"/>
  <c r="D19" i="15"/>
  <c r="D20" i="15" s="1"/>
  <c r="E12" i="15"/>
  <c r="E18" i="15"/>
  <c r="E19" i="14"/>
  <c r="E20" i="14" s="1"/>
  <c r="E19" i="15" l="1"/>
  <c r="E20" i="15"/>
  <c r="E13" i="13"/>
  <c r="D13" i="13"/>
  <c r="C13" i="13"/>
  <c r="C16" i="11"/>
  <c r="E16" i="11"/>
  <c r="D16" i="11"/>
  <c r="C8" i="13" l="1"/>
  <c r="D8" i="13" s="1"/>
  <c r="E8" i="13" s="1"/>
  <c r="F27" i="13"/>
  <c r="E15" i="13" s="1"/>
  <c r="B17" i="13"/>
  <c r="B13" i="13" s="1"/>
  <c r="D15" i="13"/>
  <c r="C15" i="13"/>
  <c r="D14" i="13"/>
  <c r="E14" i="13" s="1"/>
  <c r="I13" i="13"/>
  <c r="J9" i="13"/>
  <c r="J13" i="13" s="1"/>
  <c r="E9" i="13"/>
  <c r="D9" i="13"/>
  <c r="C9" i="13"/>
  <c r="I12" i="13"/>
  <c r="C7" i="13"/>
  <c r="D17" i="13" l="1"/>
  <c r="E17" i="13"/>
  <c r="C17" i="13"/>
  <c r="B16" i="13"/>
  <c r="B12" i="13" s="1"/>
  <c r="J7" i="13"/>
  <c r="C16" i="13"/>
  <c r="C12" i="13" s="1"/>
  <c r="D7" i="13"/>
  <c r="I11" i="11"/>
  <c r="F27" i="11"/>
  <c r="E15" i="11" s="1"/>
  <c r="D17" i="11"/>
  <c r="B17" i="11"/>
  <c r="D15" i="11"/>
  <c r="C15" i="11"/>
  <c r="D14" i="11"/>
  <c r="E14" i="11" s="1"/>
  <c r="I13" i="11"/>
  <c r="B13" i="11"/>
  <c r="I10" i="11"/>
  <c r="B16" i="11"/>
  <c r="J9" i="11"/>
  <c r="J13" i="11" s="1"/>
  <c r="E9" i="11"/>
  <c r="E17" i="11" s="1"/>
  <c r="E13" i="11" s="1"/>
  <c r="D9" i="11"/>
  <c r="D13" i="11" s="1"/>
  <c r="C9" i="11"/>
  <c r="C17" i="11" s="1"/>
  <c r="C13" i="11" s="1"/>
  <c r="I7" i="11"/>
  <c r="J7" i="11" s="1"/>
  <c r="C7" i="11"/>
  <c r="F26" i="10"/>
  <c r="E16" i="10"/>
  <c r="D16" i="10"/>
  <c r="C16" i="10"/>
  <c r="B16" i="10"/>
  <c r="E14" i="10"/>
  <c r="D14" i="10"/>
  <c r="C14" i="10"/>
  <c r="C15" i="10" s="1"/>
  <c r="D13" i="10"/>
  <c r="E13" i="10" s="1"/>
  <c r="J12" i="10"/>
  <c r="I12" i="10"/>
  <c r="E12" i="10"/>
  <c r="D12" i="10"/>
  <c r="C12" i="10"/>
  <c r="B12" i="10"/>
  <c r="I10" i="10"/>
  <c r="B10" i="10"/>
  <c r="B15" i="10" s="1"/>
  <c r="J9" i="10"/>
  <c r="E9" i="10"/>
  <c r="D9" i="10"/>
  <c r="C9" i="10"/>
  <c r="I7" i="10"/>
  <c r="D7" i="10"/>
  <c r="C7" i="10"/>
  <c r="I7" i="9"/>
  <c r="J7" i="9" s="1"/>
  <c r="F26" i="9"/>
  <c r="E14" i="9" s="1"/>
  <c r="D16" i="9"/>
  <c r="B16" i="9"/>
  <c r="B12" i="9" s="1"/>
  <c r="D14" i="9"/>
  <c r="C14" i="9"/>
  <c r="D13" i="9"/>
  <c r="E13" i="9" s="1"/>
  <c r="I12" i="9"/>
  <c r="I11" i="9"/>
  <c r="I10" i="9"/>
  <c r="B10" i="9"/>
  <c r="B15" i="9" s="1"/>
  <c r="J9" i="9"/>
  <c r="J12" i="9" s="1"/>
  <c r="E9" i="9"/>
  <c r="E16" i="9" s="1"/>
  <c r="D9" i="9"/>
  <c r="D12" i="9" s="1"/>
  <c r="C9" i="9"/>
  <c r="C16" i="9" s="1"/>
  <c r="C12" i="9" s="1"/>
  <c r="D7" i="9"/>
  <c r="C7" i="9"/>
  <c r="C15" i="9" s="1"/>
  <c r="C11" i="9" s="1"/>
  <c r="I11" i="10" l="1"/>
  <c r="C18" i="13"/>
  <c r="C19" i="13" s="1"/>
  <c r="C20" i="13" s="1"/>
  <c r="E7" i="13"/>
  <c r="D16" i="13"/>
  <c r="J12" i="13"/>
  <c r="J15" i="13" s="1"/>
  <c r="J12" i="11"/>
  <c r="J15" i="11" s="1"/>
  <c r="J16" i="11" s="1"/>
  <c r="J17" i="11" s="1"/>
  <c r="I12" i="11"/>
  <c r="B12" i="11"/>
  <c r="D7" i="11"/>
  <c r="C12" i="11"/>
  <c r="C18" i="11" s="1"/>
  <c r="E7" i="10"/>
  <c r="J7" i="10"/>
  <c r="B11" i="10"/>
  <c r="C11" i="10"/>
  <c r="C17" i="10" s="1"/>
  <c r="D15" i="10"/>
  <c r="D11" i="10" s="1"/>
  <c r="D17" i="10" s="1"/>
  <c r="J11" i="9"/>
  <c r="J14" i="9" s="1"/>
  <c r="D11" i="9"/>
  <c r="D15" i="9"/>
  <c r="C17" i="9"/>
  <c r="D17" i="9"/>
  <c r="E7" i="9"/>
  <c r="B11" i="9"/>
  <c r="E12" i="9"/>
  <c r="E18" i="8"/>
  <c r="D18" i="8"/>
  <c r="C18" i="8"/>
  <c r="I10" i="6"/>
  <c r="B10" i="6"/>
  <c r="D12" i="13" l="1"/>
  <c r="D18" i="13" s="1"/>
  <c r="D19" i="13" s="1"/>
  <c r="D20" i="13" s="1"/>
  <c r="J16" i="13"/>
  <c r="J17" i="13" s="1"/>
  <c r="E16" i="13"/>
  <c r="C19" i="11"/>
  <c r="C20" i="11" s="1"/>
  <c r="D12" i="11"/>
  <c r="D18" i="11" s="1"/>
  <c r="E7" i="11"/>
  <c r="C18" i="10"/>
  <c r="C19" i="10" s="1"/>
  <c r="D18" i="10"/>
  <c r="D19" i="10" s="1"/>
  <c r="J11" i="10"/>
  <c r="J14" i="10"/>
  <c r="E15" i="10"/>
  <c r="E11" i="10" s="1"/>
  <c r="E17" i="10" s="1"/>
  <c r="J15" i="9"/>
  <c r="J16" i="9" s="1"/>
  <c r="E15" i="9"/>
  <c r="E11" i="9" s="1"/>
  <c r="E17" i="9" s="1"/>
  <c r="D18" i="9"/>
  <c r="D19" i="9" s="1"/>
  <c r="C19" i="9"/>
  <c r="C18" i="9"/>
  <c r="F26" i="8"/>
  <c r="E14" i="8" s="1"/>
  <c r="B15" i="8"/>
  <c r="B11" i="8" s="1"/>
  <c r="D14" i="8"/>
  <c r="C14" i="8"/>
  <c r="E13" i="8"/>
  <c r="D13" i="8"/>
  <c r="I11" i="8"/>
  <c r="J9" i="8"/>
  <c r="E9" i="8"/>
  <c r="D9" i="8"/>
  <c r="C9" i="8"/>
  <c r="J12" i="8"/>
  <c r="B16" i="8"/>
  <c r="J7" i="8"/>
  <c r="C7" i="8"/>
  <c r="E12" i="13" l="1"/>
  <c r="E18" i="13" s="1"/>
  <c r="E19" i="13" s="1"/>
  <c r="E20" i="13" s="1"/>
  <c r="D19" i="11"/>
  <c r="D20" i="11" s="1"/>
  <c r="E12" i="11"/>
  <c r="E18" i="11" s="1"/>
  <c r="E18" i="10"/>
  <c r="E19" i="10" s="1"/>
  <c r="J15" i="10"/>
  <c r="J16" i="10"/>
  <c r="E18" i="9"/>
  <c r="E19" i="9" s="1"/>
  <c r="B12" i="8"/>
  <c r="I12" i="8"/>
  <c r="D7" i="8"/>
  <c r="C15" i="8"/>
  <c r="C11" i="8" s="1"/>
  <c r="J11" i="8"/>
  <c r="J14" i="8" s="1"/>
  <c r="J15" i="8" s="1"/>
  <c r="B15" i="6"/>
  <c r="B11" i="6" s="1"/>
  <c r="E14" i="5"/>
  <c r="D14" i="5"/>
  <c r="C14" i="5"/>
  <c r="B14" i="5"/>
  <c r="B14" i="1"/>
  <c r="E14" i="1"/>
  <c r="D14" i="1"/>
  <c r="C14" i="1"/>
  <c r="E10" i="5"/>
  <c r="D10" i="5"/>
  <c r="C10" i="5"/>
  <c r="B10" i="5"/>
  <c r="I10" i="1"/>
  <c r="J10" i="1"/>
  <c r="E10" i="1"/>
  <c r="D10" i="1"/>
  <c r="C10" i="1"/>
  <c r="B10" i="1"/>
  <c r="I11" i="6"/>
  <c r="E11" i="5"/>
  <c r="D11" i="5"/>
  <c r="C11" i="5"/>
  <c r="B11" i="5"/>
  <c r="E11" i="1"/>
  <c r="D11" i="1"/>
  <c r="C11" i="1"/>
  <c r="B11" i="1"/>
  <c r="I10" i="5"/>
  <c r="B15" i="5"/>
  <c r="C8" i="1"/>
  <c r="E19" i="11" l="1"/>
  <c r="E20" i="11" s="1"/>
  <c r="J16" i="8"/>
  <c r="C16" i="8"/>
  <c r="C12" i="8" s="1"/>
  <c r="C17" i="8" s="1"/>
  <c r="D15" i="8"/>
  <c r="D11" i="8" s="1"/>
  <c r="E7" i="8"/>
  <c r="B15" i="1"/>
  <c r="J12" i="6"/>
  <c r="I12" i="6"/>
  <c r="J9" i="6"/>
  <c r="E9" i="6"/>
  <c r="D9" i="6"/>
  <c r="C9" i="6"/>
  <c r="F26" i="6"/>
  <c r="E14" i="6" s="1"/>
  <c r="D14" i="6"/>
  <c r="C14" i="6"/>
  <c r="D13" i="6"/>
  <c r="E13" i="6" s="1"/>
  <c r="J7" i="6"/>
  <c r="J11" i="6" s="1"/>
  <c r="C7" i="6"/>
  <c r="I8" i="1"/>
  <c r="I11" i="1" s="1"/>
  <c r="J11" i="1" s="1"/>
  <c r="I8" i="5"/>
  <c r="I11" i="5" s="1"/>
  <c r="B8" i="1"/>
  <c r="J7" i="1"/>
  <c r="B8" i="5"/>
  <c r="J8" i="5"/>
  <c r="J11" i="5" s="1"/>
  <c r="J7" i="5"/>
  <c r="J10" i="5" s="1"/>
  <c r="C15" i="6" l="1"/>
  <c r="C11" i="6"/>
  <c r="B16" i="6"/>
  <c r="B12" i="6" s="1"/>
  <c r="C19" i="8"/>
  <c r="E15" i="8"/>
  <c r="E11" i="8" s="1"/>
  <c r="D16" i="8"/>
  <c r="D12" i="8" s="1"/>
  <c r="D17" i="8" s="1"/>
  <c r="D7" i="6"/>
  <c r="E7" i="6" s="1"/>
  <c r="J8" i="1"/>
  <c r="D13" i="5"/>
  <c r="C13" i="5"/>
  <c r="D12" i="5"/>
  <c r="E12" i="5" s="1"/>
  <c r="C8" i="5"/>
  <c r="C7" i="5"/>
  <c r="F25" i="5"/>
  <c r="E13" i="5" s="1"/>
  <c r="D13" i="1"/>
  <c r="C13" i="1"/>
  <c r="C7" i="1"/>
  <c r="F25" i="1"/>
  <c r="E13" i="1" s="1"/>
  <c r="E15" i="6" l="1"/>
  <c r="E11" i="6" s="1"/>
  <c r="D15" i="6"/>
  <c r="D11" i="6" s="1"/>
  <c r="C16" i="6"/>
  <c r="C12" i="6" s="1"/>
  <c r="C17" i="6" s="1"/>
  <c r="D19" i="8"/>
  <c r="E16" i="8"/>
  <c r="E12" i="8" s="1"/>
  <c r="E17" i="8" s="1"/>
  <c r="D16" i="6"/>
  <c r="D12" i="6" s="1"/>
  <c r="D8" i="5"/>
  <c r="C15" i="5"/>
  <c r="D7" i="5"/>
  <c r="D7" i="1"/>
  <c r="D8" i="1"/>
  <c r="C15" i="1"/>
  <c r="E7" i="1"/>
  <c r="C18" i="6" l="1"/>
  <c r="C19" i="6" s="1"/>
  <c r="D17" i="6"/>
  <c r="E19" i="8"/>
  <c r="E16" i="6"/>
  <c r="E12" i="6" s="1"/>
  <c r="E7" i="5"/>
  <c r="C16" i="5"/>
  <c r="E8" i="5"/>
  <c r="D15" i="5"/>
  <c r="E8" i="1"/>
  <c r="D15" i="1"/>
  <c r="D18" i="6" l="1"/>
  <c r="D19" i="6" s="1"/>
  <c r="C17" i="5"/>
  <c r="C18" i="5"/>
  <c r="E15" i="1"/>
  <c r="E17" i="6"/>
  <c r="E18" i="6" s="1"/>
  <c r="D16" i="5"/>
  <c r="E15" i="5"/>
  <c r="E19" i="6" l="1"/>
  <c r="D17" i="5"/>
  <c r="D18" i="5"/>
  <c r="E16" i="5"/>
  <c r="C16" i="1"/>
  <c r="E17" i="5" l="1"/>
  <c r="E18" i="5"/>
  <c r="C17" i="1"/>
  <c r="C18" i="1" s="1"/>
  <c r="E16" i="1" l="1"/>
  <c r="D16" i="1"/>
  <c r="D17" i="1" l="1"/>
  <c r="D18" i="1" s="1"/>
  <c r="E17" i="1"/>
  <c r="E18" i="1" s="1"/>
  <c r="J13" i="5" l="1"/>
  <c r="J14" i="5" s="1"/>
  <c r="J15" i="5" l="1"/>
  <c r="J14" i="6"/>
  <c r="J15" i="6" s="1"/>
  <c r="J16" i="6" l="1"/>
  <c r="J13" i="1"/>
  <c r="J14" i="1" s="1"/>
  <c r="J15" i="1" l="1"/>
  <c r="C16" i="17" l="1"/>
  <c r="C12" i="17" s="1"/>
  <c r="C18" i="17" s="1"/>
  <c r="B16" i="17"/>
  <c r="B12" i="17" s="1"/>
  <c r="C19" i="17" l="1"/>
  <c r="C20" i="17" s="1"/>
</calcChain>
</file>

<file path=xl/sharedStrings.xml><?xml version="1.0" encoding="utf-8"?>
<sst xmlns="http://schemas.openxmlformats.org/spreadsheetml/2006/main" count="546" uniqueCount="54">
  <si>
    <t>horas</t>
  </si>
  <si>
    <t>básico</t>
  </si>
  <si>
    <t>Full time</t>
  </si>
  <si>
    <t>presentismo (8,33% sobre remunerativo)</t>
  </si>
  <si>
    <t>presentismo (8,33% sobre NO remunerativo)</t>
  </si>
  <si>
    <t>Según tabla sueldos</t>
  </si>
  <si>
    <t>adicional cajeros</t>
  </si>
  <si>
    <t>Part time</t>
  </si>
  <si>
    <t>premio por gestión</t>
  </si>
  <si>
    <t>premio mínimo</t>
  </si>
  <si>
    <t>premio máximo</t>
  </si>
  <si>
    <t>Lucero c/premio mínimo</t>
  </si>
  <si>
    <t>Lucero c/premio máximo</t>
  </si>
  <si>
    <t>ENERO 2025</t>
  </si>
  <si>
    <t>Ítems</t>
  </si>
  <si>
    <t>premio promedio</t>
  </si>
  <si>
    <t>Lucero c/premio promedio</t>
  </si>
  <si>
    <t>JULIO 2025</t>
  </si>
  <si>
    <t>SIN ANTIGÜEDAD</t>
  </si>
  <si>
    <t>Lucero</t>
  </si>
  <si>
    <t>CON 1 AÑO DE ANTIGÜEDAD</t>
  </si>
  <si>
    <t>aumento no remunerativo sobre 4, 6, 10 y 11/24 y 1/25</t>
  </si>
  <si>
    <t>TOTAL BRUTO</t>
  </si>
  <si>
    <t>CONTRIBUCIONES</t>
  </si>
  <si>
    <t>VALOR HORA</t>
  </si>
  <si>
    <t>JULIO 2024</t>
  </si>
  <si>
    <t>aumento no remunerativo</t>
  </si>
  <si>
    <t>antigüedad 1% sobre no remunerativo</t>
  </si>
  <si>
    <t>antigüedad 1% sobre remunerativo</t>
  </si>
  <si>
    <t>aumento no remunerativo sobre 1, 2, 4 6/24</t>
  </si>
  <si>
    <t>premio intermedio</t>
  </si>
  <si>
    <t>suma fija</t>
  </si>
  <si>
    <t>Aumentos de julio a diciembre 2025: 1% mensual + $40000 de suma fija (176 horas)</t>
  </si>
  <si>
    <t>feriado trabajado</t>
  </si>
  <si>
    <t>feriado no trabajdo</t>
  </si>
  <si>
    <t>Con premio y % antigüedad</t>
  </si>
  <si>
    <t>Sin premio ni % antigüedad</t>
  </si>
  <si>
    <t>(básico+antigüedad+presentismo)/25</t>
  </si>
  <si>
    <t>(básico+antigüedad+presentismo)/25 - (básico+antigüedad+presentismo)/30</t>
  </si>
  <si>
    <t>aumento no remunerativo*0,01*años de antigüedad</t>
  </si>
  <si>
    <t>(básico+feriado+premio+antigüedad remunerativa)*0,0833</t>
  </si>
  <si>
    <t>(básico+feriado+premio)*0,01*años de antigüedad</t>
  </si>
  <si>
    <t>SEPTIEMBRE 2025</t>
  </si>
  <si>
    <t>OCTUBRE 2025</t>
  </si>
  <si>
    <t>NOVIEMBRE 2025</t>
  </si>
  <si>
    <t>DICIEMBRE 2025</t>
  </si>
  <si>
    <t>feriado no trabajado (part time)</t>
  </si>
  <si>
    <t>feriado trabajado (part time)</t>
  </si>
  <si>
    <t>ABRIL 2026</t>
  </si>
  <si>
    <t>MAYO 2026</t>
  </si>
  <si>
    <t>(aumentos no remunerativos+antigüedad no remunerativa)*0,0833</t>
  </si>
  <si>
    <t>JUNIO 2026</t>
  </si>
  <si>
    <t>JULIO 2026</t>
  </si>
  <si>
    <t>MARZO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</si>
</sst>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164" formatCode="0.0"/>
    <numFmt numFmtId="165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2" fillId="0" borderId="0" xfId="0" applyNumberFormat="1" applyFont="1"/>
    <xf numFmtId="0" fontId="1" fillId="0" borderId="0" xfId="0" applyFont="1"/>
    <xf numFmtId="0" fontId="0" fillId="0" borderId="0" xfId="0" applyBorder="1"/>
    <xf numFmtId="0" fontId="0" fillId="0" borderId="4" xfId="0" applyBorder="1"/>
    <xf numFmtId="0" fontId="1" fillId="0" borderId="4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5" xfId="0" applyFill="1" applyBorder="1"/>
    <xf numFmtId="0" fontId="0" fillId="0" borderId="6" xfId="0" applyFill="1" applyBorder="1"/>
    <xf numFmtId="0" fontId="0" fillId="0" borderId="4" xfId="0" applyFill="1" applyBorder="1"/>
    <xf numFmtId="165" fontId="0" fillId="0" borderId="0" xfId="1" applyNumberFormat="1" applyFont="1"/>
    <xf numFmtId="165" fontId="0" fillId="0" borderId="4" xfId="1" applyNumberFormat="1" applyFont="1" applyBorder="1"/>
    <xf numFmtId="0" fontId="0" fillId="0" borderId="0" xfId="0" applyFill="1" applyBorder="1" applyAlignment="1">
      <alignment horizontal="left"/>
    </xf>
    <xf numFmtId="165" fontId="0" fillId="0" borderId="0" xfId="1" applyNumberFormat="1" applyFont="1" applyBorder="1"/>
    <xf numFmtId="165" fontId="0" fillId="0" borderId="4" xfId="0" applyNumberFormat="1" applyBorder="1"/>
    <xf numFmtId="0" fontId="0" fillId="0" borderId="9" xfId="0" applyBorder="1"/>
    <xf numFmtId="165" fontId="1" fillId="2" borderId="4" xfId="1" applyNumberFormat="1" applyFont="1" applyFill="1" applyBorder="1"/>
    <xf numFmtId="0" fontId="1" fillId="0" borderId="0" xfId="0" applyFont="1" applyFill="1" applyBorder="1" applyAlignment="1">
      <alignment horizontal="left"/>
    </xf>
    <xf numFmtId="165" fontId="1" fillId="0" borderId="0" xfId="1" applyNumberFormat="1" applyFont="1" applyFill="1" applyBorder="1"/>
    <xf numFmtId="0" fontId="0" fillId="0" borderId="0" xfId="0" applyFill="1"/>
    <xf numFmtId="0" fontId="0" fillId="0" borderId="11" xfId="0" applyBorder="1"/>
    <xf numFmtId="165" fontId="0" fillId="0" borderId="0" xfId="0" applyNumberFormat="1"/>
    <xf numFmtId="0" fontId="0" fillId="0" borderId="0" xfId="0" applyNumberFormat="1"/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9" xfId="0" applyFill="1" applyBorder="1" applyAlignment="1">
      <alignment horizontal="left"/>
    </xf>
    <xf numFmtId="0" fontId="0" fillId="0" borderId="10" xfId="0" applyFill="1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zoomScale="110" zoomScaleNormal="110" workbookViewId="0">
      <selection activeCell="F6" sqref="F6"/>
    </sheetView>
  </sheetViews>
  <sheetFormatPr baseColWidth="10" defaultRowHeight="14.5" x14ac:dyDescent="0.35"/>
  <cols>
    <col min="1" max="1" width="38.90625" customWidth="1"/>
    <col min="2" max="5" width="12.81640625" bestFit="1" customWidth="1"/>
    <col min="8" max="8" width="36.90625" customWidth="1"/>
    <col min="9" max="9" width="12.81640625" bestFit="1" customWidth="1"/>
    <col min="10" max="10" width="10.08984375" customWidth="1"/>
    <col min="11" max="11" width="17.36328125" bestFit="1" customWidth="1"/>
    <col min="12" max="12" width="21.453125" bestFit="1" customWidth="1"/>
    <col min="13" max="13" width="21.81640625" bestFit="1" customWidth="1"/>
    <col min="14" max="14" width="23" bestFit="1" customWidth="1"/>
  </cols>
  <sheetData>
    <row r="1" spans="1:10" ht="18.5" x14ac:dyDescent="0.45">
      <c r="A1" s="6" t="s">
        <v>52</v>
      </c>
    </row>
    <row r="3" spans="1:10" x14ac:dyDescent="0.35">
      <c r="A3" s="7" t="s">
        <v>20</v>
      </c>
      <c r="H3" s="7" t="s">
        <v>18</v>
      </c>
    </row>
    <row r="4" spans="1:10" x14ac:dyDescent="0.35">
      <c r="A4" t="s">
        <v>35</v>
      </c>
      <c r="H4" t="s">
        <v>36</v>
      </c>
    </row>
    <row r="6" spans="1:10" s="11" customFormat="1" ht="43.5" x14ac:dyDescent="0.35">
      <c r="A6" s="10" t="s">
        <v>14</v>
      </c>
      <c r="B6" s="10" t="s">
        <v>5</v>
      </c>
      <c r="C6" s="10" t="s">
        <v>11</v>
      </c>
      <c r="D6" s="10" t="s">
        <v>12</v>
      </c>
      <c r="E6" s="10" t="s">
        <v>16</v>
      </c>
      <c r="H6" s="10" t="s">
        <v>14</v>
      </c>
      <c r="I6" s="10" t="s">
        <v>5</v>
      </c>
      <c r="J6" s="10" t="s">
        <v>19</v>
      </c>
    </row>
    <row r="7" spans="1:10" x14ac:dyDescent="0.35">
      <c r="A7" s="9" t="s">
        <v>1</v>
      </c>
      <c r="B7" s="17">
        <v>1273746</v>
      </c>
      <c r="C7" s="17">
        <f>B7/$B$25*$B$26</f>
        <v>868463.18181818188</v>
      </c>
      <c r="D7" s="17">
        <f t="shared" ref="D7:E14" si="0">C7</f>
        <v>868463.18181818188</v>
      </c>
      <c r="E7" s="17">
        <f t="shared" si="0"/>
        <v>868463.18181818188</v>
      </c>
      <c r="H7" s="9" t="s">
        <v>1</v>
      </c>
      <c r="I7" s="17">
        <f>B7</f>
        <v>1273746</v>
      </c>
      <c r="J7" s="17">
        <f>I7/$B$25*$B$26</f>
        <v>868463.18181818188</v>
      </c>
    </row>
    <row r="8" spans="1:10" x14ac:dyDescent="0.35">
      <c r="A8" s="9" t="s">
        <v>26</v>
      </c>
      <c r="B8" s="17"/>
      <c r="C8" s="17">
        <f>B8/$B$25*$B$26</f>
        <v>0</v>
      </c>
      <c r="D8" s="17">
        <f t="shared" si="0"/>
        <v>0</v>
      </c>
      <c r="E8" s="17">
        <f t="shared" si="0"/>
        <v>0</v>
      </c>
      <c r="H8" s="9" t="s">
        <v>26</v>
      </c>
      <c r="I8" s="17">
        <f>B8</f>
        <v>0</v>
      </c>
      <c r="J8" s="17">
        <f>I8/$B$25*$B$26</f>
        <v>0</v>
      </c>
    </row>
    <row r="9" spans="1:10" x14ac:dyDescent="0.35">
      <c r="A9" s="9" t="s">
        <v>31</v>
      </c>
      <c r="B9" s="17"/>
      <c r="C9" s="17">
        <f>$B$9/$B$25*$B$26</f>
        <v>0</v>
      </c>
      <c r="D9" s="17">
        <f t="shared" ref="D9:E9" si="1">$B$9/$B$25*$B$26</f>
        <v>0</v>
      </c>
      <c r="E9" s="17">
        <f t="shared" si="1"/>
        <v>0</v>
      </c>
      <c r="H9" s="9" t="s">
        <v>31</v>
      </c>
      <c r="I9" s="17">
        <f>B9</f>
        <v>0</v>
      </c>
      <c r="J9" s="17">
        <f t="shared" ref="J9" si="2">$B$9/$B$25*$B$26</f>
        <v>0</v>
      </c>
    </row>
    <row r="10" spans="1:10" x14ac:dyDescent="0.35">
      <c r="A10" s="9" t="s">
        <v>47</v>
      </c>
      <c r="B10" s="17">
        <f>B7/25</f>
        <v>50949.84</v>
      </c>
      <c r="C10" s="17">
        <f>$B$10/2</f>
        <v>25474.92</v>
      </c>
      <c r="D10" s="17">
        <f t="shared" ref="D10:E10" si="3">$B$10/2</f>
        <v>25474.92</v>
      </c>
      <c r="E10" s="17">
        <f t="shared" si="3"/>
        <v>25474.92</v>
      </c>
      <c r="F10" s="27"/>
      <c r="H10" s="9" t="s">
        <v>47</v>
      </c>
      <c r="I10" s="17">
        <f>B10</f>
        <v>50949.84</v>
      </c>
      <c r="J10" s="17">
        <f>C10</f>
        <v>25474.92</v>
      </c>
    </row>
    <row r="11" spans="1:10" x14ac:dyDescent="0.35">
      <c r="A11" s="9" t="s">
        <v>46</v>
      </c>
      <c r="B11" s="17">
        <f>C11*2</f>
        <v>0</v>
      </c>
      <c r="C11" s="17"/>
      <c r="D11" s="17"/>
      <c r="E11" s="17"/>
      <c r="H11" s="9" t="s">
        <v>46</v>
      </c>
      <c r="I11" s="17">
        <f>J11*2</f>
        <v>0</v>
      </c>
      <c r="J11" s="17"/>
    </row>
    <row r="12" spans="1:10" x14ac:dyDescent="0.35">
      <c r="A12" s="9" t="s">
        <v>3</v>
      </c>
      <c r="B12" s="17">
        <f>(B7+B10+B11+B15+B16)*0.0833</f>
        <v>111450.63510672</v>
      </c>
      <c r="C12" s="17">
        <f t="shared" ref="C12:E12" si="4">(C7+C10+C11+C15+C16)*0.0833</f>
        <v>75630.359320269097</v>
      </c>
      <c r="D12" s="17">
        <f t="shared" si="4"/>
        <v>81940.334320269103</v>
      </c>
      <c r="E12" s="17">
        <f t="shared" si="4"/>
        <v>78785.3468202691</v>
      </c>
      <c r="H12" s="9" t="s">
        <v>3</v>
      </c>
      <c r="I12" s="17">
        <f>(I7+I10)*0.0833</f>
        <v>110347.163472</v>
      </c>
      <c r="J12" s="17">
        <f>(J7+J10)*0.0833</f>
        <v>74465.043881454549</v>
      </c>
    </row>
    <row r="13" spans="1:10" x14ac:dyDescent="0.35">
      <c r="A13" s="9" t="s">
        <v>4</v>
      </c>
      <c r="B13" s="17">
        <f>(B8+B9+B17)*0.0833</f>
        <v>0</v>
      </c>
      <c r="C13" s="17">
        <f t="shared" ref="C13:E13" si="5">(C8+C9+C17)*0.0833</f>
        <v>0</v>
      </c>
      <c r="D13" s="17">
        <f t="shared" si="5"/>
        <v>0</v>
      </c>
      <c r="E13" s="17">
        <f t="shared" si="5"/>
        <v>0</v>
      </c>
      <c r="H13" s="9" t="s">
        <v>4</v>
      </c>
      <c r="I13" s="17">
        <f t="shared" ref="I13:J13" si="6">(I8+I9)*0.0833</f>
        <v>0</v>
      </c>
      <c r="J13" s="17">
        <f t="shared" si="6"/>
        <v>0</v>
      </c>
    </row>
    <row r="14" spans="1:10" x14ac:dyDescent="0.35">
      <c r="A14" s="9" t="s">
        <v>6</v>
      </c>
      <c r="B14" s="17"/>
      <c r="C14" s="17">
        <v>4379</v>
      </c>
      <c r="D14" s="17">
        <f t="shared" si="0"/>
        <v>4379</v>
      </c>
      <c r="E14" s="17">
        <f t="shared" si="0"/>
        <v>4379</v>
      </c>
      <c r="H14" s="9" t="s">
        <v>6</v>
      </c>
      <c r="I14" s="17"/>
      <c r="J14" s="17">
        <v>4379</v>
      </c>
    </row>
    <row r="15" spans="1:10" x14ac:dyDescent="0.35">
      <c r="A15" s="9" t="s">
        <v>8</v>
      </c>
      <c r="B15" s="17"/>
      <c r="C15" s="17">
        <f>F25</f>
        <v>5000</v>
      </c>
      <c r="D15" s="17">
        <f>F26</f>
        <v>80000</v>
      </c>
      <c r="E15" s="17">
        <f>F27</f>
        <v>42500</v>
      </c>
      <c r="H15" s="31" t="s">
        <v>22</v>
      </c>
      <c r="I15" s="32"/>
      <c r="J15" s="17">
        <f>SUM(J7:J14)</f>
        <v>972782.14569963643</v>
      </c>
    </row>
    <row r="16" spans="1:10" x14ac:dyDescent="0.35">
      <c r="A16" s="9" t="s">
        <v>28</v>
      </c>
      <c r="B16" s="17">
        <f>(B7+B10+B15)*0.01</f>
        <v>13246.958400000001</v>
      </c>
      <c r="C16" s="17">
        <f t="shared" ref="C16:E16" si="7">(C7+C10+C15)*0.01</f>
        <v>8989.3810181818189</v>
      </c>
      <c r="D16" s="17">
        <f t="shared" si="7"/>
        <v>9739.3810181818189</v>
      </c>
      <c r="E16" s="17">
        <f t="shared" si="7"/>
        <v>9364.3810181818189</v>
      </c>
      <c r="H16" s="31" t="s">
        <v>23</v>
      </c>
      <c r="I16" s="32"/>
      <c r="J16" s="17">
        <f>J15*0.336</f>
        <v>326854.80095507787</v>
      </c>
    </row>
    <row r="17" spans="1:10" x14ac:dyDescent="0.35">
      <c r="A17" s="13" t="s">
        <v>27</v>
      </c>
      <c r="B17" s="20">
        <f>(B8+B9)*0.01</f>
        <v>0</v>
      </c>
      <c r="C17" s="20">
        <f>(C8+C9)*0.01</f>
        <v>0</v>
      </c>
      <c r="D17" s="20">
        <f t="shared" ref="D17:E17" si="8">(D8+D9)*0.01</f>
        <v>0</v>
      </c>
      <c r="E17" s="20">
        <f t="shared" si="8"/>
        <v>0</v>
      </c>
      <c r="H17" s="29" t="s">
        <v>24</v>
      </c>
      <c r="I17" s="30"/>
      <c r="J17" s="22">
        <f>(J15+J16)/$B$26</f>
        <v>10830.307888789284</v>
      </c>
    </row>
    <row r="18" spans="1:10" x14ac:dyDescent="0.35">
      <c r="A18" s="33" t="s">
        <v>22</v>
      </c>
      <c r="B18" s="34"/>
      <c r="C18" s="17">
        <f>SUM(C7:C17)</f>
        <v>987936.8421566328</v>
      </c>
      <c r="D18" s="17">
        <f>SUM(D7:D17)</f>
        <v>1069996.8171566329</v>
      </c>
      <c r="E18" s="17">
        <f>SUM(E7:E17)</f>
        <v>1028966.8296566328</v>
      </c>
    </row>
    <row r="19" spans="1:10" x14ac:dyDescent="0.35">
      <c r="A19" s="33" t="s">
        <v>23</v>
      </c>
      <c r="B19" s="34"/>
      <c r="C19" s="17">
        <f>C18*0.336</f>
        <v>331946.77896462864</v>
      </c>
      <c r="D19" s="17">
        <f t="shared" ref="D19:E19" si="9">D18*0.336</f>
        <v>359518.93056462868</v>
      </c>
      <c r="E19" s="17">
        <f t="shared" si="9"/>
        <v>345732.85476462863</v>
      </c>
    </row>
    <row r="20" spans="1:10" x14ac:dyDescent="0.35">
      <c r="A20" s="29" t="s">
        <v>24</v>
      </c>
      <c r="B20" s="30"/>
      <c r="C20" s="22">
        <f>(C18+C19)/$B$26</f>
        <v>10999.030176010512</v>
      </c>
      <c r="D20" s="22">
        <f t="shared" ref="D20:E20" si="10">(D18+D19)/$B$26</f>
        <v>11912.631231010513</v>
      </c>
      <c r="E20" s="22">
        <f t="shared" si="10"/>
        <v>11455.830703510514</v>
      </c>
    </row>
    <row r="21" spans="1:10" s="25" customFormat="1" x14ac:dyDescent="0.35">
      <c r="A21" s="23"/>
      <c r="B21" s="23"/>
      <c r="C21" s="24"/>
      <c r="D21" s="24"/>
      <c r="E21" s="24"/>
    </row>
    <row r="22" spans="1:10" s="25" customFormat="1" x14ac:dyDescent="0.35">
      <c r="A22" s="23"/>
      <c r="B22" s="23"/>
      <c r="C22" s="24"/>
      <c r="D22" s="24"/>
      <c r="E22" s="24"/>
    </row>
    <row r="24" spans="1:10" ht="15" thickBot="1" x14ac:dyDescent="0.4"/>
    <row r="25" spans="1:10" ht="15" thickBot="1" x14ac:dyDescent="0.4">
      <c r="A25" s="3" t="s">
        <v>2</v>
      </c>
      <c r="B25" s="4">
        <v>176</v>
      </c>
      <c r="C25" s="5" t="s">
        <v>0</v>
      </c>
      <c r="D25" s="8"/>
      <c r="E25" t="s">
        <v>9</v>
      </c>
      <c r="F25" s="16">
        <v>5000</v>
      </c>
    </row>
    <row r="26" spans="1:10" ht="15" thickBot="1" x14ac:dyDescent="0.4">
      <c r="A26" s="3" t="s">
        <v>7</v>
      </c>
      <c r="B26" s="4">
        <v>120</v>
      </c>
      <c r="C26" s="5" t="s">
        <v>0</v>
      </c>
      <c r="D26" s="8"/>
      <c r="E26" t="s">
        <v>10</v>
      </c>
      <c r="F26" s="16">
        <v>80000</v>
      </c>
    </row>
    <row r="27" spans="1:10" x14ac:dyDescent="0.35">
      <c r="E27" t="s">
        <v>30</v>
      </c>
      <c r="F27" s="16">
        <f>AVERAGE(F25:F26)</f>
        <v>42500</v>
      </c>
    </row>
    <row r="28" spans="1:10" x14ac:dyDescent="0.35">
      <c r="A28" t="s">
        <v>32</v>
      </c>
    </row>
  </sheetData>
  <mergeCells count="6">
    <mergeCell ref="A20:B20"/>
    <mergeCell ref="H15:I15"/>
    <mergeCell ref="H16:I16"/>
    <mergeCell ref="H17:I17"/>
    <mergeCell ref="A18:B18"/>
    <mergeCell ref="A19:B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opLeftCell="B4" zoomScale="110" zoomScaleNormal="110" workbookViewId="0">
      <selection activeCell="B10" sqref="B10:J10"/>
    </sheetView>
  </sheetViews>
  <sheetFormatPr baseColWidth="10" defaultRowHeight="14.5" x14ac:dyDescent="0.35"/>
  <cols>
    <col min="1" max="1" width="38.90625" customWidth="1"/>
    <col min="2" max="5" width="12.81640625" bestFit="1" customWidth="1"/>
    <col min="8" max="8" width="36.90625" customWidth="1"/>
    <col min="9" max="9" width="12.81640625" bestFit="1" customWidth="1"/>
    <col min="10" max="10" width="10.08984375" customWidth="1"/>
    <col min="11" max="11" width="17.36328125" bestFit="1" customWidth="1"/>
    <col min="12" max="12" width="21.453125" bestFit="1" customWidth="1"/>
    <col min="13" max="13" width="21.81640625" bestFit="1" customWidth="1"/>
    <col min="14" max="14" width="23" bestFit="1" customWidth="1"/>
  </cols>
  <sheetData>
    <row r="1" spans="1:10" ht="18.5" x14ac:dyDescent="0.45">
      <c r="A1" s="6" t="s">
        <v>51</v>
      </c>
    </row>
    <row r="3" spans="1:10" x14ac:dyDescent="0.35">
      <c r="A3" s="7" t="s">
        <v>20</v>
      </c>
      <c r="H3" s="7" t="s">
        <v>18</v>
      </c>
    </row>
    <row r="4" spans="1:10" x14ac:dyDescent="0.35">
      <c r="A4" t="s">
        <v>35</v>
      </c>
      <c r="H4" t="s">
        <v>36</v>
      </c>
    </row>
    <row r="6" spans="1:10" s="11" customFormat="1" ht="43.5" x14ac:dyDescent="0.35">
      <c r="A6" s="10" t="s">
        <v>14</v>
      </c>
      <c r="B6" s="10" t="s">
        <v>5</v>
      </c>
      <c r="C6" s="10" t="s">
        <v>11</v>
      </c>
      <c r="D6" s="10" t="s">
        <v>12</v>
      </c>
      <c r="E6" s="10" t="s">
        <v>16</v>
      </c>
      <c r="H6" s="10" t="s">
        <v>14</v>
      </c>
      <c r="I6" s="10" t="s">
        <v>5</v>
      </c>
      <c r="J6" s="10" t="s">
        <v>19</v>
      </c>
    </row>
    <row r="7" spans="1:10" x14ac:dyDescent="0.35">
      <c r="A7" s="9" t="s">
        <v>1</v>
      </c>
      <c r="B7" s="17">
        <v>1153746</v>
      </c>
      <c r="C7" s="17">
        <f>B7/$B$25*$B$26</f>
        <v>786645</v>
      </c>
      <c r="D7" s="17">
        <f t="shared" ref="D7:E14" si="0">C7</f>
        <v>786645</v>
      </c>
      <c r="E7" s="17">
        <f t="shared" si="0"/>
        <v>786645</v>
      </c>
      <c r="H7" s="9" t="s">
        <v>1</v>
      </c>
      <c r="I7" s="17">
        <f>B7</f>
        <v>1153746</v>
      </c>
      <c r="J7" s="17">
        <f>I7/$B$25*$B$26</f>
        <v>786645</v>
      </c>
    </row>
    <row r="8" spans="1:10" x14ac:dyDescent="0.35">
      <c r="A8" s="9" t="s">
        <v>26</v>
      </c>
      <c r="B8" s="17">
        <v>100000</v>
      </c>
      <c r="C8" s="17">
        <f>B8/$B$25*$B$26</f>
        <v>68181.818181818177</v>
      </c>
      <c r="D8" s="17">
        <f t="shared" si="0"/>
        <v>68181.818181818177</v>
      </c>
      <c r="E8" s="17">
        <f t="shared" si="0"/>
        <v>68181.818181818177</v>
      </c>
      <c r="H8" s="9" t="s">
        <v>26</v>
      </c>
      <c r="I8" s="17">
        <v>100000</v>
      </c>
      <c r="J8" s="17">
        <f>I8/$B$25*$B$26</f>
        <v>68181.818181818177</v>
      </c>
    </row>
    <row r="9" spans="1:10" x14ac:dyDescent="0.35">
      <c r="A9" s="9" t="s">
        <v>31</v>
      </c>
      <c r="B9" s="17">
        <v>20000</v>
      </c>
      <c r="C9" s="17">
        <f>$B$9/$B$25*$B$26</f>
        <v>13636.363636363636</v>
      </c>
      <c r="D9" s="17">
        <f t="shared" ref="D9:E9" si="1">$B$9/$B$25*$B$26</f>
        <v>13636.363636363636</v>
      </c>
      <c r="E9" s="17">
        <f t="shared" si="1"/>
        <v>13636.363636363636</v>
      </c>
      <c r="H9" s="9" t="s">
        <v>31</v>
      </c>
      <c r="I9" s="17">
        <v>20000</v>
      </c>
      <c r="J9" s="17">
        <f t="shared" ref="J9" si="2">$B$9/$B$25*$B$26</f>
        <v>13636.363636363636</v>
      </c>
    </row>
    <row r="10" spans="1:10" x14ac:dyDescent="0.35">
      <c r="A10" s="9" t="s">
        <v>47</v>
      </c>
      <c r="B10" s="17">
        <f>B7/25</f>
        <v>46149.84</v>
      </c>
      <c r="C10" s="17">
        <f>$B$10/2</f>
        <v>23074.92</v>
      </c>
      <c r="D10" s="17">
        <f t="shared" ref="D10:E10" si="3">$B$10/2</f>
        <v>23074.92</v>
      </c>
      <c r="E10" s="17">
        <f t="shared" si="3"/>
        <v>23074.92</v>
      </c>
      <c r="F10" s="27"/>
      <c r="H10" s="9" t="s">
        <v>47</v>
      </c>
      <c r="I10" s="17">
        <f>B10</f>
        <v>46149.84</v>
      </c>
      <c r="J10" s="17">
        <f>C10</f>
        <v>23074.92</v>
      </c>
    </row>
    <row r="11" spans="1:10" x14ac:dyDescent="0.35">
      <c r="A11" s="9" t="s">
        <v>46</v>
      </c>
      <c r="B11" s="17">
        <f>(B7/25)-(B7/30)</f>
        <v>7691.6399999999994</v>
      </c>
      <c r="C11" s="17">
        <f>$B$11/2</f>
        <v>3845.8199999999997</v>
      </c>
      <c r="D11" s="17">
        <f t="shared" ref="D11:E11" si="4">$B$11/2</f>
        <v>3845.8199999999997</v>
      </c>
      <c r="E11" s="17">
        <f t="shared" si="4"/>
        <v>3845.8199999999997</v>
      </c>
      <c r="H11" s="9" t="s">
        <v>46</v>
      </c>
      <c r="I11" s="17">
        <f>B11</f>
        <v>7691.6399999999994</v>
      </c>
      <c r="J11" s="17">
        <f>C11</f>
        <v>3845.8199999999997</v>
      </c>
    </row>
    <row r="12" spans="1:10" x14ac:dyDescent="0.35">
      <c r="A12" s="9" t="s">
        <v>3</v>
      </c>
      <c r="B12" s="17">
        <f>(B7+B10+B11+B15+B16)*0.0833</f>
        <v>101591.55031871999</v>
      </c>
      <c r="C12" s="17">
        <f t="shared" ref="C12:E12" si="5">(C7+C10+C11+C15+C16)*0.0833</f>
        <v>68865.187835360004</v>
      </c>
      <c r="D12" s="17">
        <f t="shared" si="5"/>
        <v>75175.162835359995</v>
      </c>
      <c r="E12" s="17">
        <f t="shared" si="5"/>
        <v>72020.175335360007</v>
      </c>
      <c r="H12" s="9" t="s">
        <v>3</v>
      </c>
      <c r="I12" s="17">
        <f>(I7+I10)*0.0833</f>
        <v>99951.323472000004</v>
      </c>
      <c r="J12" s="17">
        <f>(J7+J10)*0.0833</f>
        <v>67449.669336000006</v>
      </c>
    </row>
    <row r="13" spans="1:10" x14ac:dyDescent="0.35">
      <c r="A13" s="9" t="s">
        <v>4</v>
      </c>
      <c r="B13" s="17">
        <f>(B8+B9+B17)*0.0833</f>
        <v>10095.959999999999</v>
      </c>
      <c r="C13" s="17">
        <f t="shared" ref="C13:E13" si="6">(C8+C9+C17)*0.0833</f>
        <v>6883.6090909090908</v>
      </c>
      <c r="D13" s="17">
        <f t="shared" si="6"/>
        <v>6883.6090909090908</v>
      </c>
      <c r="E13" s="17">
        <f t="shared" si="6"/>
        <v>6883.6090909090908</v>
      </c>
      <c r="H13" s="9" t="s">
        <v>4</v>
      </c>
      <c r="I13" s="17">
        <f t="shared" ref="I13:J13" si="7">(I8+I9)*0.0833</f>
        <v>9996</v>
      </c>
      <c r="J13" s="17">
        <f t="shared" si="7"/>
        <v>6815.454545454545</v>
      </c>
    </row>
    <row r="14" spans="1:10" x14ac:dyDescent="0.35">
      <c r="A14" s="9" t="s">
        <v>6</v>
      </c>
      <c r="B14" s="17"/>
      <c r="C14" s="17">
        <v>4379</v>
      </c>
      <c r="D14" s="17">
        <f t="shared" si="0"/>
        <v>4379</v>
      </c>
      <c r="E14" s="17">
        <f t="shared" si="0"/>
        <v>4379</v>
      </c>
      <c r="H14" s="9" t="s">
        <v>6</v>
      </c>
      <c r="I14" s="17"/>
      <c r="J14" s="17">
        <v>4379</v>
      </c>
    </row>
    <row r="15" spans="1:10" x14ac:dyDescent="0.35">
      <c r="A15" s="9" t="s">
        <v>8</v>
      </c>
      <c r="B15" s="17"/>
      <c r="C15" s="17">
        <f>F25</f>
        <v>5000</v>
      </c>
      <c r="D15" s="17">
        <f>F26</f>
        <v>80000</v>
      </c>
      <c r="E15" s="17">
        <f>F27</f>
        <v>42500</v>
      </c>
      <c r="H15" s="31" t="s">
        <v>22</v>
      </c>
      <c r="I15" s="32"/>
      <c r="J15" s="17">
        <f>SUM(J7:J14)</f>
        <v>974028.04569963634</v>
      </c>
    </row>
    <row r="16" spans="1:10" x14ac:dyDescent="0.35">
      <c r="A16" s="9" t="s">
        <v>28</v>
      </c>
      <c r="B16" s="17">
        <f>(B7+B10+B15)*0.01</f>
        <v>11998.958400000001</v>
      </c>
      <c r="C16" s="17">
        <f t="shared" ref="C16:E16" si="8">(C7+C10+C15)*0.01</f>
        <v>8147.1992000000009</v>
      </c>
      <c r="D16" s="17">
        <f t="shared" si="8"/>
        <v>8897.1992000000009</v>
      </c>
      <c r="E16" s="17">
        <f t="shared" si="8"/>
        <v>8522.1992000000009</v>
      </c>
      <c r="H16" s="31" t="s">
        <v>23</v>
      </c>
      <c r="I16" s="32"/>
      <c r="J16" s="17">
        <f>J15*0.336</f>
        <v>327273.4233550778</v>
      </c>
    </row>
    <row r="17" spans="1:10" x14ac:dyDescent="0.35">
      <c r="A17" s="13" t="s">
        <v>27</v>
      </c>
      <c r="B17" s="20">
        <f>(B8+B9)*0.01</f>
        <v>1200</v>
      </c>
      <c r="C17" s="20">
        <f>(C8+C9)*0.01</f>
        <v>818.18181818181813</v>
      </c>
      <c r="D17" s="20">
        <f t="shared" ref="D17:E17" si="9">(D8+D9)*0.01</f>
        <v>818.18181818181813</v>
      </c>
      <c r="E17" s="20">
        <f t="shared" si="9"/>
        <v>818.18181818181813</v>
      </c>
      <c r="H17" s="29" t="s">
        <v>24</v>
      </c>
      <c r="I17" s="30"/>
      <c r="J17" s="22">
        <f>(J15+J16)/$B$26</f>
        <v>10844.178908789285</v>
      </c>
    </row>
    <row r="18" spans="1:10" x14ac:dyDescent="0.35">
      <c r="A18" s="33" t="s">
        <v>22</v>
      </c>
      <c r="B18" s="34"/>
      <c r="C18" s="17">
        <f>SUM(C7:C17)</f>
        <v>989477.09976263274</v>
      </c>
      <c r="D18" s="17">
        <f>SUM(D7:D17)</f>
        <v>1071537.0747626326</v>
      </c>
      <c r="E18" s="17">
        <f>SUM(E7:E17)</f>
        <v>1030507.0872626327</v>
      </c>
    </row>
    <row r="19" spans="1:10" x14ac:dyDescent="0.35">
      <c r="A19" s="33" t="s">
        <v>23</v>
      </c>
      <c r="B19" s="34"/>
      <c r="C19" s="17">
        <f>C18*0.336</f>
        <v>332464.30552024464</v>
      </c>
      <c r="D19" s="17">
        <f t="shared" ref="D19:E19" si="10">D18*0.336</f>
        <v>360036.45712024457</v>
      </c>
      <c r="E19" s="17">
        <f t="shared" si="10"/>
        <v>346250.38132024457</v>
      </c>
    </row>
    <row r="20" spans="1:10" x14ac:dyDescent="0.35">
      <c r="A20" s="29" t="s">
        <v>24</v>
      </c>
      <c r="B20" s="30"/>
      <c r="C20" s="22">
        <f>(C18+C19)/$B$26</f>
        <v>11016.178377357312</v>
      </c>
      <c r="D20" s="22">
        <f t="shared" ref="D20:E20" si="11">(D18+D19)/$B$26</f>
        <v>11929.779432357311</v>
      </c>
      <c r="E20" s="22">
        <f t="shared" si="11"/>
        <v>11472.978904857309</v>
      </c>
    </row>
    <row r="21" spans="1:10" s="25" customFormat="1" x14ac:dyDescent="0.35">
      <c r="A21" s="23"/>
      <c r="B21" s="23"/>
      <c r="C21" s="24"/>
      <c r="D21" s="24"/>
      <c r="E21" s="24"/>
    </row>
    <row r="22" spans="1:10" s="25" customFormat="1" x14ac:dyDescent="0.35">
      <c r="A22" s="23"/>
      <c r="B22" s="23"/>
      <c r="C22" s="24"/>
      <c r="D22" s="24"/>
      <c r="E22" s="24"/>
    </row>
    <row r="24" spans="1:10" ht="15" thickBot="1" x14ac:dyDescent="0.4"/>
    <row r="25" spans="1:10" ht="15" thickBot="1" x14ac:dyDescent="0.4">
      <c r="A25" s="3" t="s">
        <v>2</v>
      </c>
      <c r="B25" s="4">
        <v>176</v>
      </c>
      <c r="C25" s="5" t="s">
        <v>0</v>
      </c>
      <c r="D25" s="8"/>
      <c r="E25" t="s">
        <v>9</v>
      </c>
      <c r="F25" s="16">
        <v>5000</v>
      </c>
    </row>
    <row r="26" spans="1:10" ht="15" thickBot="1" x14ac:dyDescent="0.4">
      <c r="A26" s="3" t="s">
        <v>7</v>
      </c>
      <c r="B26" s="4">
        <v>120</v>
      </c>
      <c r="C26" s="5" t="s">
        <v>0</v>
      </c>
      <c r="D26" s="8"/>
      <c r="E26" t="s">
        <v>10</v>
      </c>
      <c r="F26" s="16">
        <v>80000</v>
      </c>
    </row>
    <row r="27" spans="1:10" x14ac:dyDescent="0.35">
      <c r="E27" t="s">
        <v>30</v>
      </c>
      <c r="F27" s="16">
        <f>AVERAGE(F25:F26)</f>
        <v>42500</v>
      </c>
    </row>
    <row r="28" spans="1:10" x14ac:dyDescent="0.35">
      <c r="A28" t="s">
        <v>32</v>
      </c>
    </row>
  </sheetData>
  <mergeCells count="6">
    <mergeCell ref="A20:B20"/>
    <mergeCell ref="H15:I15"/>
    <mergeCell ref="H16:I16"/>
    <mergeCell ref="H17:I17"/>
    <mergeCell ref="A18:B18"/>
    <mergeCell ref="A19:B1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opLeftCell="B1" zoomScale="110" zoomScaleNormal="110" workbookViewId="0">
      <selection activeCell="B10" sqref="B10:J11"/>
    </sheetView>
  </sheetViews>
  <sheetFormatPr baseColWidth="10" defaultRowHeight="14.5" x14ac:dyDescent="0.35"/>
  <cols>
    <col min="1" max="1" width="38.90625" customWidth="1"/>
    <col min="2" max="5" width="12.81640625" bestFit="1" customWidth="1"/>
    <col min="8" max="8" width="36.90625" customWidth="1"/>
    <col min="9" max="9" width="12.81640625" bestFit="1" customWidth="1"/>
    <col min="10" max="10" width="10.08984375" customWidth="1"/>
    <col min="11" max="11" width="17.36328125" bestFit="1" customWidth="1"/>
    <col min="12" max="12" width="21.453125" bestFit="1" customWidth="1"/>
    <col min="13" max="13" width="21.81640625" bestFit="1" customWidth="1"/>
    <col min="14" max="14" width="23" bestFit="1" customWidth="1"/>
  </cols>
  <sheetData>
    <row r="1" spans="1:10" ht="18.5" x14ac:dyDescent="0.45">
      <c r="A1" s="6" t="s">
        <v>49</v>
      </c>
    </row>
    <row r="3" spans="1:10" x14ac:dyDescent="0.35">
      <c r="A3" s="7" t="s">
        <v>20</v>
      </c>
      <c r="H3" s="7" t="s">
        <v>18</v>
      </c>
    </row>
    <row r="4" spans="1:10" x14ac:dyDescent="0.35">
      <c r="A4" t="s">
        <v>35</v>
      </c>
      <c r="H4" t="s">
        <v>36</v>
      </c>
    </row>
    <row r="6" spans="1:10" s="11" customFormat="1" ht="43.5" x14ac:dyDescent="0.35">
      <c r="A6" s="10" t="s">
        <v>14</v>
      </c>
      <c r="B6" s="10" t="s">
        <v>5</v>
      </c>
      <c r="C6" s="10" t="s">
        <v>11</v>
      </c>
      <c r="D6" s="10" t="s">
        <v>12</v>
      </c>
      <c r="E6" s="10" t="s">
        <v>16</v>
      </c>
      <c r="H6" s="10" t="s">
        <v>14</v>
      </c>
      <c r="I6" s="10" t="s">
        <v>5</v>
      </c>
      <c r="J6" s="10" t="s">
        <v>19</v>
      </c>
    </row>
    <row r="7" spans="1:10" x14ac:dyDescent="0.35">
      <c r="A7" s="9" t="s">
        <v>1</v>
      </c>
      <c r="B7" s="17">
        <v>1135835</v>
      </c>
      <c r="C7" s="17">
        <f>B7/$B$25*$B$26</f>
        <v>774432.95454545459</v>
      </c>
      <c r="D7" s="17">
        <f t="shared" ref="D7:E14" si="0">C7</f>
        <v>774432.95454545459</v>
      </c>
      <c r="E7" s="17">
        <f t="shared" si="0"/>
        <v>774432.95454545459</v>
      </c>
      <c r="H7" s="9" t="s">
        <v>1</v>
      </c>
      <c r="I7" s="17">
        <f>B7</f>
        <v>1135835</v>
      </c>
      <c r="J7" s="17">
        <f>I7/$B$25*$B$26</f>
        <v>774432.95454545459</v>
      </c>
    </row>
    <row r="8" spans="1:10" x14ac:dyDescent="0.35">
      <c r="A8" s="9" t="s">
        <v>26</v>
      </c>
      <c r="B8" s="17">
        <v>100000</v>
      </c>
      <c r="C8" s="17">
        <f>B8/$B$25*$B$26</f>
        <v>68181.818181818177</v>
      </c>
      <c r="D8" s="17">
        <f t="shared" si="0"/>
        <v>68181.818181818177</v>
      </c>
      <c r="E8" s="17">
        <f t="shared" si="0"/>
        <v>68181.818181818177</v>
      </c>
      <c r="H8" s="9" t="s">
        <v>26</v>
      </c>
      <c r="I8" s="17">
        <v>100000</v>
      </c>
      <c r="J8" s="17">
        <f>I8/$B$25*$B$26</f>
        <v>68181.818181818177</v>
      </c>
    </row>
    <row r="9" spans="1:10" x14ac:dyDescent="0.35">
      <c r="A9" s="9" t="s">
        <v>31</v>
      </c>
      <c r="B9" s="17">
        <v>20000</v>
      </c>
      <c r="C9" s="17">
        <f>$B$9/$B$25*$B$26</f>
        <v>13636.363636363636</v>
      </c>
      <c r="D9" s="17">
        <f t="shared" ref="D9:E9" si="1">$B$9/$B$25*$B$26</f>
        <v>13636.363636363636</v>
      </c>
      <c r="E9" s="17">
        <f t="shared" si="1"/>
        <v>13636.363636363636</v>
      </c>
      <c r="H9" s="9" t="s">
        <v>31</v>
      </c>
      <c r="I9" s="17">
        <v>20000</v>
      </c>
      <c r="J9" s="17">
        <f t="shared" ref="J9" si="2">$B$9/$B$25*$B$26</f>
        <v>13636.363636363636</v>
      </c>
    </row>
    <row r="10" spans="1:10" x14ac:dyDescent="0.35">
      <c r="A10" s="9" t="s">
        <v>47</v>
      </c>
      <c r="B10" s="17">
        <f>B7/25</f>
        <v>45433.4</v>
      </c>
      <c r="C10" s="17">
        <f>$B$10/2</f>
        <v>22716.7</v>
      </c>
      <c r="D10" s="17">
        <f t="shared" ref="D10:E10" si="3">$B$10/2</f>
        <v>22716.7</v>
      </c>
      <c r="E10" s="17">
        <f t="shared" si="3"/>
        <v>22716.7</v>
      </c>
      <c r="F10" s="27"/>
      <c r="H10" s="9" t="s">
        <v>47</v>
      </c>
      <c r="I10" s="17">
        <f>B10</f>
        <v>45433.4</v>
      </c>
      <c r="J10" s="17">
        <f>C10</f>
        <v>22716.7</v>
      </c>
    </row>
    <row r="11" spans="1:10" x14ac:dyDescent="0.35">
      <c r="A11" s="9" t="s">
        <v>46</v>
      </c>
      <c r="B11" s="17">
        <f>(B7/25)-(B7/30)</f>
        <v>7572.2333333333372</v>
      </c>
      <c r="C11" s="17">
        <f>$B$11/2</f>
        <v>3786.1166666666686</v>
      </c>
      <c r="D11" s="17">
        <f t="shared" ref="D11:E11" si="4">$B$11/2</f>
        <v>3786.1166666666686</v>
      </c>
      <c r="E11" s="17">
        <f t="shared" si="4"/>
        <v>3786.1166666666686</v>
      </c>
      <c r="H11" s="9" t="s">
        <v>46</v>
      </c>
      <c r="I11" s="17">
        <f>B11</f>
        <v>7572.2333333333372</v>
      </c>
      <c r="J11" s="17">
        <f>C11</f>
        <v>3786.1166666666686</v>
      </c>
    </row>
    <row r="12" spans="1:10" x14ac:dyDescent="0.35">
      <c r="A12" s="9" t="s">
        <v>3</v>
      </c>
      <c r="B12" s="17">
        <f>(B7+B10+B11+B15+B16)*0.0833</f>
        <v>100014.42133386666</v>
      </c>
      <c r="C12" s="17">
        <f t="shared" ref="C12:E12" si="5">(C7+C10+C11+C15+C16)*0.0833</f>
        <v>67802.64040420606</v>
      </c>
      <c r="D12" s="17">
        <f t="shared" si="5"/>
        <v>74112.615404206052</v>
      </c>
      <c r="E12" s="17">
        <f t="shared" si="5"/>
        <v>70957.627904206063</v>
      </c>
      <c r="H12" s="9" t="s">
        <v>3</v>
      </c>
      <c r="I12" s="17">
        <f>(I7+I10)*0.0833</f>
        <v>98399.657719999988</v>
      </c>
      <c r="J12" s="17">
        <f>(J7+J10)*0.0833</f>
        <v>66402.566223636357</v>
      </c>
    </row>
    <row r="13" spans="1:10" x14ac:dyDescent="0.35">
      <c r="A13" s="9" t="s">
        <v>4</v>
      </c>
      <c r="B13" s="17">
        <f>(B8+B9+B17)*0.0833</f>
        <v>10095.959999999999</v>
      </c>
      <c r="C13" s="17">
        <f t="shared" ref="C13:E13" si="6">(C8+C9+C17)*0.0833</f>
        <v>6883.6090909090908</v>
      </c>
      <c r="D13" s="17">
        <f t="shared" si="6"/>
        <v>6883.6090909090908</v>
      </c>
      <c r="E13" s="17">
        <f t="shared" si="6"/>
        <v>6883.6090909090908</v>
      </c>
      <c r="H13" s="9" t="s">
        <v>4</v>
      </c>
      <c r="I13" s="17">
        <f t="shared" ref="I13:J13" si="7">(I8+I9)*0.0833</f>
        <v>9996</v>
      </c>
      <c r="J13" s="17">
        <f t="shared" si="7"/>
        <v>6815.454545454545</v>
      </c>
    </row>
    <row r="14" spans="1:10" x14ac:dyDescent="0.35">
      <c r="A14" s="9" t="s">
        <v>6</v>
      </c>
      <c r="B14" s="17"/>
      <c r="C14" s="17">
        <v>4379</v>
      </c>
      <c r="D14" s="17">
        <f t="shared" si="0"/>
        <v>4379</v>
      </c>
      <c r="E14" s="17">
        <f t="shared" si="0"/>
        <v>4379</v>
      </c>
      <c r="H14" s="9" t="s">
        <v>6</v>
      </c>
      <c r="I14" s="17"/>
      <c r="J14" s="17">
        <v>4379</v>
      </c>
    </row>
    <row r="15" spans="1:10" x14ac:dyDescent="0.35">
      <c r="A15" s="9" t="s">
        <v>8</v>
      </c>
      <c r="B15" s="17"/>
      <c r="C15" s="17">
        <f>F25</f>
        <v>5000</v>
      </c>
      <c r="D15" s="17">
        <f>F26</f>
        <v>80000</v>
      </c>
      <c r="E15" s="17">
        <f>F27</f>
        <v>42500</v>
      </c>
      <c r="H15" s="31" t="s">
        <v>22</v>
      </c>
      <c r="I15" s="32"/>
      <c r="J15" s="17">
        <f>SUM(J7:J14)</f>
        <v>960350.97379939398</v>
      </c>
    </row>
    <row r="16" spans="1:10" x14ac:dyDescent="0.35">
      <c r="A16" s="9" t="s">
        <v>28</v>
      </c>
      <c r="B16" s="17">
        <f>(B7+B10+B15)*0.01</f>
        <v>11812.683999999999</v>
      </c>
      <c r="C16" s="17">
        <f t="shared" ref="C16:E16" si="8">(C7+C10+C15)*0.01</f>
        <v>8021.4965454545454</v>
      </c>
      <c r="D16" s="17">
        <f t="shared" si="8"/>
        <v>8771.4965454545454</v>
      </c>
      <c r="E16" s="17">
        <f t="shared" si="8"/>
        <v>8396.4965454545454</v>
      </c>
      <c r="H16" s="31" t="s">
        <v>23</v>
      </c>
      <c r="I16" s="32"/>
      <c r="J16" s="17">
        <f>J15*0.336</f>
        <v>322677.9271965964</v>
      </c>
    </row>
    <row r="17" spans="1:10" x14ac:dyDescent="0.35">
      <c r="A17" s="13" t="s">
        <v>27</v>
      </c>
      <c r="B17" s="20">
        <f>(B8+B9)*0.01</f>
        <v>1200</v>
      </c>
      <c r="C17" s="20">
        <f>(C8+C9)*0.01</f>
        <v>818.18181818181813</v>
      </c>
      <c r="D17" s="20">
        <f t="shared" ref="D17:E17" si="9">(D8+D9)*0.01</f>
        <v>818.18181818181813</v>
      </c>
      <c r="E17" s="20">
        <f t="shared" si="9"/>
        <v>818.18181818181813</v>
      </c>
      <c r="H17" s="29" t="s">
        <v>24</v>
      </c>
      <c r="I17" s="30"/>
      <c r="J17" s="22">
        <f>(J15+J16)/$B$26</f>
        <v>10691.907508299919</v>
      </c>
    </row>
    <row r="18" spans="1:10" x14ac:dyDescent="0.35">
      <c r="A18" s="33" t="s">
        <v>22</v>
      </c>
      <c r="B18" s="34"/>
      <c r="C18" s="17">
        <f>SUM(C7:C17)</f>
        <v>975658.8808890545</v>
      </c>
      <c r="D18" s="17">
        <f>SUM(D7:D17)</f>
        <v>1057718.8558890547</v>
      </c>
      <c r="E18" s="17">
        <f>SUM(E7:E17)</f>
        <v>1016688.8683890546</v>
      </c>
    </row>
    <row r="19" spans="1:10" x14ac:dyDescent="0.35">
      <c r="A19" s="33" t="s">
        <v>23</v>
      </c>
      <c r="B19" s="34"/>
      <c r="C19" s="17">
        <f>C18*0.336</f>
        <v>327821.38397872233</v>
      </c>
      <c r="D19" s="17">
        <f t="shared" ref="D19:E19" si="10">D18*0.336</f>
        <v>355393.53557872243</v>
      </c>
      <c r="E19" s="17">
        <f t="shared" si="10"/>
        <v>341607.45977872238</v>
      </c>
    </row>
    <row r="20" spans="1:10" x14ac:dyDescent="0.35">
      <c r="A20" s="29" t="s">
        <v>24</v>
      </c>
      <c r="B20" s="30"/>
      <c r="C20" s="22">
        <f>(C18+C19)/$B$26</f>
        <v>10862.335540564807</v>
      </c>
      <c r="D20" s="22">
        <f t="shared" ref="D20:E20" si="11">(D18+D19)/$B$26</f>
        <v>11775.936595564808</v>
      </c>
      <c r="E20" s="22">
        <f t="shared" si="11"/>
        <v>11319.136068064809</v>
      </c>
    </row>
    <row r="21" spans="1:10" s="25" customFormat="1" x14ac:dyDescent="0.35">
      <c r="A21" s="23"/>
      <c r="B21" s="23"/>
      <c r="C21" s="24"/>
      <c r="D21" s="24"/>
      <c r="E21" s="24"/>
    </row>
    <row r="22" spans="1:10" s="25" customFormat="1" x14ac:dyDescent="0.35">
      <c r="A22" s="23"/>
      <c r="B22" s="23"/>
      <c r="C22" s="24"/>
      <c r="D22" s="24"/>
      <c r="E22" s="24"/>
    </row>
    <row r="24" spans="1:10" ht="15" thickBot="1" x14ac:dyDescent="0.4"/>
    <row r="25" spans="1:10" ht="15" thickBot="1" x14ac:dyDescent="0.4">
      <c r="A25" s="3" t="s">
        <v>2</v>
      </c>
      <c r="B25" s="4">
        <v>176</v>
      </c>
      <c r="C25" s="5" t="s">
        <v>0</v>
      </c>
      <c r="D25" s="8"/>
      <c r="E25" t="s">
        <v>9</v>
      </c>
      <c r="F25" s="16">
        <v>5000</v>
      </c>
    </row>
    <row r="26" spans="1:10" ht="15" thickBot="1" x14ac:dyDescent="0.4">
      <c r="A26" s="3" t="s">
        <v>7</v>
      </c>
      <c r="B26" s="4">
        <v>120</v>
      </c>
      <c r="C26" s="5" t="s">
        <v>0</v>
      </c>
      <c r="D26" s="8"/>
      <c r="E26" t="s">
        <v>10</v>
      </c>
      <c r="F26" s="16">
        <v>80000</v>
      </c>
    </row>
    <row r="27" spans="1:10" x14ac:dyDescent="0.35">
      <c r="E27" t="s">
        <v>30</v>
      </c>
      <c r="F27" s="16">
        <f>AVERAGE(F25:F26)</f>
        <v>42500</v>
      </c>
    </row>
    <row r="28" spans="1:10" x14ac:dyDescent="0.35">
      <c r="A28" t="s">
        <v>32</v>
      </c>
    </row>
  </sheetData>
  <mergeCells count="6">
    <mergeCell ref="A20:B20"/>
    <mergeCell ref="H15:I15"/>
    <mergeCell ref="H16:I16"/>
    <mergeCell ref="H17:I17"/>
    <mergeCell ref="A18:B18"/>
    <mergeCell ref="A19:B1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zoomScale="110" zoomScaleNormal="110" workbookViewId="0">
      <selection activeCell="B11" sqref="B11:E11"/>
    </sheetView>
  </sheetViews>
  <sheetFormatPr baseColWidth="10" defaultRowHeight="14.5" x14ac:dyDescent="0.35"/>
  <cols>
    <col min="1" max="1" width="38.90625" customWidth="1"/>
    <col min="2" max="5" width="12.81640625" bestFit="1" customWidth="1"/>
    <col min="8" max="8" width="36.90625" customWidth="1"/>
    <col min="9" max="9" width="12.81640625" bestFit="1" customWidth="1"/>
    <col min="10" max="10" width="10.08984375" customWidth="1"/>
    <col min="11" max="11" width="17.36328125" bestFit="1" customWidth="1"/>
    <col min="12" max="12" width="21.453125" bestFit="1" customWidth="1"/>
    <col min="13" max="13" width="21.81640625" bestFit="1" customWidth="1"/>
    <col min="14" max="14" width="23" bestFit="1" customWidth="1"/>
  </cols>
  <sheetData>
    <row r="1" spans="1:10" ht="18.5" x14ac:dyDescent="0.45">
      <c r="A1" s="6" t="s">
        <v>48</v>
      </c>
    </row>
    <row r="3" spans="1:10" x14ac:dyDescent="0.35">
      <c r="A3" s="7" t="s">
        <v>20</v>
      </c>
      <c r="H3" s="7" t="s">
        <v>18</v>
      </c>
    </row>
    <row r="4" spans="1:10" x14ac:dyDescent="0.35">
      <c r="A4" t="s">
        <v>35</v>
      </c>
      <c r="H4" t="s">
        <v>36</v>
      </c>
    </row>
    <row r="6" spans="1:10" s="11" customFormat="1" ht="43.5" x14ac:dyDescent="0.35">
      <c r="A6" s="10" t="s">
        <v>14</v>
      </c>
      <c r="B6" s="10" t="s">
        <v>5</v>
      </c>
      <c r="C6" s="10" t="s">
        <v>11</v>
      </c>
      <c r="D6" s="10" t="s">
        <v>12</v>
      </c>
      <c r="E6" s="10" t="s">
        <v>16</v>
      </c>
      <c r="H6" s="10" t="s">
        <v>14</v>
      </c>
      <c r="I6" s="10" t="s">
        <v>5</v>
      </c>
      <c r="J6" s="10" t="s">
        <v>19</v>
      </c>
    </row>
    <row r="7" spans="1:10" x14ac:dyDescent="0.35">
      <c r="A7" s="9" t="s">
        <v>1</v>
      </c>
      <c r="B7" s="17">
        <v>1117925</v>
      </c>
      <c r="C7" s="17">
        <f>B7/$B$25*$B$26</f>
        <v>762221.59090909094</v>
      </c>
      <c r="D7" s="17">
        <f t="shared" ref="D7:E14" si="0">C7</f>
        <v>762221.59090909094</v>
      </c>
      <c r="E7" s="17">
        <f t="shared" si="0"/>
        <v>762221.59090909094</v>
      </c>
      <c r="H7" s="9" t="s">
        <v>1</v>
      </c>
      <c r="I7" s="17">
        <v>1117925</v>
      </c>
      <c r="J7" s="17">
        <f>I7/$B$25*$B$26</f>
        <v>762221.59090909094</v>
      </c>
    </row>
    <row r="8" spans="1:10" x14ac:dyDescent="0.35">
      <c r="A8" s="9" t="s">
        <v>26</v>
      </c>
      <c r="B8" s="17">
        <v>100000</v>
      </c>
      <c r="C8" s="17">
        <f>B8/$B$25*$B$26</f>
        <v>68181.818181818177</v>
      </c>
      <c r="D8" s="17">
        <f t="shared" ref="D8" si="1">C8</f>
        <v>68181.818181818177</v>
      </c>
      <c r="E8" s="17">
        <f t="shared" ref="E8" si="2">D8</f>
        <v>68181.818181818177</v>
      </c>
      <c r="H8" s="9" t="s">
        <v>26</v>
      </c>
      <c r="I8" s="17">
        <v>100000</v>
      </c>
      <c r="J8" s="17">
        <f>I8/$B$25*$B$26</f>
        <v>68181.818181818177</v>
      </c>
    </row>
    <row r="9" spans="1:10" x14ac:dyDescent="0.35">
      <c r="A9" s="9" t="s">
        <v>31</v>
      </c>
      <c r="B9" s="17">
        <v>20000</v>
      </c>
      <c r="C9" s="17">
        <f>$B$9/$B$25*$B$26</f>
        <v>13636.363636363636</v>
      </c>
      <c r="D9" s="17">
        <f t="shared" ref="D9:E9" si="3">$B$9/$B$25*$B$26</f>
        <v>13636.363636363636</v>
      </c>
      <c r="E9" s="17">
        <f t="shared" si="3"/>
        <v>13636.363636363636</v>
      </c>
      <c r="F9" s="27"/>
      <c r="H9" s="9" t="s">
        <v>31</v>
      </c>
      <c r="I9" s="17">
        <v>20000</v>
      </c>
      <c r="J9" s="17">
        <f t="shared" ref="J9" si="4">$B$9/$B$25*$B$26</f>
        <v>13636.363636363636</v>
      </c>
    </row>
    <row r="10" spans="1:10" x14ac:dyDescent="0.35">
      <c r="A10" s="9" t="s">
        <v>47</v>
      </c>
      <c r="B10" s="17">
        <f>B7/25</f>
        <v>44717</v>
      </c>
      <c r="C10" s="17">
        <f>$B$10/2</f>
        <v>22358.5</v>
      </c>
      <c r="D10" s="17">
        <f t="shared" ref="D10:E10" si="5">$B$10/2</f>
        <v>22358.5</v>
      </c>
      <c r="E10" s="17">
        <f t="shared" si="5"/>
        <v>22358.5</v>
      </c>
      <c r="F10" s="28"/>
      <c r="H10" s="9" t="s">
        <v>47</v>
      </c>
      <c r="I10" s="17">
        <f>B10</f>
        <v>44717</v>
      </c>
      <c r="J10" s="17">
        <f>C10</f>
        <v>22358.5</v>
      </c>
    </row>
    <row r="11" spans="1:10" x14ac:dyDescent="0.35">
      <c r="A11" s="9" t="s">
        <v>46</v>
      </c>
      <c r="B11" s="17">
        <f>(B7/25)-(B7/30)</f>
        <v>7452.8333333333358</v>
      </c>
      <c r="C11" s="17">
        <f>$B$11/2</f>
        <v>3726.4166666666679</v>
      </c>
      <c r="D11" s="17">
        <f t="shared" ref="D11:E11" si="6">$B$11/2</f>
        <v>3726.4166666666679</v>
      </c>
      <c r="E11" s="17">
        <f t="shared" si="6"/>
        <v>3726.4166666666679</v>
      </c>
      <c r="H11" s="9" t="s">
        <v>46</v>
      </c>
      <c r="I11" s="17">
        <f>B11</f>
        <v>7452.8333333333358</v>
      </c>
      <c r="J11" s="17">
        <f>C11</f>
        <v>3726.4166666666679</v>
      </c>
    </row>
    <row r="12" spans="1:10" x14ac:dyDescent="0.35">
      <c r="A12" s="9" t="s">
        <v>3</v>
      </c>
      <c r="B12" s="17">
        <f>(B7+B10+B11+B15+B16)*0.0833</f>
        <v>98437.380402666648</v>
      </c>
      <c r="C12" s="17">
        <f t="shared" ref="C12:E12" si="7">(C7+C10+C11+C15+C16)*0.0833</f>
        <v>66740.15229678787</v>
      </c>
      <c r="D12" s="17">
        <f t="shared" si="7"/>
        <v>73050.127296787876</v>
      </c>
      <c r="E12" s="17">
        <f t="shared" si="7"/>
        <v>69895.139796787873</v>
      </c>
      <c r="H12" s="9" t="s">
        <v>3</v>
      </c>
      <c r="I12" s="17">
        <f>(I7+I10)*0.0833</f>
        <v>96848.078599999993</v>
      </c>
      <c r="J12" s="17">
        <f>(J7+J10)*0.0833</f>
        <v>65355.521572727273</v>
      </c>
    </row>
    <row r="13" spans="1:10" x14ac:dyDescent="0.35">
      <c r="A13" s="9" t="s">
        <v>4</v>
      </c>
      <c r="B13" s="17">
        <f>(B8+B9+B17)*0.0833</f>
        <v>10095.959999999999</v>
      </c>
      <c r="C13" s="17">
        <f t="shared" ref="C13:E13" si="8">(C8+C9+C17)*0.0833</f>
        <v>6883.6090909090908</v>
      </c>
      <c r="D13" s="17">
        <f t="shared" si="8"/>
        <v>6883.6090909090908</v>
      </c>
      <c r="E13" s="17">
        <f t="shared" si="8"/>
        <v>6883.6090909090908</v>
      </c>
      <c r="H13" s="9" t="s">
        <v>4</v>
      </c>
      <c r="I13" s="17">
        <f t="shared" ref="I13:J13" si="9">(I8+I9)*0.0833</f>
        <v>9996</v>
      </c>
      <c r="J13" s="17">
        <f t="shared" si="9"/>
        <v>6815.454545454545</v>
      </c>
    </row>
    <row r="14" spans="1:10" x14ac:dyDescent="0.35">
      <c r="A14" s="9" t="s">
        <v>6</v>
      </c>
      <c r="B14" s="17"/>
      <c r="C14" s="17">
        <v>4379</v>
      </c>
      <c r="D14" s="17">
        <f t="shared" si="0"/>
        <v>4379</v>
      </c>
      <c r="E14" s="17">
        <f t="shared" si="0"/>
        <v>4379</v>
      </c>
      <c r="H14" s="9" t="s">
        <v>6</v>
      </c>
      <c r="I14" s="17"/>
      <c r="J14" s="17">
        <v>4379</v>
      </c>
    </row>
    <row r="15" spans="1:10" x14ac:dyDescent="0.35">
      <c r="A15" s="9" t="s">
        <v>8</v>
      </c>
      <c r="B15" s="17"/>
      <c r="C15" s="17">
        <f>F25</f>
        <v>5000</v>
      </c>
      <c r="D15" s="17">
        <f>F26</f>
        <v>80000</v>
      </c>
      <c r="E15" s="17">
        <f>F27</f>
        <v>42500</v>
      </c>
      <c r="H15" s="31" t="s">
        <v>22</v>
      </c>
      <c r="I15" s="32"/>
      <c r="J15" s="17">
        <f>SUM(J7:J14)</f>
        <v>946674.66551212128</v>
      </c>
    </row>
    <row r="16" spans="1:10" x14ac:dyDescent="0.35">
      <c r="A16" s="9" t="s">
        <v>28</v>
      </c>
      <c r="B16" s="17">
        <f>(B7+B10+B15)*0.01</f>
        <v>11626.42</v>
      </c>
      <c r="C16" s="17">
        <f t="shared" ref="C16:E16" si="10">(C7+C10+C15)*0.01</f>
        <v>7895.80090909091</v>
      </c>
      <c r="D16" s="17">
        <f t="shared" si="10"/>
        <v>8645.800909090909</v>
      </c>
      <c r="E16" s="17">
        <f t="shared" si="10"/>
        <v>8270.800909090909</v>
      </c>
      <c r="H16" s="31" t="s">
        <v>23</v>
      </c>
      <c r="I16" s="32"/>
      <c r="J16" s="17">
        <f>J15*0.336</f>
        <v>318082.6876120728</v>
      </c>
    </row>
    <row r="17" spans="1:10" x14ac:dyDescent="0.35">
      <c r="A17" s="13" t="s">
        <v>27</v>
      </c>
      <c r="B17" s="20">
        <f>(B8+B9)*0.01</f>
        <v>1200</v>
      </c>
      <c r="C17" s="20">
        <f>(C8+C9)*0.01</f>
        <v>818.18181818181813</v>
      </c>
      <c r="D17" s="20">
        <f t="shared" ref="D17:E17" si="11">(D8+D9)*0.01</f>
        <v>818.18181818181813</v>
      </c>
      <c r="E17" s="20">
        <f t="shared" si="11"/>
        <v>818.18181818181813</v>
      </c>
      <c r="H17" s="29" t="s">
        <v>24</v>
      </c>
      <c r="I17" s="30"/>
      <c r="J17" s="22">
        <f>(J15+J16)/$B$26</f>
        <v>10539.644609368284</v>
      </c>
    </row>
    <row r="18" spans="1:10" x14ac:dyDescent="0.35">
      <c r="A18" s="33" t="s">
        <v>22</v>
      </c>
      <c r="B18" s="34"/>
      <c r="C18" s="17">
        <f>SUM(C7:C17)</f>
        <v>961841.43350890907</v>
      </c>
      <c r="D18" s="17">
        <f>SUM(D7:D17)</f>
        <v>1043901.4085089092</v>
      </c>
      <c r="E18" s="17">
        <f>SUM(E7:E17)</f>
        <v>1002871.4210089091</v>
      </c>
    </row>
    <row r="19" spans="1:10" x14ac:dyDescent="0.35">
      <c r="A19" s="33" t="s">
        <v>23</v>
      </c>
      <c r="B19" s="34"/>
      <c r="C19" s="17">
        <f>C18*0.336</f>
        <v>323178.72165899345</v>
      </c>
      <c r="D19" s="17">
        <f t="shared" ref="D19:E19" si="12">D18*0.336</f>
        <v>350750.8732589935</v>
      </c>
      <c r="E19" s="17">
        <f t="shared" si="12"/>
        <v>336964.7974589935</v>
      </c>
    </row>
    <row r="20" spans="1:10" x14ac:dyDescent="0.35">
      <c r="A20" s="29" t="s">
        <v>24</v>
      </c>
      <c r="B20" s="30"/>
      <c r="C20" s="22">
        <f>(C18+C19)/$B$26</f>
        <v>10708.501293065854</v>
      </c>
      <c r="D20" s="22">
        <f t="shared" ref="D20:E20" si="13">(D18+D19)/$B$26</f>
        <v>11622.102348065855</v>
      </c>
      <c r="E20" s="22">
        <f t="shared" si="13"/>
        <v>11165.301820565855</v>
      </c>
    </row>
    <row r="21" spans="1:10" s="25" customFormat="1" x14ac:dyDescent="0.35">
      <c r="A21" s="23"/>
      <c r="B21" s="23"/>
      <c r="C21" s="24"/>
      <c r="D21" s="24"/>
      <c r="E21" s="24"/>
    </row>
    <row r="22" spans="1:10" s="25" customFormat="1" x14ac:dyDescent="0.35">
      <c r="A22" s="23"/>
      <c r="B22" s="23"/>
      <c r="C22" s="24"/>
      <c r="D22" s="24"/>
      <c r="E22" s="24"/>
    </row>
    <row r="24" spans="1:10" ht="15" thickBot="1" x14ac:dyDescent="0.4"/>
    <row r="25" spans="1:10" ht="15" thickBot="1" x14ac:dyDescent="0.4">
      <c r="A25" s="3" t="s">
        <v>2</v>
      </c>
      <c r="B25" s="4">
        <v>176</v>
      </c>
      <c r="C25" s="5" t="s">
        <v>0</v>
      </c>
      <c r="D25" s="8"/>
      <c r="E25" t="s">
        <v>9</v>
      </c>
      <c r="F25" s="16">
        <v>5000</v>
      </c>
    </row>
    <row r="26" spans="1:10" ht="15" thickBot="1" x14ac:dyDescent="0.4">
      <c r="A26" s="3" t="s">
        <v>7</v>
      </c>
      <c r="B26" s="4">
        <v>120</v>
      </c>
      <c r="C26" s="5" t="s">
        <v>0</v>
      </c>
      <c r="D26" s="8"/>
      <c r="E26" t="s">
        <v>10</v>
      </c>
      <c r="F26" s="16">
        <v>80000</v>
      </c>
    </row>
    <row r="27" spans="1:10" x14ac:dyDescent="0.35">
      <c r="E27" t="s">
        <v>30</v>
      </c>
      <c r="F27" s="16">
        <f>AVERAGE(F25:F26)</f>
        <v>42500</v>
      </c>
    </row>
    <row r="28" spans="1:10" x14ac:dyDescent="0.35">
      <c r="A28" t="s">
        <v>32</v>
      </c>
    </row>
  </sheetData>
  <mergeCells count="6">
    <mergeCell ref="A20:B20"/>
    <mergeCell ref="H15:I15"/>
    <mergeCell ref="H16:I16"/>
    <mergeCell ref="H17:I17"/>
    <mergeCell ref="A18:B18"/>
    <mergeCell ref="A19:B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zoomScale="110" zoomScaleNormal="110" workbookViewId="0">
      <selection activeCell="B10" sqref="B10"/>
    </sheetView>
  </sheetViews>
  <sheetFormatPr baseColWidth="10" defaultRowHeight="14.5" x14ac:dyDescent="0.35"/>
  <cols>
    <col min="1" max="1" width="38.90625" customWidth="1"/>
    <col min="2" max="5" width="12.81640625" bestFit="1" customWidth="1"/>
    <col min="8" max="8" width="36.90625" customWidth="1"/>
    <col min="9" max="9" width="12.81640625" bestFit="1" customWidth="1"/>
    <col min="10" max="10" width="10.08984375" customWidth="1"/>
    <col min="11" max="11" width="17.36328125" bestFit="1" customWidth="1"/>
    <col min="12" max="12" width="21.453125" bestFit="1" customWidth="1"/>
    <col min="13" max="13" width="21.81640625" bestFit="1" customWidth="1"/>
    <col min="14" max="14" width="23" bestFit="1" customWidth="1"/>
  </cols>
  <sheetData>
    <row r="1" spans="1:10" ht="18.5" x14ac:dyDescent="0.45">
      <c r="A1" s="6" t="s">
        <v>53</v>
      </c>
    </row>
    <row r="3" spans="1:10" x14ac:dyDescent="0.35">
      <c r="A3" s="7" t="s">
        <v>20</v>
      </c>
      <c r="H3" s="7" t="s">
        <v>18</v>
      </c>
    </row>
    <row r="4" spans="1:10" x14ac:dyDescent="0.35">
      <c r="A4" t="s">
        <v>35</v>
      </c>
      <c r="B4" s="27"/>
      <c r="C4" s="27"/>
      <c r="H4" t="s">
        <v>36</v>
      </c>
    </row>
    <row r="6" spans="1:10" s="11" customFormat="1" ht="43.5" x14ac:dyDescent="0.35">
      <c r="A6" s="10" t="s">
        <v>14</v>
      </c>
      <c r="B6" s="10" t="s">
        <v>5</v>
      </c>
      <c r="C6" s="10" t="s">
        <v>11</v>
      </c>
      <c r="D6" s="10" t="s">
        <v>12</v>
      </c>
      <c r="E6" s="10" t="s">
        <v>16</v>
      </c>
      <c r="H6" s="10" t="s">
        <v>14</v>
      </c>
      <c r="I6" s="10" t="s">
        <v>5</v>
      </c>
      <c r="J6" s="10" t="s">
        <v>19</v>
      </c>
    </row>
    <row r="7" spans="1:10" x14ac:dyDescent="0.35">
      <c r="A7" s="9" t="s">
        <v>1</v>
      </c>
      <c r="B7" s="17">
        <v>1094044</v>
      </c>
      <c r="C7" s="17">
        <f>B7/$B$25*$B$26</f>
        <v>745939.09090909094</v>
      </c>
      <c r="D7" s="17">
        <f t="shared" ref="D7:E14" si="0">C7</f>
        <v>745939.09090909094</v>
      </c>
      <c r="E7" s="17">
        <f t="shared" si="0"/>
        <v>745939.09090909094</v>
      </c>
      <c r="H7" s="9" t="s">
        <v>1</v>
      </c>
      <c r="I7" s="17">
        <f>B7</f>
        <v>1094044</v>
      </c>
      <c r="J7" s="17">
        <f>I7/$B$25*$B$26</f>
        <v>745939.09090909094</v>
      </c>
    </row>
    <row r="8" spans="1:10" x14ac:dyDescent="0.35">
      <c r="A8" s="9" t="s">
        <v>26</v>
      </c>
      <c r="B8" s="17">
        <v>60000</v>
      </c>
      <c r="C8" s="17">
        <f>B8/$B$25*$B$26</f>
        <v>40909.090909090912</v>
      </c>
      <c r="D8" s="17">
        <f t="shared" si="0"/>
        <v>40909.090909090912</v>
      </c>
      <c r="E8" s="17">
        <f t="shared" si="0"/>
        <v>40909.090909090912</v>
      </c>
      <c r="H8" s="9" t="s">
        <v>26</v>
      </c>
      <c r="I8" s="17">
        <f t="shared" ref="I8:I9" si="1">B8</f>
        <v>60000</v>
      </c>
      <c r="J8" s="17">
        <f>I8/$B$25*$B$26</f>
        <v>40909.090909090912</v>
      </c>
    </row>
    <row r="9" spans="1:10" x14ac:dyDescent="0.35">
      <c r="A9" s="9" t="s">
        <v>31</v>
      </c>
      <c r="B9" s="17">
        <v>40000</v>
      </c>
      <c r="C9" s="17">
        <f>$B$9/$B$25*$B$26</f>
        <v>27272.727272727272</v>
      </c>
      <c r="D9" s="17">
        <f t="shared" ref="D9:E9" si="2">$B$9/$B$25*$B$26</f>
        <v>27272.727272727272</v>
      </c>
      <c r="E9" s="17">
        <f t="shared" si="2"/>
        <v>27272.727272727272</v>
      </c>
      <c r="F9" s="27"/>
      <c r="H9" s="9" t="s">
        <v>31</v>
      </c>
      <c r="I9" s="17">
        <f t="shared" si="1"/>
        <v>40000</v>
      </c>
      <c r="J9" s="17">
        <f t="shared" ref="J9" si="3">$B$9/$B$25*$B$26</f>
        <v>27272.727272727272</v>
      </c>
    </row>
    <row r="10" spans="1:10" x14ac:dyDescent="0.35">
      <c r="A10" s="9" t="s">
        <v>47</v>
      </c>
      <c r="B10" s="17">
        <f>B7/25</f>
        <v>43761.760000000002</v>
      </c>
      <c r="C10" s="17">
        <f>$B$10/2</f>
        <v>21880.880000000001</v>
      </c>
      <c r="D10" s="17">
        <f t="shared" ref="D10:E10" si="4">$B$10/2</f>
        <v>21880.880000000001</v>
      </c>
      <c r="E10" s="17">
        <f t="shared" si="4"/>
        <v>21880.880000000001</v>
      </c>
      <c r="F10" s="28"/>
      <c r="H10" s="9" t="s">
        <v>47</v>
      </c>
      <c r="I10" s="17">
        <f>B10</f>
        <v>43761.760000000002</v>
      </c>
      <c r="J10" s="17">
        <f>C10</f>
        <v>21880.880000000001</v>
      </c>
    </row>
    <row r="11" spans="1:10" x14ac:dyDescent="0.35">
      <c r="A11" s="9" t="s">
        <v>46</v>
      </c>
      <c r="B11" s="17">
        <f>C11*2</f>
        <v>0</v>
      </c>
      <c r="C11" s="17"/>
      <c r="D11" s="17"/>
      <c r="E11" s="17"/>
      <c r="H11" s="9" t="s">
        <v>46</v>
      </c>
      <c r="I11" s="17">
        <f>J11*2</f>
        <v>0</v>
      </c>
      <c r="J11" s="17"/>
    </row>
    <row r="12" spans="1:10" x14ac:dyDescent="0.35">
      <c r="A12" s="9" t="s">
        <v>3</v>
      </c>
      <c r="B12" s="17">
        <f>(B7+B10+B11+B15+B16)*0.0833</f>
        <v>95727.012006079996</v>
      </c>
      <c r="C12" s="17">
        <f t="shared" ref="C12:E12" si="5">(C7+C10+C11+C15+C16)*0.0833</f>
        <v>65019.662612494547</v>
      </c>
      <c r="D12" s="17">
        <f t="shared" si="5"/>
        <v>69646.977612494549</v>
      </c>
      <c r="E12" s="17">
        <f t="shared" si="5"/>
        <v>67333.320112494548</v>
      </c>
      <c r="H12" s="9" t="s">
        <v>3</v>
      </c>
      <c r="I12" s="17">
        <f>(I7+I10)*0.0833</f>
        <v>94779.219807999994</v>
      </c>
      <c r="J12" s="17">
        <f>(J7+J10)*0.0833</f>
        <v>63959.403576727273</v>
      </c>
    </row>
    <row r="13" spans="1:10" x14ac:dyDescent="0.35">
      <c r="A13" s="9" t="s">
        <v>4</v>
      </c>
      <c r="B13" s="17">
        <f>(B8+B9+B17)*0.0833</f>
        <v>8413.2999999999993</v>
      </c>
      <c r="C13" s="17">
        <f t="shared" ref="C13:E13" si="6">(C8+C9+C17)*0.0833</f>
        <v>5736.3409090909081</v>
      </c>
      <c r="D13" s="17">
        <f t="shared" si="6"/>
        <v>5736.3409090909081</v>
      </c>
      <c r="E13" s="17">
        <f t="shared" si="6"/>
        <v>5736.3409090909081</v>
      </c>
      <c r="H13" s="9" t="s">
        <v>4</v>
      </c>
      <c r="I13" s="17">
        <f t="shared" ref="I13:J13" si="7">(I8+I9)*0.0833</f>
        <v>8330</v>
      </c>
      <c r="J13" s="17">
        <f t="shared" si="7"/>
        <v>5679.545454545454</v>
      </c>
    </row>
    <row r="14" spans="1:10" x14ac:dyDescent="0.35">
      <c r="A14" s="9" t="s">
        <v>6</v>
      </c>
      <c r="B14" s="17"/>
      <c r="C14" s="17">
        <v>4379</v>
      </c>
      <c r="D14" s="17">
        <f t="shared" si="0"/>
        <v>4379</v>
      </c>
      <c r="E14" s="17">
        <f t="shared" si="0"/>
        <v>4379</v>
      </c>
      <c r="H14" s="9" t="s">
        <v>6</v>
      </c>
      <c r="I14" s="17"/>
      <c r="J14" s="17">
        <v>4379</v>
      </c>
    </row>
    <row r="15" spans="1:10" x14ac:dyDescent="0.35">
      <c r="A15" s="9" t="s">
        <v>8</v>
      </c>
      <c r="B15" s="17"/>
      <c r="C15" s="17">
        <f>F25</f>
        <v>5000</v>
      </c>
      <c r="D15" s="17">
        <f>F26</f>
        <v>60000</v>
      </c>
      <c r="E15" s="17">
        <f>F27</f>
        <v>32500</v>
      </c>
      <c r="H15" s="31" t="s">
        <v>22</v>
      </c>
      <c r="I15" s="32"/>
      <c r="J15" s="17">
        <f>SUM(J7:J14)</f>
        <v>910019.73812218185</v>
      </c>
    </row>
    <row r="16" spans="1:10" x14ac:dyDescent="0.35">
      <c r="A16" s="9" t="s">
        <v>28</v>
      </c>
      <c r="B16" s="17">
        <f>(B7+B10+B15)*0.01</f>
        <v>11378.0576</v>
      </c>
      <c r="C16" s="17">
        <f t="shared" ref="C16:E16" si="8">(C7+C10+C15)*0.01</f>
        <v>7728.1997090909099</v>
      </c>
      <c r="D16" s="17">
        <f t="shared" si="8"/>
        <v>8278.1997090909099</v>
      </c>
      <c r="E16" s="17">
        <f t="shared" si="8"/>
        <v>8003.1997090909099</v>
      </c>
      <c r="H16" s="31" t="s">
        <v>23</v>
      </c>
      <c r="I16" s="32"/>
      <c r="J16" s="17">
        <f>J15*0.336</f>
        <v>305766.63200905314</v>
      </c>
    </row>
    <row r="17" spans="1:10" x14ac:dyDescent="0.35">
      <c r="A17" s="13" t="s">
        <v>27</v>
      </c>
      <c r="B17" s="20">
        <f>(B8+B9)*0.01</f>
        <v>1000</v>
      </c>
      <c r="C17" s="20">
        <f>(C8+C9)*0.01</f>
        <v>681.81818181818176</v>
      </c>
      <c r="D17" s="20">
        <f t="shared" ref="D17:E17" si="9">(D8+D9)*0.01</f>
        <v>681.81818181818176</v>
      </c>
      <c r="E17" s="20">
        <f t="shared" si="9"/>
        <v>681.81818181818176</v>
      </c>
      <c r="H17" s="29" t="s">
        <v>24</v>
      </c>
      <c r="I17" s="30"/>
      <c r="J17" s="22">
        <f>(J15+J16)/$B$26</f>
        <v>10131.55308442696</v>
      </c>
    </row>
    <row r="18" spans="1:10" x14ac:dyDescent="0.35">
      <c r="A18" s="33" t="s">
        <v>22</v>
      </c>
      <c r="B18" s="34"/>
      <c r="C18" s="17">
        <f>SUM(C7:C17)</f>
        <v>924546.81050340377</v>
      </c>
      <c r="D18" s="17">
        <f>SUM(D7:D17)</f>
        <v>984724.12550340383</v>
      </c>
      <c r="E18" s="17">
        <f>SUM(E7:E17)</f>
        <v>954635.46800340374</v>
      </c>
    </row>
    <row r="19" spans="1:10" x14ac:dyDescent="0.35">
      <c r="A19" s="33" t="s">
        <v>23</v>
      </c>
      <c r="B19" s="34"/>
      <c r="C19" s="17">
        <f>C18*0.336</f>
        <v>310647.72832914366</v>
      </c>
      <c r="D19" s="17">
        <f t="shared" ref="D19:E19" si="10">D18*0.336</f>
        <v>330867.3061691437</v>
      </c>
      <c r="E19" s="17">
        <f t="shared" si="10"/>
        <v>320757.51724914368</v>
      </c>
    </row>
    <row r="20" spans="1:10" x14ac:dyDescent="0.35">
      <c r="A20" s="29" t="s">
        <v>24</v>
      </c>
      <c r="B20" s="30"/>
      <c r="C20" s="22">
        <f>(C18+C19)/$B$26</f>
        <v>10293.287823604562</v>
      </c>
      <c r="D20" s="22">
        <f t="shared" ref="D20:E20" si="11">(D18+D19)/$B$26</f>
        <v>10963.261930604562</v>
      </c>
      <c r="E20" s="22">
        <f t="shared" si="11"/>
        <v>10628.274877104563</v>
      </c>
    </row>
    <row r="21" spans="1:10" s="25" customFormat="1" x14ac:dyDescent="0.35">
      <c r="A21" s="23"/>
      <c r="B21" s="23"/>
      <c r="C21" s="24"/>
      <c r="D21" s="24"/>
      <c r="E21" s="24"/>
    </row>
    <row r="22" spans="1:10" s="25" customFormat="1" x14ac:dyDescent="0.35">
      <c r="A22" s="23"/>
      <c r="B22" s="23"/>
      <c r="C22" s="24"/>
      <c r="D22" s="24"/>
      <c r="E22" s="24"/>
    </row>
    <row r="24" spans="1:10" ht="15" thickBot="1" x14ac:dyDescent="0.4"/>
    <row r="25" spans="1:10" ht="15" thickBot="1" x14ac:dyDescent="0.4">
      <c r="A25" s="3" t="s">
        <v>2</v>
      </c>
      <c r="B25" s="4">
        <v>176</v>
      </c>
      <c r="C25" s="5" t="s">
        <v>0</v>
      </c>
      <c r="D25" s="8"/>
      <c r="E25" t="s">
        <v>9</v>
      </c>
      <c r="F25" s="16">
        <v>5000</v>
      </c>
    </row>
    <row r="26" spans="1:10" ht="15" thickBot="1" x14ac:dyDescent="0.4">
      <c r="A26" s="3" t="s">
        <v>7</v>
      </c>
      <c r="B26" s="4">
        <v>120</v>
      </c>
      <c r="C26" s="5" t="s">
        <v>0</v>
      </c>
      <c r="D26" s="8"/>
      <c r="E26" t="s">
        <v>10</v>
      </c>
      <c r="F26" s="16">
        <v>60000</v>
      </c>
    </row>
    <row r="27" spans="1:10" x14ac:dyDescent="0.35">
      <c r="E27" t="s">
        <v>30</v>
      </c>
      <c r="F27" s="16">
        <f>AVERAGE(F25:F26)</f>
        <v>32500</v>
      </c>
    </row>
    <row r="28" spans="1:10" x14ac:dyDescent="0.35">
      <c r="A28" t="s">
        <v>32</v>
      </c>
    </row>
  </sheetData>
  <mergeCells count="6">
    <mergeCell ref="A20:B20"/>
    <mergeCell ref="H15:I15"/>
    <mergeCell ref="H16:I16"/>
    <mergeCell ref="H17:I17"/>
    <mergeCell ref="A18:B18"/>
    <mergeCell ref="A19:B1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opLeftCell="A5" zoomScale="110" zoomScaleNormal="110" workbookViewId="0">
      <selection activeCell="B11" sqref="B11"/>
    </sheetView>
  </sheetViews>
  <sheetFormatPr baseColWidth="10" defaultRowHeight="14.5" x14ac:dyDescent="0.35"/>
  <cols>
    <col min="1" max="1" width="38.90625" customWidth="1"/>
    <col min="2" max="5" width="12.81640625" bestFit="1" customWidth="1"/>
    <col min="8" max="8" width="36.90625" customWidth="1"/>
    <col min="9" max="9" width="12.81640625" bestFit="1" customWidth="1"/>
    <col min="10" max="10" width="10.08984375" customWidth="1"/>
    <col min="11" max="11" width="17.36328125" bestFit="1" customWidth="1"/>
    <col min="12" max="12" width="21.453125" bestFit="1" customWidth="1"/>
    <col min="13" max="13" width="21.81640625" bestFit="1" customWidth="1"/>
    <col min="14" max="14" width="23" bestFit="1" customWidth="1"/>
  </cols>
  <sheetData>
    <row r="1" spans="1:10" ht="18.5" x14ac:dyDescent="0.45">
      <c r="A1" s="6" t="s">
        <v>45</v>
      </c>
    </row>
    <row r="3" spans="1:10" x14ac:dyDescent="0.35">
      <c r="A3" s="7" t="s">
        <v>20</v>
      </c>
      <c r="H3" s="7" t="s">
        <v>18</v>
      </c>
    </row>
    <row r="4" spans="1:10" x14ac:dyDescent="0.35">
      <c r="A4" t="s">
        <v>35</v>
      </c>
      <c r="H4" t="s">
        <v>36</v>
      </c>
    </row>
    <row r="6" spans="1:10" s="11" customFormat="1" ht="43.5" x14ac:dyDescent="0.35">
      <c r="A6" s="10" t="s">
        <v>14</v>
      </c>
      <c r="B6" s="10" t="s">
        <v>5</v>
      </c>
      <c r="C6" s="10" t="s">
        <v>11</v>
      </c>
      <c r="D6" s="10" t="s">
        <v>12</v>
      </c>
      <c r="E6" s="10" t="s">
        <v>16</v>
      </c>
      <c r="H6" s="10" t="s">
        <v>14</v>
      </c>
      <c r="I6" s="10" t="s">
        <v>5</v>
      </c>
      <c r="J6" s="10" t="s">
        <v>19</v>
      </c>
    </row>
    <row r="7" spans="1:10" x14ac:dyDescent="0.35">
      <c r="A7" s="9" t="s">
        <v>1</v>
      </c>
      <c r="B7" s="17">
        <v>1094044</v>
      </c>
      <c r="C7" s="17">
        <f>B7/$B$25*$B$26</f>
        <v>745939.09090909094</v>
      </c>
      <c r="D7" s="17">
        <f t="shared" ref="D7:E14" si="0">C7</f>
        <v>745939.09090909094</v>
      </c>
      <c r="E7" s="17">
        <f t="shared" si="0"/>
        <v>745939.09090909094</v>
      </c>
      <c r="H7" s="9" t="s">
        <v>1</v>
      </c>
      <c r="I7" s="17">
        <f>B7</f>
        <v>1094044</v>
      </c>
      <c r="J7" s="17">
        <f>I7/$B$25*$B$26</f>
        <v>745939.09090909094</v>
      </c>
    </row>
    <row r="8" spans="1:10" x14ac:dyDescent="0.35">
      <c r="A8" s="9" t="s">
        <v>26</v>
      </c>
      <c r="B8" s="17"/>
      <c r="C8" s="17"/>
      <c r="D8" s="17"/>
      <c r="E8" s="17"/>
      <c r="H8" s="9" t="s">
        <v>26</v>
      </c>
      <c r="I8" s="17"/>
      <c r="J8" s="17"/>
    </row>
    <row r="9" spans="1:10" x14ac:dyDescent="0.35">
      <c r="A9" s="9" t="s">
        <v>31</v>
      </c>
      <c r="B9" s="17">
        <v>40000</v>
      </c>
      <c r="C9" s="17">
        <f>$B$9/$B$25*$B$26</f>
        <v>27272.727272727272</v>
      </c>
      <c r="D9" s="17">
        <f t="shared" ref="D9:E9" si="1">$B$9/$B$25*$B$26</f>
        <v>27272.727272727272</v>
      </c>
      <c r="E9" s="17">
        <f t="shared" si="1"/>
        <v>27272.727272727272</v>
      </c>
      <c r="H9" s="9" t="s">
        <v>31</v>
      </c>
      <c r="I9" s="17">
        <v>40000</v>
      </c>
      <c r="J9" s="17">
        <f t="shared" ref="J9" si="2">$B$9/$B$25*$B$26</f>
        <v>27272.727272727272</v>
      </c>
    </row>
    <row r="10" spans="1:10" x14ac:dyDescent="0.35">
      <c r="A10" s="9" t="s">
        <v>47</v>
      </c>
      <c r="B10" s="17">
        <f>B7/25</f>
        <v>43761.760000000002</v>
      </c>
      <c r="C10" s="17">
        <f>B10/2</f>
        <v>21880.880000000001</v>
      </c>
      <c r="D10" s="17">
        <v>21880.880000000001</v>
      </c>
      <c r="E10" s="17">
        <v>21880.880000000001</v>
      </c>
      <c r="H10" s="9" t="s">
        <v>47</v>
      </c>
      <c r="I10" s="17">
        <f>J10*B25/B26</f>
        <v>32091.957333333336</v>
      </c>
      <c r="J10" s="17">
        <v>21880.880000000001</v>
      </c>
    </row>
    <row r="11" spans="1:10" x14ac:dyDescent="0.35">
      <c r="A11" s="9" t="s">
        <v>46</v>
      </c>
      <c r="B11" s="17">
        <f>(B7/25)-(B7/30)</f>
        <v>7293.6266666666706</v>
      </c>
      <c r="C11" s="17">
        <v>3474.79</v>
      </c>
      <c r="D11" s="17">
        <v>3474.79</v>
      </c>
      <c r="E11" s="17">
        <v>3474.79</v>
      </c>
      <c r="H11" s="9" t="s">
        <v>46</v>
      </c>
      <c r="I11" s="17">
        <f>J11*2</f>
        <v>6949.58</v>
      </c>
      <c r="J11" s="17">
        <v>3474.79</v>
      </c>
    </row>
    <row r="12" spans="1:10" x14ac:dyDescent="0.35">
      <c r="A12" s="9" t="s">
        <v>3</v>
      </c>
      <c r="B12" s="17">
        <f>(B7+B10+B15+B16)*0.0833</f>
        <v>95733.087597093341</v>
      </c>
      <c r="C12" s="17">
        <f t="shared" ref="C12:E12" si="3">(C7+C10+C15+C16)*0.0833</f>
        <v>65022.557112564551</v>
      </c>
      <c r="D12" s="17">
        <f t="shared" si="3"/>
        <v>70911.867112564549</v>
      </c>
      <c r="E12" s="17">
        <f t="shared" si="3"/>
        <v>67967.21211256455</v>
      </c>
      <c r="H12" s="9" t="s">
        <v>3</v>
      </c>
      <c r="I12" s="17">
        <f>(I7+I10)*0.0833</f>
        <v>93807.125245866671</v>
      </c>
      <c r="J12" s="17">
        <f>(J7+J10)*0.0833</f>
        <v>63959.403576727273</v>
      </c>
    </row>
    <row r="13" spans="1:10" x14ac:dyDescent="0.35">
      <c r="A13" s="9" t="s">
        <v>4</v>
      </c>
      <c r="B13" s="17">
        <f>(B8+B9+B17)*0.0833</f>
        <v>3365.32</v>
      </c>
      <c r="C13" s="17">
        <f t="shared" ref="C13:E13" si="4">(C8+C9+C17)*0.0833</f>
        <v>2294.5363636363636</v>
      </c>
      <c r="D13" s="17">
        <f t="shared" si="4"/>
        <v>2294.5363636363636</v>
      </c>
      <c r="E13" s="17">
        <f t="shared" si="4"/>
        <v>2294.5363636363636</v>
      </c>
      <c r="H13" s="9" t="s">
        <v>4</v>
      </c>
      <c r="I13" s="17">
        <f t="shared" ref="I13:J13" si="5">(I8+I9)*0.0833</f>
        <v>3332</v>
      </c>
      <c r="J13" s="17">
        <f t="shared" si="5"/>
        <v>2271.8181818181815</v>
      </c>
    </row>
    <row r="14" spans="1:10" x14ac:dyDescent="0.35">
      <c r="A14" s="9" t="s">
        <v>6</v>
      </c>
      <c r="B14" s="17"/>
      <c r="C14" s="17">
        <v>4379</v>
      </c>
      <c r="D14" s="17">
        <f t="shared" si="0"/>
        <v>4379</v>
      </c>
      <c r="E14" s="17">
        <f t="shared" si="0"/>
        <v>4379</v>
      </c>
      <c r="H14" s="9" t="s">
        <v>6</v>
      </c>
      <c r="I14" s="17"/>
      <c r="J14" s="17">
        <v>4379</v>
      </c>
    </row>
    <row r="15" spans="1:10" x14ac:dyDescent="0.35">
      <c r="A15" s="9" t="s">
        <v>8</v>
      </c>
      <c r="B15" s="17"/>
      <c r="C15" s="17">
        <f>F25</f>
        <v>5000</v>
      </c>
      <c r="D15" s="17">
        <f>F26</f>
        <v>75000</v>
      </c>
      <c r="E15" s="17">
        <f>F27</f>
        <v>40000</v>
      </c>
      <c r="H15" s="31" t="s">
        <v>22</v>
      </c>
      <c r="I15" s="32"/>
      <c r="J15" s="17">
        <f>SUM(J7:J14)</f>
        <v>869177.70994036377</v>
      </c>
    </row>
    <row r="16" spans="1:10" x14ac:dyDescent="0.35">
      <c r="A16" s="9" t="s">
        <v>28</v>
      </c>
      <c r="B16" s="17">
        <f>(B7+B10+B11+B15)*0.01</f>
        <v>11450.993866666668</v>
      </c>
      <c r="C16" s="17">
        <f>(C7+C10+C11+C15)*0.01</f>
        <v>7762.9476090909102</v>
      </c>
      <c r="D16" s="17">
        <f>(D7+D10+D11+D15)*0.01</f>
        <v>8462.9476090909102</v>
      </c>
      <c r="E16" s="17">
        <f>(E7+E10+E11+E15)*0.01</f>
        <v>8112.9476090909102</v>
      </c>
      <c r="H16" s="31" t="s">
        <v>23</v>
      </c>
      <c r="I16" s="32"/>
      <c r="J16" s="17">
        <f>J15*0.336</f>
        <v>292043.71053996222</v>
      </c>
    </row>
    <row r="17" spans="1:10" x14ac:dyDescent="0.35">
      <c r="A17" s="13" t="s">
        <v>27</v>
      </c>
      <c r="B17" s="20">
        <f>(B8+B9)*0.01</f>
        <v>400</v>
      </c>
      <c r="C17" s="20">
        <f>(C8+C9)*0.01</f>
        <v>272.72727272727275</v>
      </c>
      <c r="D17" s="20">
        <f t="shared" ref="D17:E17" si="6">(D8+D9)*0.01</f>
        <v>272.72727272727275</v>
      </c>
      <c r="E17" s="20">
        <f t="shared" si="6"/>
        <v>272.72727272727275</v>
      </c>
      <c r="H17" s="29" t="s">
        <v>24</v>
      </c>
      <c r="I17" s="30"/>
      <c r="J17" s="22">
        <f>(J15+J16)/$B$26</f>
        <v>9676.8451706693832</v>
      </c>
    </row>
    <row r="18" spans="1:10" x14ac:dyDescent="0.35">
      <c r="A18" s="33" t="s">
        <v>22</v>
      </c>
      <c r="B18" s="34"/>
      <c r="C18" s="17">
        <f>SUM(C7:C17)</f>
        <v>883299.25653983746</v>
      </c>
      <c r="D18" s="17">
        <f>SUM(D7:D17)</f>
        <v>959888.5665398374</v>
      </c>
      <c r="E18" s="17">
        <f>SUM(E7:E17)</f>
        <v>921593.91153983749</v>
      </c>
    </row>
    <row r="19" spans="1:10" x14ac:dyDescent="0.35">
      <c r="A19" s="33" t="s">
        <v>23</v>
      </c>
      <c r="B19" s="34"/>
      <c r="C19" s="17">
        <f>C18*0.336</f>
        <v>296788.55019738543</v>
      </c>
      <c r="D19" s="17">
        <f t="shared" ref="D19:E19" si="7">D18*0.336</f>
        <v>322522.55835738539</v>
      </c>
      <c r="E19" s="17">
        <f t="shared" si="7"/>
        <v>309655.55427738541</v>
      </c>
    </row>
    <row r="20" spans="1:10" x14ac:dyDescent="0.35">
      <c r="A20" s="29" t="s">
        <v>24</v>
      </c>
      <c r="B20" s="30"/>
      <c r="C20" s="22">
        <f>(C18+C19)/$B$26</f>
        <v>9834.065056143525</v>
      </c>
      <c r="D20" s="22">
        <f t="shared" ref="D20:E20" si="8">(D18+D19)/$B$26</f>
        <v>10686.759374143523</v>
      </c>
      <c r="E20" s="22">
        <f t="shared" si="8"/>
        <v>10260.412215143524</v>
      </c>
    </row>
    <row r="21" spans="1:10" s="25" customFormat="1" x14ac:dyDescent="0.35">
      <c r="A21" s="23"/>
      <c r="B21" s="23"/>
      <c r="C21" s="24"/>
      <c r="D21" s="24"/>
      <c r="E21" s="24"/>
    </row>
    <row r="22" spans="1:10" s="25" customFormat="1" x14ac:dyDescent="0.35">
      <c r="A22" s="23"/>
      <c r="B22" s="23"/>
      <c r="C22" s="24"/>
      <c r="D22" s="24"/>
      <c r="E22" s="24"/>
    </row>
    <row r="24" spans="1:10" ht="15" thickBot="1" x14ac:dyDescent="0.4"/>
    <row r="25" spans="1:10" ht="15" thickBot="1" x14ac:dyDescent="0.4">
      <c r="A25" s="3" t="s">
        <v>2</v>
      </c>
      <c r="B25" s="4">
        <v>176</v>
      </c>
      <c r="C25" s="5" t="s">
        <v>0</v>
      </c>
      <c r="D25" s="8"/>
      <c r="E25" t="s">
        <v>9</v>
      </c>
      <c r="F25" s="16">
        <v>5000</v>
      </c>
    </row>
    <row r="26" spans="1:10" ht="15" thickBot="1" x14ac:dyDescent="0.4">
      <c r="A26" s="3" t="s">
        <v>7</v>
      </c>
      <c r="B26" s="4">
        <v>120</v>
      </c>
      <c r="C26" s="5" t="s">
        <v>0</v>
      </c>
      <c r="D26" s="8"/>
      <c r="E26" t="s">
        <v>10</v>
      </c>
      <c r="F26" s="16">
        <v>75000</v>
      </c>
    </row>
    <row r="27" spans="1:10" x14ac:dyDescent="0.35">
      <c r="E27" t="s">
        <v>30</v>
      </c>
      <c r="F27" s="16">
        <f>AVERAGE(F25:F26)</f>
        <v>40000</v>
      </c>
    </row>
    <row r="28" spans="1:10" x14ac:dyDescent="0.35">
      <c r="A28" t="s">
        <v>32</v>
      </c>
    </row>
  </sheetData>
  <mergeCells count="6">
    <mergeCell ref="A20:B20"/>
    <mergeCell ref="H15:I15"/>
    <mergeCell ref="H16:I16"/>
    <mergeCell ref="H17:I17"/>
    <mergeCell ref="A18:B18"/>
    <mergeCell ref="A19:B1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120" zoomScaleNormal="120" workbookViewId="0">
      <selection activeCell="A10" sqref="A10"/>
    </sheetView>
  </sheetViews>
  <sheetFormatPr baseColWidth="10" defaultRowHeight="14.5" x14ac:dyDescent="0.35"/>
  <cols>
    <col min="1" max="1" width="38.90625" customWidth="1"/>
    <col min="2" max="5" width="12.81640625" bestFit="1" customWidth="1"/>
    <col min="8" max="8" width="36.90625" customWidth="1"/>
    <col min="9" max="9" width="12.81640625" bestFit="1" customWidth="1"/>
    <col min="10" max="10" width="10.08984375" customWidth="1"/>
    <col min="11" max="11" width="17.36328125" bestFit="1" customWidth="1"/>
    <col min="12" max="12" width="21.453125" bestFit="1" customWidth="1"/>
    <col min="13" max="13" width="21.81640625" bestFit="1" customWidth="1"/>
    <col min="14" max="14" width="23" bestFit="1" customWidth="1"/>
  </cols>
  <sheetData>
    <row r="1" spans="1:10" ht="18.5" x14ac:dyDescent="0.45">
      <c r="A1" s="6" t="s">
        <v>44</v>
      </c>
    </row>
    <row r="3" spans="1:10" x14ac:dyDescent="0.35">
      <c r="A3" s="7" t="s">
        <v>20</v>
      </c>
      <c r="H3" s="7" t="s">
        <v>18</v>
      </c>
    </row>
    <row r="4" spans="1:10" x14ac:dyDescent="0.35">
      <c r="A4" t="s">
        <v>35</v>
      </c>
      <c r="H4" t="s">
        <v>36</v>
      </c>
    </row>
    <row r="6" spans="1:10" s="11" customFormat="1" ht="43.5" x14ac:dyDescent="0.35">
      <c r="A6" s="10" t="s">
        <v>14</v>
      </c>
      <c r="B6" s="10" t="s">
        <v>5</v>
      </c>
      <c r="C6" s="10" t="s">
        <v>11</v>
      </c>
      <c r="D6" s="10" t="s">
        <v>12</v>
      </c>
      <c r="E6" s="10" t="s">
        <v>16</v>
      </c>
      <c r="H6" s="10" t="s">
        <v>14</v>
      </c>
      <c r="I6" s="10" t="s">
        <v>5</v>
      </c>
      <c r="J6" s="10" t="s">
        <v>19</v>
      </c>
    </row>
    <row r="7" spans="1:10" x14ac:dyDescent="0.35">
      <c r="A7" s="9" t="s">
        <v>1</v>
      </c>
      <c r="B7" s="17">
        <v>1083723</v>
      </c>
      <c r="C7" s="17">
        <f>B7/$B$24*$B$25</f>
        <v>738902.04545454541</v>
      </c>
      <c r="D7" s="17">
        <f t="shared" ref="D7:E13" si="0">C7</f>
        <v>738902.04545454541</v>
      </c>
      <c r="E7" s="17">
        <f t="shared" si="0"/>
        <v>738902.04545454541</v>
      </c>
      <c r="H7" s="9" t="s">
        <v>1</v>
      </c>
      <c r="I7" s="17">
        <f>B7</f>
        <v>1083723</v>
      </c>
      <c r="J7" s="17">
        <f>I7/$B$24*$B$25</f>
        <v>738902.04545454541</v>
      </c>
    </row>
    <row r="8" spans="1:10" x14ac:dyDescent="0.35">
      <c r="A8" s="9" t="s">
        <v>26</v>
      </c>
      <c r="B8" s="17"/>
      <c r="C8" s="17"/>
      <c r="D8" s="17"/>
      <c r="E8" s="17"/>
      <c r="H8" s="9" t="s">
        <v>26</v>
      </c>
      <c r="I8" s="17"/>
      <c r="J8" s="17"/>
    </row>
    <row r="9" spans="1:10" x14ac:dyDescent="0.35">
      <c r="A9" s="9" t="s">
        <v>31</v>
      </c>
      <c r="B9" s="17">
        <v>40000</v>
      </c>
      <c r="C9" s="17">
        <f>$B$9/$B$24*$B$25</f>
        <v>27272.727272727272</v>
      </c>
      <c r="D9" s="17">
        <f t="shared" ref="D9:E9" si="1">$B$9/$B$24*$B$25</f>
        <v>27272.727272727272</v>
      </c>
      <c r="E9" s="17">
        <f t="shared" si="1"/>
        <v>27272.727272727272</v>
      </c>
      <c r="H9" s="9" t="s">
        <v>31</v>
      </c>
      <c r="I9" s="17">
        <v>40000</v>
      </c>
      <c r="J9" s="17">
        <f t="shared" ref="J9" si="2">$B$9/$B$24*$B$25</f>
        <v>27272.727272727272</v>
      </c>
    </row>
    <row r="10" spans="1:10" x14ac:dyDescent="0.35">
      <c r="A10" s="9" t="s">
        <v>47</v>
      </c>
      <c r="B10" s="17">
        <f>C10/B25*B24</f>
        <v>31789.207999999999</v>
      </c>
      <c r="C10" s="17">
        <v>21674.46</v>
      </c>
      <c r="D10" s="17">
        <v>21674.46</v>
      </c>
      <c r="E10" s="17">
        <v>21674.46</v>
      </c>
      <c r="H10" s="9" t="s">
        <v>47</v>
      </c>
      <c r="I10" s="17">
        <f>J10*B24/B25</f>
        <v>31789.207999999999</v>
      </c>
      <c r="J10" s="17">
        <v>21674.46</v>
      </c>
    </row>
    <row r="11" spans="1:10" x14ac:dyDescent="0.35">
      <c r="A11" s="9" t="s">
        <v>3</v>
      </c>
      <c r="B11" s="17">
        <f>(B7+B10+B14+B15)*0.0833</f>
        <v>93851.388595664015</v>
      </c>
      <c r="C11" s="17">
        <f t="shared" ref="C11:E11" si="3">(C7+C10+C14+C15)*0.0833</f>
        <v>64410.248133407265</v>
      </c>
      <c r="D11" s="17">
        <f t="shared" si="3"/>
        <v>70299.558133407263</v>
      </c>
      <c r="E11" s="17">
        <f t="shared" si="3"/>
        <v>67354.903133407264</v>
      </c>
      <c r="H11" s="9" t="s">
        <v>3</v>
      </c>
      <c r="I11" s="17">
        <f>(I7+I10)*0.0833</f>
        <v>92922.166926400008</v>
      </c>
      <c r="J11" s="17">
        <f>(J7+J10)*0.0833</f>
        <v>63356.022904363628</v>
      </c>
    </row>
    <row r="12" spans="1:10" x14ac:dyDescent="0.35">
      <c r="A12" s="9" t="s">
        <v>4</v>
      </c>
      <c r="B12" s="17">
        <f>(B8+B9+B16)*0.0833</f>
        <v>3365.32</v>
      </c>
      <c r="C12" s="17">
        <f t="shared" ref="C12:E12" si="4">(C8+C9+C16)*0.0833</f>
        <v>2294.5363636363636</v>
      </c>
      <c r="D12" s="17">
        <f t="shared" si="4"/>
        <v>2294.5363636363636</v>
      </c>
      <c r="E12" s="17">
        <f t="shared" si="4"/>
        <v>2294.5363636363636</v>
      </c>
      <c r="H12" s="9" t="s">
        <v>4</v>
      </c>
      <c r="I12" s="17">
        <f t="shared" ref="I12:J12" si="5">(I8+I9)*0.0833</f>
        <v>3332</v>
      </c>
      <c r="J12" s="17">
        <f t="shared" si="5"/>
        <v>2271.8181818181815</v>
      </c>
    </row>
    <row r="13" spans="1:10" x14ac:dyDescent="0.35">
      <c r="A13" s="9" t="s">
        <v>6</v>
      </c>
      <c r="B13" s="17"/>
      <c r="C13" s="17">
        <v>4379</v>
      </c>
      <c r="D13" s="17">
        <f t="shared" si="0"/>
        <v>4379</v>
      </c>
      <c r="E13" s="17">
        <f t="shared" si="0"/>
        <v>4379</v>
      </c>
      <c r="H13" s="9" t="s">
        <v>6</v>
      </c>
      <c r="I13" s="17"/>
      <c r="J13" s="17">
        <v>4379</v>
      </c>
    </row>
    <row r="14" spans="1:10" x14ac:dyDescent="0.35">
      <c r="A14" s="9" t="s">
        <v>8</v>
      </c>
      <c r="B14" s="17"/>
      <c r="C14" s="17">
        <f>F24</f>
        <v>5000</v>
      </c>
      <c r="D14" s="17">
        <f>F25</f>
        <v>75000</v>
      </c>
      <c r="E14" s="17">
        <f>F26</f>
        <v>40000</v>
      </c>
      <c r="H14" s="31" t="s">
        <v>22</v>
      </c>
      <c r="I14" s="32"/>
      <c r="J14" s="17">
        <f>SUM(J7:J13)</f>
        <v>857856.07381345448</v>
      </c>
    </row>
    <row r="15" spans="1:10" x14ac:dyDescent="0.35">
      <c r="A15" s="9" t="s">
        <v>28</v>
      </c>
      <c r="B15" s="17">
        <f>(B7+B10+B14)*0.01</f>
        <v>11155.122080000001</v>
      </c>
      <c r="C15" s="17">
        <f t="shared" ref="C15:E15" si="6">(C7+C10+C14)*0.01</f>
        <v>7655.7650545454535</v>
      </c>
      <c r="D15" s="17">
        <f t="shared" si="6"/>
        <v>8355.7650545454544</v>
      </c>
      <c r="E15" s="17">
        <f t="shared" si="6"/>
        <v>8005.7650545454535</v>
      </c>
      <c r="H15" s="31" t="s">
        <v>23</v>
      </c>
      <c r="I15" s="32"/>
      <c r="J15" s="17">
        <f>J14*0.336</f>
        <v>288239.64080132073</v>
      </c>
    </row>
    <row r="16" spans="1:10" x14ac:dyDescent="0.35">
      <c r="A16" s="13" t="s">
        <v>27</v>
      </c>
      <c r="B16" s="20">
        <f>(B8+B9)*0.01</f>
        <v>400</v>
      </c>
      <c r="C16" s="20">
        <f>(C8+C9)*0.01</f>
        <v>272.72727272727275</v>
      </c>
      <c r="D16" s="20">
        <f t="shared" ref="D16:E16" si="7">(D8+D9)*0.01</f>
        <v>272.72727272727275</v>
      </c>
      <c r="E16" s="20">
        <f t="shared" si="7"/>
        <v>272.72727272727275</v>
      </c>
      <c r="H16" s="29" t="s">
        <v>24</v>
      </c>
      <c r="I16" s="30"/>
      <c r="J16" s="22">
        <f>(J14+J15)/$B$25</f>
        <v>9550.797621789794</v>
      </c>
    </row>
    <row r="17" spans="1:6" x14ac:dyDescent="0.35">
      <c r="A17" s="33" t="s">
        <v>22</v>
      </c>
      <c r="B17" s="34"/>
      <c r="C17" s="17">
        <f>SUM(C7:C16)</f>
        <v>871861.50955158903</v>
      </c>
      <c r="D17" s="17">
        <f>SUM(D7:D16)</f>
        <v>948450.81955158908</v>
      </c>
      <c r="E17" s="17">
        <f>SUM(E7:E16)</f>
        <v>910156.16455158906</v>
      </c>
    </row>
    <row r="18" spans="1:6" x14ac:dyDescent="0.35">
      <c r="A18" s="33" t="s">
        <v>23</v>
      </c>
      <c r="B18" s="34"/>
      <c r="C18" s="17">
        <f>C17*0.336</f>
        <v>292945.4672093339</v>
      </c>
      <c r="D18" s="17">
        <f t="shared" ref="D18:E18" si="8">D17*0.336</f>
        <v>318679.47536933393</v>
      </c>
      <c r="E18" s="17">
        <f t="shared" si="8"/>
        <v>305812.47128933395</v>
      </c>
    </row>
    <row r="19" spans="1:6" x14ac:dyDescent="0.35">
      <c r="A19" s="29" t="s">
        <v>24</v>
      </c>
      <c r="B19" s="30"/>
      <c r="C19" s="22">
        <f>(C17+C18)/$B$25</f>
        <v>9706.7248063410243</v>
      </c>
      <c r="D19" s="22">
        <f t="shared" ref="D19:E19" si="9">(D17+D18)/$B$25</f>
        <v>10559.419124341024</v>
      </c>
      <c r="E19" s="22">
        <f t="shared" si="9"/>
        <v>10133.071965341025</v>
      </c>
    </row>
    <row r="20" spans="1:6" s="25" customFormat="1" x14ac:dyDescent="0.35">
      <c r="A20" s="23"/>
      <c r="B20" s="23"/>
      <c r="C20" s="24"/>
      <c r="D20" s="24"/>
      <c r="E20" s="24"/>
    </row>
    <row r="21" spans="1:6" s="25" customFormat="1" x14ac:dyDescent="0.35">
      <c r="A21" s="23"/>
      <c r="B21" s="23"/>
      <c r="C21" s="24"/>
      <c r="D21" s="24"/>
      <c r="E21" s="24"/>
    </row>
    <row r="23" spans="1:6" ht="15" thickBot="1" x14ac:dyDescent="0.4"/>
    <row r="24" spans="1:6" ht="15" thickBot="1" x14ac:dyDescent="0.4">
      <c r="A24" s="3" t="s">
        <v>2</v>
      </c>
      <c r="B24" s="4">
        <v>176</v>
      </c>
      <c r="C24" s="5" t="s">
        <v>0</v>
      </c>
      <c r="D24" s="8"/>
      <c r="E24" t="s">
        <v>9</v>
      </c>
      <c r="F24" s="16">
        <v>5000</v>
      </c>
    </row>
    <row r="25" spans="1:6" ht="15" thickBot="1" x14ac:dyDescent="0.4">
      <c r="A25" s="3" t="s">
        <v>7</v>
      </c>
      <c r="B25" s="4">
        <v>120</v>
      </c>
      <c r="C25" s="5" t="s">
        <v>0</v>
      </c>
      <c r="D25" s="8"/>
      <c r="E25" t="s">
        <v>10</v>
      </c>
      <c r="F25" s="16">
        <v>75000</v>
      </c>
    </row>
    <row r="26" spans="1:6" x14ac:dyDescent="0.35">
      <c r="E26" t="s">
        <v>30</v>
      </c>
      <c r="F26" s="16">
        <f>AVERAGE(F24:F25)</f>
        <v>40000</v>
      </c>
    </row>
    <row r="27" spans="1:6" x14ac:dyDescent="0.35">
      <c r="A27" t="s">
        <v>32</v>
      </c>
    </row>
  </sheetData>
  <mergeCells count="6">
    <mergeCell ref="A19:B19"/>
    <mergeCell ref="H14:I14"/>
    <mergeCell ref="H15:I15"/>
    <mergeCell ref="H16:I16"/>
    <mergeCell ref="A17:B17"/>
    <mergeCell ref="A18:B18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opLeftCell="G1" zoomScale="120" zoomScaleNormal="120" workbookViewId="0">
      <selection activeCell="J4" sqref="J4"/>
    </sheetView>
  </sheetViews>
  <sheetFormatPr baseColWidth="10" defaultRowHeight="14.5" x14ac:dyDescent="0.35"/>
  <cols>
    <col min="1" max="1" width="38.90625" customWidth="1"/>
    <col min="2" max="5" width="12.81640625" bestFit="1" customWidth="1"/>
    <col min="8" max="8" width="36.90625" customWidth="1"/>
    <col min="9" max="9" width="12.81640625" bestFit="1" customWidth="1"/>
    <col min="10" max="10" width="10.08984375" customWidth="1"/>
    <col min="11" max="11" width="17.36328125" bestFit="1" customWidth="1"/>
    <col min="12" max="12" width="21.453125" bestFit="1" customWidth="1"/>
    <col min="13" max="13" width="21.81640625" bestFit="1" customWidth="1"/>
    <col min="14" max="14" width="23" bestFit="1" customWidth="1"/>
  </cols>
  <sheetData>
    <row r="1" spans="1:11" ht="18.5" x14ac:dyDescent="0.45">
      <c r="A1" s="6" t="s">
        <v>43</v>
      </c>
    </row>
    <row r="3" spans="1:11" x14ac:dyDescent="0.35">
      <c r="A3" s="7" t="s">
        <v>20</v>
      </c>
      <c r="H3" s="7" t="s">
        <v>18</v>
      </c>
    </row>
    <row r="4" spans="1:11" x14ac:dyDescent="0.35">
      <c r="A4" t="s">
        <v>35</v>
      </c>
      <c r="H4" t="s">
        <v>36</v>
      </c>
      <c r="J4" s="19"/>
    </row>
    <row r="6" spans="1:11" s="11" customFormat="1" ht="43.5" x14ac:dyDescent="0.35">
      <c r="A6" s="10" t="s">
        <v>14</v>
      </c>
      <c r="B6" s="10" t="s">
        <v>5</v>
      </c>
      <c r="C6" s="10" t="s">
        <v>11</v>
      </c>
      <c r="D6" s="10" t="s">
        <v>12</v>
      </c>
      <c r="E6" s="10" t="s">
        <v>16</v>
      </c>
      <c r="H6" s="10" t="s">
        <v>14</v>
      </c>
      <c r="I6" s="10" t="s">
        <v>5</v>
      </c>
      <c r="J6" s="10" t="s">
        <v>19</v>
      </c>
    </row>
    <row r="7" spans="1:11" x14ac:dyDescent="0.35">
      <c r="A7" s="9" t="s">
        <v>1</v>
      </c>
      <c r="B7" s="17">
        <v>1073401</v>
      </c>
      <c r="C7" s="17">
        <f>B7/$B$24*$B$25</f>
        <v>731864.31818181812</v>
      </c>
      <c r="D7" s="17">
        <f t="shared" ref="D7:E13" si="0">C7</f>
        <v>731864.31818181812</v>
      </c>
      <c r="E7" s="17">
        <f t="shared" si="0"/>
        <v>731864.31818181812</v>
      </c>
      <c r="H7" s="9" t="s">
        <v>1</v>
      </c>
      <c r="I7" s="17">
        <f>B7</f>
        <v>1073401</v>
      </c>
      <c r="J7" s="17">
        <f>I7/$B$24*$B$25</f>
        <v>731864.31818181812</v>
      </c>
    </row>
    <row r="8" spans="1:11" x14ac:dyDescent="0.35">
      <c r="A8" s="9" t="s">
        <v>26</v>
      </c>
      <c r="B8" s="17"/>
      <c r="C8" s="17"/>
      <c r="D8" s="17"/>
      <c r="E8" s="17"/>
      <c r="H8" s="9" t="s">
        <v>26</v>
      </c>
      <c r="I8" s="17"/>
      <c r="J8" s="17"/>
    </row>
    <row r="9" spans="1:11" x14ac:dyDescent="0.35">
      <c r="A9" s="9" t="s">
        <v>31</v>
      </c>
      <c r="B9" s="17">
        <v>40000</v>
      </c>
      <c r="C9" s="17">
        <f>$B$9/$B$24*$B$25</f>
        <v>27272.727272727272</v>
      </c>
      <c r="D9" s="17">
        <f t="shared" ref="D9:E9" si="1">$B$9/$B$24*$B$25</f>
        <v>27272.727272727272</v>
      </c>
      <c r="E9" s="17">
        <f t="shared" si="1"/>
        <v>27272.727272727272</v>
      </c>
      <c r="H9" s="9" t="s">
        <v>31</v>
      </c>
      <c r="I9" s="17">
        <v>40000</v>
      </c>
      <c r="J9" s="17">
        <f t="shared" ref="J9" si="2">$B$9/$B$24*$B$25</f>
        <v>27272.727272727272</v>
      </c>
      <c r="K9" s="27"/>
    </row>
    <row r="10" spans="1:11" x14ac:dyDescent="0.35">
      <c r="A10" s="9" t="s">
        <v>47</v>
      </c>
      <c r="B10" s="17">
        <f>C10/B25*B24</f>
        <v>30577.066666666666</v>
      </c>
      <c r="C10" s="17">
        <v>20848</v>
      </c>
      <c r="D10" s="17">
        <v>20848</v>
      </c>
      <c r="E10" s="17">
        <v>20848</v>
      </c>
      <c r="H10" s="9" t="s">
        <v>47</v>
      </c>
      <c r="I10" s="17">
        <f>J10*B24/B25</f>
        <v>30577.066666666666</v>
      </c>
      <c r="J10" s="17">
        <v>20848</v>
      </c>
    </row>
    <row r="11" spans="1:11" x14ac:dyDescent="0.35">
      <c r="A11" s="9" t="s">
        <v>3</v>
      </c>
      <c r="B11" s="17">
        <f>(B7+B10+B14+B15)*0.0833</f>
        <v>92880.986682866656</v>
      </c>
      <c r="C11" s="17">
        <f t="shared" ref="C11:E11" si="3">(C7+C10+C14+C15)*0.0833</f>
        <v>63748.6104655909</v>
      </c>
      <c r="D11" s="17">
        <f t="shared" si="3"/>
        <v>69637.920465590898</v>
      </c>
      <c r="E11" s="17">
        <f t="shared" si="3"/>
        <v>66693.265465590899</v>
      </c>
      <c r="H11" s="9" t="s">
        <v>3</v>
      </c>
      <c r="I11" s="17">
        <f>(I7+I10)*0.0833</f>
        <v>91961.372953333324</v>
      </c>
      <c r="J11" s="17">
        <f>(J7+J10)*0.0833</f>
        <v>62700.93610454545</v>
      </c>
    </row>
    <row r="12" spans="1:11" x14ac:dyDescent="0.35">
      <c r="A12" s="9" t="s">
        <v>4</v>
      </c>
      <c r="B12" s="17">
        <f>(B8+B9+B16)*0.0833</f>
        <v>3365.32</v>
      </c>
      <c r="C12" s="17">
        <f t="shared" ref="C12:E12" si="4">(C8+C9+C16)*0.0833</f>
        <v>2294.5363636363636</v>
      </c>
      <c r="D12" s="17">
        <f t="shared" si="4"/>
        <v>2294.5363636363636</v>
      </c>
      <c r="E12" s="17">
        <f t="shared" si="4"/>
        <v>2294.5363636363636</v>
      </c>
      <c r="H12" s="9" t="s">
        <v>4</v>
      </c>
      <c r="I12" s="17">
        <f t="shared" ref="I12:J12" si="5">(I8+I9)*0.0833</f>
        <v>3332</v>
      </c>
      <c r="J12" s="17">
        <f t="shared" si="5"/>
        <v>2271.8181818181815</v>
      </c>
    </row>
    <row r="13" spans="1:11" x14ac:dyDescent="0.35">
      <c r="A13" s="9" t="s">
        <v>6</v>
      </c>
      <c r="B13" s="17"/>
      <c r="C13" s="17">
        <v>4379</v>
      </c>
      <c r="D13" s="17">
        <f t="shared" si="0"/>
        <v>4379</v>
      </c>
      <c r="E13" s="17">
        <f t="shared" si="0"/>
        <v>4379</v>
      </c>
      <c r="H13" s="9" t="s">
        <v>6</v>
      </c>
      <c r="I13" s="17"/>
      <c r="J13" s="17">
        <v>4379</v>
      </c>
    </row>
    <row r="14" spans="1:11" x14ac:dyDescent="0.35">
      <c r="A14" s="9" t="s">
        <v>8</v>
      </c>
      <c r="B14" s="17"/>
      <c r="C14" s="17">
        <f>F24</f>
        <v>5000</v>
      </c>
      <c r="D14" s="17">
        <f>F25</f>
        <v>75000</v>
      </c>
      <c r="E14" s="17">
        <f>F26</f>
        <v>40000</v>
      </c>
      <c r="H14" s="31" t="s">
        <v>22</v>
      </c>
      <c r="I14" s="32"/>
      <c r="J14" s="17">
        <f>SUM(J7:J13)</f>
        <v>849336.79974090913</v>
      </c>
    </row>
    <row r="15" spans="1:11" x14ac:dyDescent="0.35">
      <c r="A15" s="9" t="s">
        <v>28</v>
      </c>
      <c r="B15" s="17">
        <f>(B7+B10+B14)*0.01</f>
        <v>11039.780666666667</v>
      </c>
      <c r="C15" s="17">
        <f t="shared" ref="C15:E15" si="6">(C7+C10+C14)*0.01</f>
        <v>7577.1231818181814</v>
      </c>
      <c r="D15" s="17">
        <f t="shared" si="6"/>
        <v>8277.1231818181805</v>
      </c>
      <c r="E15" s="17">
        <f t="shared" si="6"/>
        <v>7927.1231818181814</v>
      </c>
      <c r="H15" s="31" t="s">
        <v>23</v>
      </c>
      <c r="I15" s="32"/>
      <c r="J15" s="17">
        <f>J14*0.336</f>
        <v>285377.16471294546</v>
      </c>
    </row>
    <row r="16" spans="1:11" x14ac:dyDescent="0.35">
      <c r="A16" s="13" t="s">
        <v>27</v>
      </c>
      <c r="B16" s="20">
        <f>(B8+B9)*0.01</f>
        <v>400</v>
      </c>
      <c r="C16" s="20">
        <f>(C8+C9)*0.01</f>
        <v>272.72727272727275</v>
      </c>
      <c r="D16" s="20">
        <f t="shared" ref="D16:E16" si="7">(D8+D9)*0.01</f>
        <v>272.72727272727275</v>
      </c>
      <c r="E16" s="20">
        <f t="shared" si="7"/>
        <v>272.72727272727275</v>
      </c>
      <c r="H16" s="29" t="s">
        <v>24</v>
      </c>
      <c r="I16" s="30"/>
      <c r="J16" s="22">
        <f>(J14+J15)/$B$25</f>
        <v>9455.949703782122</v>
      </c>
    </row>
    <row r="17" spans="1:6" x14ac:dyDescent="0.35">
      <c r="A17" s="33" t="s">
        <v>22</v>
      </c>
      <c r="B17" s="34"/>
      <c r="C17" s="17">
        <f>SUM(C7:C16)</f>
        <v>863257.04273831809</v>
      </c>
      <c r="D17" s="17">
        <f>SUM(D7:D16)</f>
        <v>939846.35273831815</v>
      </c>
      <c r="E17" s="17">
        <f>SUM(E7:E16)</f>
        <v>901551.69773831812</v>
      </c>
    </row>
    <row r="18" spans="1:6" x14ac:dyDescent="0.35">
      <c r="A18" s="33" t="s">
        <v>23</v>
      </c>
      <c r="B18" s="34"/>
      <c r="C18" s="17">
        <f>C17*0.336</f>
        <v>290054.3663600749</v>
      </c>
      <c r="D18" s="17">
        <f t="shared" ref="D18:E18" si="8">D17*0.336</f>
        <v>315788.37452007493</v>
      </c>
      <c r="E18" s="17">
        <f t="shared" si="8"/>
        <v>302921.37044007488</v>
      </c>
    </row>
    <row r="19" spans="1:6" x14ac:dyDescent="0.35">
      <c r="A19" s="29" t="s">
        <v>24</v>
      </c>
      <c r="B19" s="30"/>
      <c r="C19" s="22">
        <f>(C17+C18)/$B$25</f>
        <v>9610.9284091532754</v>
      </c>
      <c r="D19" s="22">
        <f t="shared" ref="D19:E19" si="9">(D17+D18)/$B$25</f>
        <v>10463.622727153275</v>
      </c>
      <c r="E19" s="22">
        <f t="shared" si="9"/>
        <v>10037.275568153274</v>
      </c>
    </row>
    <row r="20" spans="1:6" s="25" customFormat="1" x14ac:dyDescent="0.35">
      <c r="A20" s="23"/>
      <c r="B20" s="23"/>
      <c r="C20" s="24"/>
      <c r="D20" s="24"/>
      <c r="E20" s="24"/>
    </row>
    <row r="21" spans="1:6" s="25" customFormat="1" x14ac:dyDescent="0.35">
      <c r="A21" s="23"/>
      <c r="B21" s="23"/>
      <c r="C21" s="24"/>
      <c r="D21" s="24"/>
      <c r="E21" s="24"/>
    </row>
    <row r="23" spans="1:6" ht="15" thickBot="1" x14ac:dyDescent="0.4"/>
    <row r="24" spans="1:6" ht="15" thickBot="1" x14ac:dyDescent="0.4">
      <c r="A24" s="3" t="s">
        <v>2</v>
      </c>
      <c r="B24" s="4">
        <v>176</v>
      </c>
      <c r="C24" s="5" t="s">
        <v>0</v>
      </c>
      <c r="D24" s="8"/>
      <c r="E24" t="s">
        <v>9</v>
      </c>
      <c r="F24" s="16">
        <v>5000</v>
      </c>
    </row>
    <row r="25" spans="1:6" ht="15" thickBot="1" x14ac:dyDescent="0.4">
      <c r="A25" s="3" t="s">
        <v>7</v>
      </c>
      <c r="B25" s="4">
        <v>120</v>
      </c>
      <c r="C25" s="5" t="s">
        <v>0</v>
      </c>
      <c r="D25" s="8"/>
      <c r="E25" t="s">
        <v>10</v>
      </c>
      <c r="F25" s="16">
        <v>75000</v>
      </c>
    </row>
    <row r="26" spans="1:6" x14ac:dyDescent="0.35">
      <c r="E26" t="s">
        <v>30</v>
      </c>
      <c r="F26" s="16">
        <f>AVERAGE(F24:F25)</f>
        <v>40000</v>
      </c>
    </row>
    <row r="27" spans="1:6" x14ac:dyDescent="0.35">
      <c r="A27" t="s">
        <v>32</v>
      </c>
    </row>
  </sheetData>
  <mergeCells count="6">
    <mergeCell ref="A19:B19"/>
    <mergeCell ref="H14:I14"/>
    <mergeCell ref="H15:I15"/>
    <mergeCell ref="H16:I16"/>
    <mergeCell ref="A17:B17"/>
    <mergeCell ref="A18:B18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opLeftCell="B4" zoomScale="120" zoomScaleNormal="120" workbookViewId="0">
      <selection activeCell="H10" sqref="H10"/>
    </sheetView>
  </sheetViews>
  <sheetFormatPr baseColWidth="10" defaultRowHeight="14.5" x14ac:dyDescent="0.35"/>
  <cols>
    <col min="1" max="1" width="38.90625" customWidth="1"/>
    <col min="2" max="5" width="12.81640625" bestFit="1" customWidth="1"/>
    <col min="8" max="8" width="36.90625" customWidth="1"/>
    <col min="9" max="9" width="12.81640625" bestFit="1" customWidth="1"/>
    <col min="10" max="10" width="10.08984375" customWidth="1"/>
    <col min="11" max="11" width="17.36328125" bestFit="1" customWidth="1"/>
    <col min="12" max="12" width="21.453125" bestFit="1" customWidth="1"/>
    <col min="13" max="13" width="21.81640625" bestFit="1" customWidth="1"/>
    <col min="14" max="14" width="23" bestFit="1" customWidth="1"/>
  </cols>
  <sheetData>
    <row r="1" spans="1:10" ht="18.5" x14ac:dyDescent="0.45">
      <c r="A1" s="6" t="s">
        <v>42</v>
      </c>
    </row>
    <row r="3" spans="1:10" x14ac:dyDescent="0.35">
      <c r="A3" s="7" t="s">
        <v>20</v>
      </c>
      <c r="H3" s="7" t="s">
        <v>18</v>
      </c>
    </row>
    <row r="4" spans="1:10" x14ac:dyDescent="0.35">
      <c r="A4" t="s">
        <v>35</v>
      </c>
      <c r="H4" t="s">
        <v>36</v>
      </c>
    </row>
    <row r="6" spans="1:10" s="11" customFormat="1" ht="43.5" x14ac:dyDescent="0.35">
      <c r="A6" s="10" t="s">
        <v>14</v>
      </c>
      <c r="B6" s="10" t="s">
        <v>5</v>
      </c>
      <c r="C6" s="10" t="s">
        <v>11</v>
      </c>
      <c r="D6" s="10" t="s">
        <v>12</v>
      </c>
      <c r="E6" s="10" t="s">
        <v>16</v>
      </c>
      <c r="H6" s="10" t="s">
        <v>14</v>
      </c>
      <c r="I6" s="10" t="s">
        <v>5</v>
      </c>
      <c r="J6" s="10" t="s">
        <v>19</v>
      </c>
    </row>
    <row r="7" spans="1:10" x14ac:dyDescent="0.35">
      <c r="A7" s="9" t="s">
        <v>1</v>
      </c>
      <c r="B7" s="17">
        <v>1063080</v>
      </c>
      <c r="C7" s="17">
        <f>B7/$B$24*$B$25</f>
        <v>724827.27272727271</v>
      </c>
      <c r="D7" s="17">
        <f t="shared" ref="D7:E13" si="0">C7</f>
        <v>724827.27272727271</v>
      </c>
      <c r="E7" s="17">
        <f t="shared" si="0"/>
        <v>724827.27272727271</v>
      </c>
      <c r="H7" s="9" t="s">
        <v>1</v>
      </c>
      <c r="I7" s="17">
        <v>1063080</v>
      </c>
      <c r="J7" s="17">
        <f>I7/$B$24*$B$25</f>
        <v>724827.27272727271</v>
      </c>
    </row>
    <row r="8" spans="1:10" x14ac:dyDescent="0.35">
      <c r="A8" s="9" t="s">
        <v>26</v>
      </c>
      <c r="B8" s="17"/>
      <c r="C8" s="17"/>
      <c r="D8" s="17"/>
      <c r="E8" s="17"/>
      <c r="H8" s="9" t="s">
        <v>26</v>
      </c>
      <c r="I8" s="17"/>
      <c r="J8" s="17"/>
    </row>
    <row r="9" spans="1:10" x14ac:dyDescent="0.35">
      <c r="A9" s="9" t="s">
        <v>31</v>
      </c>
      <c r="B9" s="17">
        <v>40000</v>
      </c>
      <c r="C9" s="17">
        <f>$B$9/$B$24*$B$25</f>
        <v>27272.727272727272</v>
      </c>
      <c r="D9" s="17">
        <f t="shared" ref="D9:E9" si="1">$B$9/$B$24*$B$25</f>
        <v>27272.727272727272</v>
      </c>
      <c r="E9" s="17">
        <f t="shared" si="1"/>
        <v>27272.727272727272</v>
      </c>
      <c r="H9" s="9" t="s">
        <v>31</v>
      </c>
      <c r="I9" s="17">
        <v>40000</v>
      </c>
      <c r="J9" s="17">
        <f t="shared" ref="J9" si="2">$B$9/$B$24*$B$25</f>
        <v>27272.727272727272</v>
      </c>
    </row>
    <row r="10" spans="1:10" x14ac:dyDescent="0.35">
      <c r="A10" s="9" t="s">
        <v>47</v>
      </c>
      <c r="B10" s="17"/>
      <c r="C10" s="17"/>
      <c r="D10" s="17"/>
      <c r="E10" s="17"/>
      <c r="H10" s="9" t="s">
        <v>47</v>
      </c>
      <c r="I10" s="17"/>
      <c r="J10" s="17"/>
    </row>
    <row r="11" spans="1:10" x14ac:dyDescent="0.35">
      <c r="A11" s="9" t="s">
        <v>3</v>
      </c>
      <c r="B11" s="17">
        <f>(B7+B10+B14+B15)*0.0833</f>
        <v>89440.10964000001</v>
      </c>
      <c r="C11" s="17">
        <f t="shared" ref="C11:E11" si="3">(C7+C10+C14+C15)*0.0833</f>
        <v>61402.557936363635</v>
      </c>
      <c r="D11" s="17">
        <f t="shared" si="3"/>
        <v>67291.867936363633</v>
      </c>
      <c r="E11" s="17">
        <f t="shared" si="3"/>
        <v>64347.212936363634</v>
      </c>
      <c r="H11" s="9" t="s">
        <v>3</v>
      </c>
      <c r="I11" s="17">
        <f>(I7+I10)*0.0833</f>
        <v>88554.563999999998</v>
      </c>
      <c r="J11" s="17">
        <f>(J7+J10)*0.0833</f>
        <v>60378.111818181816</v>
      </c>
    </row>
    <row r="12" spans="1:10" x14ac:dyDescent="0.35">
      <c r="A12" s="9" t="s">
        <v>4</v>
      </c>
      <c r="B12" s="17">
        <f>(B8+B9+B16)*0.0833</f>
        <v>3365.32</v>
      </c>
      <c r="C12" s="17">
        <f t="shared" ref="C12:E12" si="4">(C8+C9+C16)*0.0833</f>
        <v>2294.5363636363636</v>
      </c>
      <c r="D12" s="17">
        <f t="shared" si="4"/>
        <v>2294.5363636363636</v>
      </c>
      <c r="E12" s="17">
        <f t="shared" si="4"/>
        <v>2294.5363636363636</v>
      </c>
      <c r="H12" s="9" t="s">
        <v>4</v>
      </c>
      <c r="I12" s="17">
        <f t="shared" ref="I12:J12" si="5">(I8+I9)*0.0833</f>
        <v>3332</v>
      </c>
      <c r="J12" s="17">
        <f t="shared" si="5"/>
        <v>2271.8181818181815</v>
      </c>
    </row>
    <row r="13" spans="1:10" x14ac:dyDescent="0.35">
      <c r="A13" s="9" t="s">
        <v>6</v>
      </c>
      <c r="B13" s="17"/>
      <c r="C13" s="17">
        <v>4379</v>
      </c>
      <c r="D13" s="17">
        <f t="shared" si="0"/>
        <v>4379</v>
      </c>
      <c r="E13" s="17">
        <f t="shared" si="0"/>
        <v>4379</v>
      </c>
      <c r="H13" s="9" t="s">
        <v>6</v>
      </c>
      <c r="I13" s="17"/>
      <c r="J13" s="17">
        <v>4379</v>
      </c>
    </row>
    <row r="14" spans="1:10" x14ac:dyDescent="0.35">
      <c r="A14" s="9" t="s">
        <v>8</v>
      </c>
      <c r="B14" s="17"/>
      <c r="C14" s="17">
        <f>F24</f>
        <v>5000</v>
      </c>
      <c r="D14" s="17">
        <f>F25</f>
        <v>75000</v>
      </c>
      <c r="E14" s="17">
        <f>F26</f>
        <v>40000</v>
      </c>
      <c r="H14" s="31" t="s">
        <v>22</v>
      </c>
      <c r="I14" s="32"/>
      <c r="J14" s="17">
        <f>SUM(J7:J13)</f>
        <v>819128.93</v>
      </c>
    </row>
    <row r="15" spans="1:10" x14ac:dyDescent="0.35">
      <c r="A15" s="9" t="s">
        <v>28</v>
      </c>
      <c r="B15" s="17">
        <f>(B7+B10+B14)*0.01</f>
        <v>10630.800000000001</v>
      </c>
      <c r="C15" s="17">
        <f t="shared" ref="C15:E15" si="6">(C7+C10+C14)*0.01</f>
        <v>7298.272727272727</v>
      </c>
      <c r="D15" s="17">
        <f t="shared" si="6"/>
        <v>7998.272727272727</v>
      </c>
      <c r="E15" s="17">
        <f t="shared" si="6"/>
        <v>7648.272727272727</v>
      </c>
      <c r="H15" s="31" t="s">
        <v>23</v>
      </c>
      <c r="I15" s="32"/>
      <c r="J15" s="17">
        <f>J14*0.336</f>
        <v>275227.32048000005</v>
      </c>
    </row>
    <row r="16" spans="1:10" x14ac:dyDescent="0.35">
      <c r="A16" s="13" t="s">
        <v>27</v>
      </c>
      <c r="B16" s="20">
        <f>(B8+B9)*0.01</f>
        <v>400</v>
      </c>
      <c r="C16" s="20">
        <f>(C8+C9)*0.01</f>
        <v>272.72727272727275</v>
      </c>
      <c r="D16" s="20">
        <f t="shared" ref="D16:E16" si="7">(D8+D9)*0.01</f>
        <v>272.72727272727275</v>
      </c>
      <c r="E16" s="20">
        <f t="shared" si="7"/>
        <v>272.72727272727275</v>
      </c>
      <c r="H16" s="29" t="s">
        <v>24</v>
      </c>
      <c r="I16" s="30"/>
      <c r="J16" s="22">
        <f>(J14+J15)/$B$25</f>
        <v>9119.6354206666674</v>
      </c>
    </row>
    <row r="17" spans="1:6" x14ac:dyDescent="0.35">
      <c r="A17" s="33" t="s">
        <v>22</v>
      </c>
      <c r="B17" s="34"/>
      <c r="C17" s="17">
        <f>SUM(C7:C16)</f>
        <v>832747.0943</v>
      </c>
      <c r="D17" s="17">
        <f>SUM(D7:D16)</f>
        <v>909336.40430000005</v>
      </c>
      <c r="E17" s="17">
        <f>SUM(E7:E16)</f>
        <v>871041.74930000002</v>
      </c>
    </row>
    <row r="18" spans="1:6" x14ac:dyDescent="0.35">
      <c r="A18" s="33" t="s">
        <v>23</v>
      </c>
      <c r="B18" s="34"/>
      <c r="C18" s="17">
        <f>C17*0.336</f>
        <v>279803.02368480002</v>
      </c>
      <c r="D18" s="17">
        <f t="shared" ref="D18:E18" si="8">D17*0.336</f>
        <v>305537.03184480005</v>
      </c>
      <c r="E18" s="17">
        <f t="shared" si="8"/>
        <v>292670.0277648</v>
      </c>
    </row>
    <row r="19" spans="1:6" x14ac:dyDescent="0.35">
      <c r="A19" s="29" t="s">
        <v>24</v>
      </c>
      <c r="B19" s="30"/>
      <c r="C19" s="22">
        <f>(C17+C18)/$B$25</f>
        <v>9271.250983206668</v>
      </c>
      <c r="D19" s="22">
        <f t="shared" ref="D19:E19" si="9">(D17+D18)/$B$25</f>
        <v>10123.945301206668</v>
      </c>
      <c r="E19" s="22">
        <f t="shared" si="9"/>
        <v>9697.598142206667</v>
      </c>
    </row>
    <row r="20" spans="1:6" s="25" customFormat="1" x14ac:dyDescent="0.35">
      <c r="A20" s="23"/>
      <c r="B20" s="23"/>
      <c r="C20" s="24"/>
      <c r="D20" s="24"/>
      <c r="E20" s="24"/>
    </row>
    <row r="21" spans="1:6" s="25" customFormat="1" x14ac:dyDescent="0.35">
      <c r="A21" s="23"/>
      <c r="B21" s="23"/>
      <c r="C21" s="24"/>
      <c r="D21" s="24"/>
      <c r="E21" s="24"/>
    </row>
    <row r="23" spans="1:6" ht="15" thickBot="1" x14ac:dyDescent="0.4"/>
    <row r="24" spans="1:6" ht="15" thickBot="1" x14ac:dyDescent="0.4">
      <c r="A24" s="3" t="s">
        <v>2</v>
      </c>
      <c r="B24" s="4">
        <v>176</v>
      </c>
      <c r="C24" s="5" t="s">
        <v>0</v>
      </c>
      <c r="D24" s="8"/>
      <c r="E24" t="s">
        <v>9</v>
      </c>
      <c r="F24" s="16">
        <v>5000</v>
      </c>
    </row>
    <row r="25" spans="1:6" ht="15" thickBot="1" x14ac:dyDescent="0.4">
      <c r="A25" s="3" t="s">
        <v>7</v>
      </c>
      <c r="B25" s="4">
        <v>120</v>
      </c>
      <c r="C25" s="5" t="s">
        <v>0</v>
      </c>
      <c r="D25" s="8"/>
      <c r="E25" t="s">
        <v>10</v>
      </c>
      <c r="F25" s="16">
        <v>75000</v>
      </c>
    </row>
    <row r="26" spans="1:6" x14ac:dyDescent="0.35">
      <c r="E26" t="s">
        <v>30</v>
      </c>
      <c r="F26" s="16">
        <f>AVERAGE(F24:F25)</f>
        <v>40000</v>
      </c>
    </row>
    <row r="27" spans="1:6" x14ac:dyDescent="0.35">
      <c r="A27" t="s">
        <v>32</v>
      </c>
    </row>
  </sheetData>
  <mergeCells count="6">
    <mergeCell ref="A19:B19"/>
    <mergeCell ref="H14:I14"/>
    <mergeCell ref="H15:I15"/>
    <mergeCell ref="H16:I16"/>
    <mergeCell ref="A17:B17"/>
    <mergeCell ref="A18:B18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opLeftCell="B6" zoomScale="120" zoomScaleNormal="120" workbookViewId="0">
      <selection activeCell="H10" sqref="H10"/>
    </sheetView>
  </sheetViews>
  <sheetFormatPr baseColWidth="10" defaultRowHeight="14.5" x14ac:dyDescent="0.35"/>
  <cols>
    <col min="1" max="1" width="38.90625" customWidth="1"/>
    <col min="2" max="5" width="12.81640625" bestFit="1" customWidth="1"/>
    <col min="8" max="8" width="36.90625" customWidth="1"/>
    <col min="9" max="9" width="12.81640625" bestFit="1" customWidth="1"/>
    <col min="10" max="10" width="10.08984375" customWidth="1"/>
    <col min="11" max="11" width="17.36328125" bestFit="1" customWidth="1"/>
    <col min="12" max="12" width="21.453125" bestFit="1" customWidth="1"/>
    <col min="13" max="13" width="21.81640625" bestFit="1" customWidth="1"/>
    <col min="14" max="14" width="23" bestFit="1" customWidth="1"/>
  </cols>
  <sheetData>
    <row r="1" spans="1:10" ht="18.5" x14ac:dyDescent="0.45">
      <c r="A1" s="6" t="s">
        <v>17</v>
      </c>
    </row>
    <row r="3" spans="1:10" x14ac:dyDescent="0.35">
      <c r="A3" s="7" t="s">
        <v>20</v>
      </c>
      <c r="H3" s="7" t="s">
        <v>18</v>
      </c>
    </row>
    <row r="4" spans="1:10" x14ac:dyDescent="0.35">
      <c r="A4" t="s">
        <v>35</v>
      </c>
      <c r="H4" t="s">
        <v>36</v>
      </c>
    </row>
    <row r="6" spans="1:10" s="11" customFormat="1" ht="43.5" x14ac:dyDescent="0.35">
      <c r="A6" s="10" t="s">
        <v>14</v>
      </c>
      <c r="B6" s="10" t="s">
        <v>5</v>
      </c>
      <c r="C6" s="10" t="s">
        <v>11</v>
      </c>
      <c r="D6" s="10" t="s">
        <v>12</v>
      </c>
      <c r="E6" s="10" t="s">
        <v>16</v>
      </c>
      <c r="H6" s="10" t="s">
        <v>14</v>
      </c>
      <c r="I6" s="10" t="s">
        <v>5</v>
      </c>
      <c r="J6" s="10" t="s">
        <v>19</v>
      </c>
    </row>
    <row r="7" spans="1:10" x14ac:dyDescent="0.35">
      <c r="A7" s="9" t="s">
        <v>1</v>
      </c>
      <c r="B7" s="17">
        <v>1042438</v>
      </c>
      <c r="C7" s="17">
        <f>B7/$B$24*$B$25</f>
        <v>692984.35227272729</v>
      </c>
      <c r="D7" s="17">
        <f t="shared" ref="D7:E13" si="0">C7</f>
        <v>692984.35227272729</v>
      </c>
      <c r="E7" s="17">
        <f t="shared" si="0"/>
        <v>692984.35227272729</v>
      </c>
      <c r="H7" s="9" t="s">
        <v>1</v>
      </c>
      <c r="I7" s="17">
        <v>1042438</v>
      </c>
      <c r="J7" s="17">
        <f>I7/$B$24*$B$25</f>
        <v>692984.35227272729</v>
      </c>
    </row>
    <row r="8" spans="1:10" x14ac:dyDescent="0.35">
      <c r="A8" s="9" t="s">
        <v>26</v>
      </c>
      <c r="B8" s="17"/>
      <c r="C8" s="17"/>
      <c r="D8" s="17"/>
      <c r="E8" s="17"/>
      <c r="H8" s="9" t="s">
        <v>26</v>
      </c>
      <c r="I8" s="17"/>
      <c r="J8" s="17"/>
    </row>
    <row r="9" spans="1:10" x14ac:dyDescent="0.35">
      <c r="A9" s="9" t="s">
        <v>31</v>
      </c>
      <c r="B9" s="17">
        <v>40000</v>
      </c>
      <c r="C9" s="17">
        <f>$B$9/$B$24*$B$25</f>
        <v>26590.909090909092</v>
      </c>
      <c r="D9" s="17">
        <f t="shared" ref="D9:E9" si="1">$B$9/$B$24*$B$25</f>
        <v>26590.909090909092</v>
      </c>
      <c r="E9" s="17">
        <f t="shared" si="1"/>
        <v>26590.909090909092</v>
      </c>
      <c r="H9" s="9" t="s">
        <v>31</v>
      </c>
      <c r="I9" s="17">
        <v>40000</v>
      </c>
      <c r="J9" s="17">
        <f t="shared" ref="J9" si="2">$B$9/$B$24*$B$25</f>
        <v>26590.909090909092</v>
      </c>
    </row>
    <row r="10" spans="1:10" x14ac:dyDescent="0.35">
      <c r="A10" s="9" t="s">
        <v>47</v>
      </c>
      <c r="B10" s="17">
        <f>C10/B25*B24</f>
        <v>31361.094017094016</v>
      </c>
      <c r="C10" s="17">
        <v>20848</v>
      </c>
      <c r="D10" s="17">
        <v>20848</v>
      </c>
      <c r="E10" s="17">
        <v>20848</v>
      </c>
      <c r="H10" s="9" t="s">
        <v>47</v>
      </c>
      <c r="I10" s="17">
        <f>J10*B24/B25</f>
        <v>31361.094017094016</v>
      </c>
      <c r="J10" s="17">
        <v>20848</v>
      </c>
    </row>
    <row r="11" spans="1:10" x14ac:dyDescent="0.35">
      <c r="A11" s="9" t="s">
        <v>3</v>
      </c>
      <c r="B11" s="17">
        <f>(B7+B10+B14+B15)*0.0833</f>
        <v>90341.939176940155</v>
      </c>
      <c r="C11" s="17">
        <f t="shared" ref="C11:E11" si="3">(C7+C10+C14+C15)*0.0833</f>
        <v>60477.522293761365</v>
      </c>
      <c r="D11" s="17">
        <f t="shared" si="3"/>
        <v>66366.832293761356</v>
      </c>
      <c r="E11" s="17">
        <f t="shared" si="3"/>
        <v>63422.177293761364</v>
      </c>
      <c r="H11" s="9" t="s">
        <v>3</v>
      </c>
      <c r="I11" s="17">
        <f>(I7+I10)*0.0833</f>
        <v>89447.464531623933</v>
      </c>
      <c r="J11" s="17">
        <f>(J7+J10)*0.0833</f>
        <v>59462.234944318181</v>
      </c>
    </row>
    <row r="12" spans="1:10" x14ac:dyDescent="0.35">
      <c r="A12" s="9" t="s">
        <v>4</v>
      </c>
      <c r="B12" s="17">
        <f>(B8+B9+B16)*0.0833</f>
        <v>3365.32</v>
      </c>
      <c r="C12" s="17">
        <f t="shared" ref="C12:E12" si="4">(C8+C9+C16)*0.0833</f>
        <v>2237.1729545454546</v>
      </c>
      <c r="D12" s="17">
        <f t="shared" si="4"/>
        <v>2237.1729545454546</v>
      </c>
      <c r="E12" s="17">
        <f t="shared" si="4"/>
        <v>2237.1729545454546</v>
      </c>
      <c r="H12" s="9" t="s">
        <v>4</v>
      </c>
      <c r="I12" s="17">
        <f t="shared" ref="I12:J12" si="5">(I8+I9)*0.0833</f>
        <v>3332</v>
      </c>
      <c r="J12" s="17">
        <f t="shared" si="5"/>
        <v>2215.0227272727275</v>
      </c>
    </row>
    <row r="13" spans="1:10" x14ac:dyDescent="0.35">
      <c r="A13" s="9" t="s">
        <v>6</v>
      </c>
      <c r="B13" s="17"/>
      <c r="C13" s="17">
        <v>4379</v>
      </c>
      <c r="D13" s="17">
        <f t="shared" si="0"/>
        <v>4379</v>
      </c>
      <c r="E13" s="17">
        <f t="shared" si="0"/>
        <v>4379</v>
      </c>
      <c r="H13" s="9" t="s">
        <v>6</v>
      </c>
      <c r="I13" s="17"/>
      <c r="J13" s="17">
        <v>4379</v>
      </c>
    </row>
    <row r="14" spans="1:10" x14ac:dyDescent="0.35">
      <c r="A14" s="9" t="s">
        <v>8</v>
      </c>
      <c r="B14" s="17"/>
      <c r="C14" s="17">
        <f>F24</f>
        <v>5000</v>
      </c>
      <c r="D14" s="17">
        <f>F25</f>
        <v>75000</v>
      </c>
      <c r="E14" s="17">
        <f>F26</f>
        <v>40000</v>
      </c>
      <c r="H14" s="31" t="s">
        <v>22</v>
      </c>
      <c r="I14" s="32"/>
      <c r="J14" s="17">
        <f>SUM(J7:J13)</f>
        <v>806479.51903522725</v>
      </c>
    </row>
    <row r="15" spans="1:10" x14ac:dyDescent="0.35">
      <c r="A15" s="9" t="s">
        <v>28</v>
      </c>
      <c r="B15" s="17">
        <f>(B7+B10+B14)*0.01</f>
        <v>10737.990940170941</v>
      </c>
      <c r="C15" s="17">
        <f t="shared" ref="C15:E15" si="6">(C7+C10+C14)*0.01</f>
        <v>7188.3235227272735</v>
      </c>
      <c r="D15" s="17">
        <f t="shared" si="6"/>
        <v>7888.3235227272735</v>
      </c>
      <c r="E15" s="17">
        <f t="shared" si="6"/>
        <v>7538.3235227272735</v>
      </c>
      <c r="H15" s="31" t="s">
        <v>23</v>
      </c>
      <c r="I15" s="32"/>
      <c r="J15" s="17">
        <f>J14*0.336</f>
        <v>270977.11839583638</v>
      </c>
    </row>
    <row r="16" spans="1:10" x14ac:dyDescent="0.35">
      <c r="A16" s="13" t="s">
        <v>27</v>
      </c>
      <c r="B16" s="20">
        <f>(B8+B9)*0.01</f>
        <v>400</v>
      </c>
      <c r="C16" s="20">
        <f>(C8+C9)*0.01</f>
        <v>265.90909090909093</v>
      </c>
      <c r="D16" s="20">
        <f t="shared" ref="D16:E16" si="7">(D8+D9)*0.01</f>
        <v>265.90909090909093</v>
      </c>
      <c r="E16" s="20">
        <f t="shared" si="7"/>
        <v>265.90909090909093</v>
      </c>
      <c r="H16" s="29" t="s">
        <v>24</v>
      </c>
      <c r="I16" s="30"/>
      <c r="J16" s="22">
        <f>(J14+J15)/$B$25</f>
        <v>9209.0310891543904</v>
      </c>
    </row>
    <row r="17" spans="1:6" x14ac:dyDescent="0.35">
      <c r="A17" s="33" t="s">
        <v>22</v>
      </c>
      <c r="B17" s="34"/>
      <c r="C17" s="17">
        <f>SUM(C7:C16)</f>
        <v>819971.1892255795</v>
      </c>
      <c r="D17" s="17">
        <f>SUM(D7:D16)</f>
        <v>896560.49922557944</v>
      </c>
      <c r="E17" s="17">
        <f>SUM(E7:E16)</f>
        <v>858265.84422557952</v>
      </c>
    </row>
    <row r="18" spans="1:6" x14ac:dyDescent="0.35">
      <c r="A18" s="33" t="s">
        <v>23</v>
      </c>
      <c r="B18" s="34"/>
      <c r="C18" s="17">
        <f>C17*0.336</f>
        <v>275510.31957979471</v>
      </c>
      <c r="D18" s="17">
        <f t="shared" ref="D18:E18" si="8">D17*0.336</f>
        <v>301244.32773979468</v>
      </c>
      <c r="E18" s="17">
        <f t="shared" si="8"/>
        <v>288377.32365979475</v>
      </c>
    </row>
    <row r="19" spans="1:6" x14ac:dyDescent="0.35">
      <c r="A19" s="29" t="s">
        <v>24</v>
      </c>
      <c r="B19" s="30"/>
      <c r="C19" s="22">
        <f>(C17+C18)/$B$25</f>
        <v>9363.089818849352</v>
      </c>
      <c r="D19" s="22">
        <f t="shared" ref="D19:E19" si="9">(D17+D18)/$B$25</f>
        <v>10237.648093721147</v>
      </c>
      <c r="E19" s="22">
        <f t="shared" si="9"/>
        <v>9800.3689562852505</v>
      </c>
    </row>
    <row r="20" spans="1:6" s="25" customFormat="1" x14ac:dyDescent="0.35">
      <c r="A20" s="23"/>
      <c r="B20" s="23"/>
      <c r="C20" s="24"/>
      <c r="D20" s="24"/>
      <c r="E20" s="24"/>
    </row>
    <row r="21" spans="1:6" s="25" customFormat="1" x14ac:dyDescent="0.35">
      <c r="A21" s="23"/>
      <c r="B21" s="23"/>
      <c r="C21" s="24"/>
      <c r="D21" s="24"/>
      <c r="E21" s="24"/>
    </row>
    <row r="23" spans="1:6" ht="15" thickBot="1" x14ac:dyDescent="0.4"/>
    <row r="24" spans="1:6" ht="15" thickBot="1" x14ac:dyDescent="0.4">
      <c r="A24" s="3" t="s">
        <v>2</v>
      </c>
      <c r="B24" s="4">
        <v>176</v>
      </c>
      <c r="C24" s="5" t="s">
        <v>0</v>
      </c>
      <c r="D24" s="8"/>
      <c r="E24" t="s">
        <v>9</v>
      </c>
      <c r="F24" s="16">
        <v>5000</v>
      </c>
    </row>
    <row r="25" spans="1:6" ht="15" thickBot="1" x14ac:dyDescent="0.4">
      <c r="A25" s="3" t="s">
        <v>7</v>
      </c>
      <c r="B25" s="4">
        <v>117</v>
      </c>
      <c r="C25" s="5" t="s">
        <v>0</v>
      </c>
      <c r="D25" s="8"/>
      <c r="E25" t="s">
        <v>10</v>
      </c>
      <c r="F25" s="16">
        <v>75000</v>
      </c>
    </row>
    <row r="26" spans="1:6" x14ac:dyDescent="0.35">
      <c r="E26" t="s">
        <v>30</v>
      </c>
      <c r="F26" s="16">
        <f>AVERAGE(F24:F25)</f>
        <v>40000</v>
      </c>
    </row>
    <row r="27" spans="1:6" x14ac:dyDescent="0.35">
      <c r="A27" t="s">
        <v>32</v>
      </c>
    </row>
  </sheetData>
  <mergeCells count="6">
    <mergeCell ref="A19:B19"/>
    <mergeCell ref="H14:I14"/>
    <mergeCell ref="H15:I15"/>
    <mergeCell ref="H16:I16"/>
    <mergeCell ref="A17:B17"/>
    <mergeCell ref="A18:B18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H15" sqref="H15:I15"/>
    </sheetView>
  </sheetViews>
  <sheetFormatPr baseColWidth="10" defaultRowHeight="14.5" x14ac:dyDescent="0.35"/>
  <cols>
    <col min="1" max="1" width="38.90625" customWidth="1"/>
    <col min="2" max="5" width="12.81640625" bestFit="1" customWidth="1"/>
    <col min="8" max="8" width="36.90625" customWidth="1"/>
    <col min="9" max="9" width="12.81640625" bestFit="1" customWidth="1"/>
    <col min="10" max="10" width="10.08984375" customWidth="1"/>
    <col min="11" max="11" width="17.36328125" bestFit="1" customWidth="1"/>
    <col min="12" max="12" width="21.453125" bestFit="1" customWidth="1"/>
    <col min="13" max="13" width="21.81640625" bestFit="1" customWidth="1"/>
    <col min="14" max="14" width="23" bestFit="1" customWidth="1"/>
  </cols>
  <sheetData>
    <row r="1" spans="1:10" ht="18.5" x14ac:dyDescent="0.45">
      <c r="A1" s="6" t="s">
        <v>13</v>
      </c>
    </row>
    <row r="3" spans="1:10" x14ac:dyDescent="0.35">
      <c r="A3" s="7" t="s">
        <v>20</v>
      </c>
      <c r="H3" s="7" t="s">
        <v>18</v>
      </c>
    </row>
    <row r="4" spans="1:10" x14ac:dyDescent="0.35">
      <c r="A4" t="s">
        <v>35</v>
      </c>
      <c r="H4" t="s">
        <v>36</v>
      </c>
    </row>
    <row r="6" spans="1:10" s="11" customFormat="1" ht="43.5" x14ac:dyDescent="0.35">
      <c r="A6" s="10" t="s">
        <v>14</v>
      </c>
      <c r="B6" s="10" t="s">
        <v>5</v>
      </c>
      <c r="C6" s="10" t="s">
        <v>11</v>
      </c>
      <c r="D6" s="10" t="s">
        <v>12</v>
      </c>
      <c r="E6" s="10" t="s">
        <v>16</v>
      </c>
      <c r="H6" s="10" t="s">
        <v>14</v>
      </c>
      <c r="I6" s="10" t="s">
        <v>5</v>
      </c>
      <c r="J6" s="10" t="s">
        <v>19</v>
      </c>
    </row>
    <row r="7" spans="1:10" x14ac:dyDescent="0.35">
      <c r="A7" s="9" t="s">
        <v>1</v>
      </c>
      <c r="B7" s="17">
        <v>723601</v>
      </c>
      <c r="C7" s="17">
        <f>B7/$B$23*$B$24</f>
        <v>452250.625</v>
      </c>
      <c r="D7" s="17">
        <f t="shared" ref="D7:E12" si="0">C7</f>
        <v>452250.625</v>
      </c>
      <c r="E7" s="17">
        <f t="shared" si="0"/>
        <v>452250.625</v>
      </c>
      <c r="H7" s="9" t="s">
        <v>1</v>
      </c>
      <c r="I7" s="17">
        <v>723601</v>
      </c>
      <c r="J7" s="17">
        <f>I7/$B$23*$B$24</f>
        <v>452250.625</v>
      </c>
    </row>
    <row r="8" spans="1:10" x14ac:dyDescent="0.35">
      <c r="A8" s="9" t="s">
        <v>21</v>
      </c>
      <c r="B8" s="17">
        <f>15826+44027+97645+65675</f>
        <v>223173</v>
      </c>
      <c r="C8" s="17">
        <f>B8/$B$23*$B$24</f>
        <v>139483.125</v>
      </c>
      <c r="D8" s="17">
        <f t="shared" si="0"/>
        <v>139483.125</v>
      </c>
      <c r="E8" s="17">
        <f t="shared" si="0"/>
        <v>139483.125</v>
      </c>
      <c r="H8" s="9" t="s">
        <v>21</v>
      </c>
      <c r="I8" s="17">
        <f>15826+44027+97645+65675</f>
        <v>223173</v>
      </c>
      <c r="J8" s="17">
        <f>I8/$B$23*$B$24</f>
        <v>139483.125</v>
      </c>
    </row>
    <row r="9" spans="1:10" x14ac:dyDescent="0.35">
      <c r="A9" s="9" t="s">
        <v>34</v>
      </c>
      <c r="B9" s="17">
        <v>5225.8464220000023</v>
      </c>
      <c r="C9" s="17">
        <v>3296.4648554166633</v>
      </c>
      <c r="D9" s="17">
        <v>3300.8737220833355</v>
      </c>
      <c r="E9" s="17">
        <v>3298.6692887499994</v>
      </c>
      <c r="H9" s="9" t="s">
        <v>34</v>
      </c>
      <c r="I9" s="17">
        <v>5225.8464220000023</v>
      </c>
      <c r="J9" s="17">
        <v>3266.1540137500015</v>
      </c>
    </row>
    <row r="10" spans="1:10" x14ac:dyDescent="0.35">
      <c r="A10" s="9" t="s">
        <v>3</v>
      </c>
      <c r="B10" s="17">
        <f>(B7+B9+B13+B14)*0.0833</f>
        <v>61318.389070022124</v>
      </c>
      <c r="C10" s="17">
        <f t="shared" ref="C10:E10" si="1">(C7+C9+C13+C14)*0.0833</f>
        <v>38529.47210680577</v>
      </c>
      <c r="D10" s="17">
        <f t="shared" si="1"/>
        <v>44093.810726985044</v>
      </c>
      <c r="E10" s="17">
        <f t="shared" si="1"/>
        <v>41311.6414168954</v>
      </c>
      <c r="H10" s="9" t="s">
        <v>3</v>
      </c>
      <c r="I10" s="17">
        <f>(I7+I9)*0.0833</f>
        <v>60711.276306952597</v>
      </c>
      <c r="J10" s="17">
        <f>(J7+J9)*0.0833</f>
        <v>37944.547691845379</v>
      </c>
    </row>
    <row r="11" spans="1:10" x14ac:dyDescent="0.35">
      <c r="A11" s="9" t="s">
        <v>4</v>
      </c>
      <c r="B11" s="17">
        <f>(B8+B15)*0.0833</f>
        <v>18776.214008999999</v>
      </c>
      <c r="C11" s="17">
        <f t="shared" ref="C11:E11" si="2">(C8+C15)*0.0833</f>
        <v>11735.133755624998</v>
      </c>
      <c r="D11" s="17">
        <f t="shared" si="2"/>
        <v>11735.133755624998</v>
      </c>
      <c r="E11" s="17">
        <f t="shared" si="2"/>
        <v>11735.133755624998</v>
      </c>
      <c r="H11" s="9" t="s">
        <v>4</v>
      </c>
      <c r="I11" s="17">
        <f>I8*0.0833</f>
        <v>18590.3109</v>
      </c>
      <c r="J11" s="17">
        <f>J8*0.0833</f>
        <v>11618.9443125</v>
      </c>
    </row>
    <row r="12" spans="1:10" x14ac:dyDescent="0.35">
      <c r="A12" s="9" t="s">
        <v>6</v>
      </c>
      <c r="B12" s="17"/>
      <c r="C12" s="17">
        <v>4379</v>
      </c>
      <c r="D12" s="17">
        <f t="shared" si="0"/>
        <v>4379</v>
      </c>
      <c r="E12" s="17">
        <f t="shared" si="0"/>
        <v>4379</v>
      </c>
      <c r="H12" s="9" t="s">
        <v>6</v>
      </c>
      <c r="I12" s="17"/>
      <c r="J12" s="17">
        <v>4379</v>
      </c>
    </row>
    <row r="13" spans="1:10" x14ac:dyDescent="0.35">
      <c r="A13" s="9" t="s">
        <v>8</v>
      </c>
      <c r="B13" s="17"/>
      <c r="C13" s="17">
        <f>F23</f>
        <v>2412</v>
      </c>
      <c r="D13" s="17">
        <f>F24</f>
        <v>68545</v>
      </c>
      <c r="E13" s="17">
        <f>F25</f>
        <v>35478.5</v>
      </c>
      <c r="H13" s="31" t="s">
        <v>22</v>
      </c>
      <c r="I13" s="32"/>
      <c r="J13" s="17">
        <f>SUM(J7:J12)</f>
        <v>648942.39601809531</v>
      </c>
    </row>
    <row r="14" spans="1:10" x14ac:dyDescent="0.35">
      <c r="A14" s="9" t="s">
        <v>28</v>
      </c>
      <c r="B14" s="17">
        <f>(B7+B9+B13)*0.01</f>
        <v>7288.2684642200002</v>
      </c>
      <c r="C14" s="17">
        <f t="shared" ref="C14:E14" si="3">(C7+C9+C13)*0.01</f>
        <v>4579.5908985541673</v>
      </c>
      <c r="D14" s="17">
        <f t="shared" si="3"/>
        <v>5240.9649872208338</v>
      </c>
      <c r="E14" s="17">
        <f t="shared" si="3"/>
        <v>4910.2779428875001</v>
      </c>
      <c r="H14" s="31" t="s">
        <v>23</v>
      </c>
      <c r="I14" s="32"/>
      <c r="J14" s="17">
        <f t="shared" ref="J14" si="4">J13*0.325</f>
        <v>210906.27870588098</v>
      </c>
    </row>
    <row r="15" spans="1:10" x14ac:dyDescent="0.35">
      <c r="A15" s="13" t="s">
        <v>27</v>
      </c>
      <c r="B15" s="17">
        <f>B8*0.01</f>
        <v>2231.73</v>
      </c>
      <c r="C15" s="20">
        <f>C8*0.01</f>
        <v>1394.83125</v>
      </c>
      <c r="D15" s="20">
        <f t="shared" ref="D15:E15" si="5">D8*0.01</f>
        <v>1394.83125</v>
      </c>
      <c r="E15" s="20">
        <f t="shared" si="5"/>
        <v>1394.83125</v>
      </c>
      <c r="H15" s="29" t="s">
        <v>24</v>
      </c>
      <c r="I15" s="30"/>
      <c r="J15" s="22">
        <f t="shared" ref="J15" si="6">(J13+J14)/$B$24</f>
        <v>7816.8061338543303</v>
      </c>
    </row>
    <row r="16" spans="1:10" x14ac:dyDescent="0.35">
      <c r="A16" s="33" t="s">
        <v>22</v>
      </c>
      <c r="B16" s="34"/>
      <c r="C16" s="17">
        <f>SUM(C7:C15)</f>
        <v>658060.24286640168</v>
      </c>
      <c r="D16" s="17">
        <f>SUM(D7:D15)</f>
        <v>730423.36444191413</v>
      </c>
      <c r="E16" s="17">
        <f>SUM(E7:E15)</f>
        <v>694241.80365415802</v>
      </c>
    </row>
    <row r="17" spans="1:6" x14ac:dyDescent="0.35">
      <c r="A17" s="33" t="s">
        <v>23</v>
      </c>
      <c r="B17" s="34"/>
      <c r="C17" s="17">
        <f>C16*0.325</f>
        <v>213869.57893158056</v>
      </c>
      <c r="D17" s="17">
        <f t="shared" ref="D17:E17" si="7">D16*0.325</f>
        <v>237387.59344362211</v>
      </c>
      <c r="E17" s="17">
        <f t="shared" si="7"/>
        <v>225628.58618760135</v>
      </c>
    </row>
    <row r="18" spans="1:6" x14ac:dyDescent="0.35">
      <c r="A18" s="29" t="s">
        <v>24</v>
      </c>
      <c r="B18" s="30"/>
      <c r="C18" s="22">
        <f>(C16+C17)/$B$24</f>
        <v>7926.6347436180204</v>
      </c>
      <c r="D18" s="22">
        <f t="shared" ref="D18:E18" si="8">(D16+D17)/$B$24</f>
        <v>8798.2814353230569</v>
      </c>
      <c r="E18" s="22">
        <f t="shared" si="8"/>
        <v>8362.4580894705396</v>
      </c>
    </row>
    <row r="19" spans="1:6" s="25" customFormat="1" x14ac:dyDescent="0.35">
      <c r="A19" s="23"/>
      <c r="B19" s="23"/>
      <c r="C19" s="24"/>
      <c r="D19" s="24"/>
      <c r="E19" s="24"/>
    </row>
    <row r="20" spans="1:6" s="25" customFormat="1" x14ac:dyDescent="0.35">
      <c r="A20" s="23"/>
      <c r="B20" s="23"/>
      <c r="C20" s="24"/>
      <c r="D20" s="24"/>
      <c r="E20" s="24"/>
    </row>
    <row r="22" spans="1:6" ht="15" thickBot="1" x14ac:dyDescent="0.4"/>
    <row r="23" spans="1:6" ht="15" thickBot="1" x14ac:dyDescent="0.4">
      <c r="A23" s="3" t="s">
        <v>2</v>
      </c>
      <c r="B23" s="4">
        <v>176</v>
      </c>
      <c r="C23" s="5" t="s">
        <v>0</v>
      </c>
      <c r="D23" s="8"/>
      <c r="E23" t="s">
        <v>9</v>
      </c>
      <c r="F23" s="16">
        <v>2412</v>
      </c>
    </row>
    <row r="24" spans="1:6" ht="15" thickBot="1" x14ac:dyDescent="0.4">
      <c r="A24" s="3" t="s">
        <v>7</v>
      </c>
      <c r="B24" s="4">
        <v>110</v>
      </c>
      <c r="C24" s="5" t="s">
        <v>0</v>
      </c>
      <c r="D24" s="8"/>
      <c r="E24" t="s">
        <v>10</v>
      </c>
      <c r="F24" s="16">
        <v>68545</v>
      </c>
    </row>
    <row r="25" spans="1:6" x14ac:dyDescent="0.35">
      <c r="E25" t="s">
        <v>30</v>
      </c>
      <c r="F25" s="16">
        <f>AVERAGE(F23:F24)</f>
        <v>35478.5</v>
      </c>
    </row>
  </sheetData>
  <mergeCells count="6">
    <mergeCell ref="A18:B18"/>
    <mergeCell ref="A16:B16"/>
    <mergeCell ref="A17:B17"/>
    <mergeCell ref="H13:I13"/>
    <mergeCell ref="H14:I14"/>
    <mergeCell ref="H15:I15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zoomScale="110" zoomScaleNormal="110" workbookViewId="0"/>
  </sheetViews>
  <sheetFormatPr baseColWidth="10" defaultRowHeight="14.5" x14ac:dyDescent="0.35"/>
  <cols>
    <col min="1" max="1" width="38.90625" customWidth="1"/>
    <col min="2" max="5" width="12.81640625" bestFit="1" customWidth="1"/>
    <col min="8" max="8" width="36.90625" customWidth="1"/>
    <col min="9" max="9" width="12.81640625" bestFit="1" customWidth="1"/>
    <col min="10" max="10" width="10.08984375" customWidth="1"/>
    <col min="11" max="11" width="17.36328125" bestFit="1" customWidth="1"/>
    <col min="12" max="12" width="21.453125" bestFit="1" customWidth="1"/>
    <col min="13" max="13" width="21.81640625" bestFit="1" customWidth="1"/>
    <col min="14" max="14" width="23" bestFit="1" customWidth="1"/>
  </cols>
  <sheetData>
    <row r="1" spans="1:14" ht="18.5" x14ac:dyDescent="0.45">
      <c r="A1" s="6" t="s">
        <v>25</v>
      </c>
      <c r="J1" s="6"/>
    </row>
    <row r="3" spans="1:14" x14ac:dyDescent="0.35">
      <c r="A3" s="7" t="s">
        <v>20</v>
      </c>
      <c r="H3" s="7" t="s">
        <v>18</v>
      </c>
    </row>
    <row r="4" spans="1:14" x14ac:dyDescent="0.35">
      <c r="A4" t="s">
        <v>35</v>
      </c>
      <c r="H4" t="s">
        <v>36</v>
      </c>
    </row>
    <row r="5" spans="1:14" x14ac:dyDescent="0.35">
      <c r="K5" s="2"/>
    </row>
    <row r="6" spans="1:14" s="11" customFormat="1" ht="43.5" x14ac:dyDescent="0.35">
      <c r="A6" s="10" t="s">
        <v>14</v>
      </c>
      <c r="B6" s="10" t="s">
        <v>5</v>
      </c>
      <c r="C6" s="10" t="s">
        <v>11</v>
      </c>
      <c r="D6" s="10" t="s">
        <v>12</v>
      </c>
      <c r="E6" s="10" t="s">
        <v>16</v>
      </c>
      <c r="H6" s="10" t="s">
        <v>14</v>
      </c>
      <c r="I6" s="10" t="s">
        <v>5</v>
      </c>
      <c r="J6" s="10" t="s">
        <v>19</v>
      </c>
      <c r="K6" s="12"/>
      <c r="L6" s="12"/>
      <c r="M6" s="12"/>
      <c r="N6" s="12"/>
    </row>
    <row r="7" spans="1:14" x14ac:dyDescent="0.35">
      <c r="A7" s="9" t="s">
        <v>1</v>
      </c>
      <c r="B7" s="17">
        <v>457088</v>
      </c>
      <c r="C7" s="17">
        <f>B7/$B$23*$B$24</f>
        <v>327233.45454545453</v>
      </c>
      <c r="D7" s="17">
        <f t="shared" ref="D7:E7" si="0">C7</f>
        <v>327233.45454545453</v>
      </c>
      <c r="E7" s="17">
        <f t="shared" si="0"/>
        <v>327233.45454545453</v>
      </c>
      <c r="H7" s="9" t="s">
        <v>1</v>
      </c>
      <c r="I7" s="17">
        <v>457088</v>
      </c>
      <c r="J7" s="17">
        <f>I7/$B$23*$B$24</f>
        <v>327233.45454545453</v>
      </c>
      <c r="L7" s="1"/>
      <c r="M7" s="1"/>
      <c r="N7" s="1"/>
    </row>
    <row r="8" spans="1:14" x14ac:dyDescent="0.35">
      <c r="A8" s="9" t="s">
        <v>29</v>
      </c>
      <c r="B8" s="17">
        <f>171866+94343+68713</f>
        <v>334922</v>
      </c>
      <c r="C8" s="17">
        <f>B8/$B$23*$B$24</f>
        <v>239773.70454545453</v>
      </c>
      <c r="D8" s="17">
        <f t="shared" ref="D8:E8" si="1">C8</f>
        <v>239773.70454545453</v>
      </c>
      <c r="E8" s="17">
        <f t="shared" si="1"/>
        <v>239773.70454545453</v>
      </c>
      <c r="H8" s="9" t="s">
        <v>26</v>
      </c>
      <c r="I8" s="17">
        <f>171866+94343+68713</f>
        <v>334922</v>
      </c>
      <c r="J8" s="17">
        <f>I8/$B$23*$B$24</f>
        <v>239773.70454545453</v>
      </c>
      <c r="L8" s="1"/>
      <c r="M8" s="1"/>
      <c r="N8" s="1"/>
    </row>
    <row r="9" spans="1:14" x14ac:dyDescent="0.35">
      <c r="A9" s="9" t="s">
        <v>33</v>
      </c>
      <c r="B9" s="17">
        <v>19989.372416000002</v>
      </c>
      <c r="C9" s="17">
        <v>12495.47896</v>
      </c>
      <c r="D9" s="17">
        <v>12511.48416</v>
      </c>
      <c r="E9" s="17">
        <v>12503.48156</v>
      </c>
      <c r="H9" s="9" t="s">
        <v>33</v>
      </c>
      <c r="I9" s="17">
        <v>19806.537216000001</v>
      </c>
      <c r="J9" s="17">
        <v>12379.085759999998</v>
      </c>
      <c r="L9" s="1"/>
      <c r="M9" s="1"/>
      <c r="N9" s="1"/>
    </row>
    <row r="10" spans="1:14" x14ac:dyDescent="0.35">
      <c r="A10" s="9" t="s">
        <v>3</v>
      </c>
      <c r="B10" s="17">
        <f>(B7+B9+B13+B14)*0.0833</f>
        <v>40137.950573475326</v>
      </c>
      <c r="C10" s="17">
        <f t="shared" ref="C10:E10" si="2">(C7+C9+C13+C14)*0.0833</f>
        <v>29028.571661614405</v>
      </c>
      <c r="D10" s="17">
        <f t="shared" si="2"/>
        <v>32396.331956106009</v>
      </c>
      <c r="E10" s="17">
        <f t="shared" si="2"/>
        <v>30712.451808860202</v>
      </c>
      <c r="H10" s="9" t="s">
        <v>3</v>
      </c>
      <c r="I10" s="17">
        <f>(I7+I9)*0.0833</f>
        <v>39725.314950092805</v>
      </c>
      <c r="J10" s="17">
        <f>(J7+J9)*0.0833</f>
        <v>28289.724607444361</v>
      </c>
      <c r="K10" s="1"/>
      <c r="L10" s="1"/>
      <c r="M10" s="1"/>
      <c r="N10" s="1"/>
    </row>
    <row r="11" spans="1:14" x14ac:dyDescent="0.35">
      <c r="A11" s="9" t="s">
        <v>4</v>
      </c>
      <c r="B11" s="17">
        <f>(B8+B15)*0.0833</f>
        <v>28177.992625999996</v>
      </c>
      <c r="C11" s="17">
        <f t="shared" ref="C11:E11" si="3">(C8+C15)*0.0833</f>
        <v>20172.881084522727</v>
      </c>
      <c r="D11" s="17">
        <f t="shared" si="3"/>
        <v>20172.881084522727</v>
      </c>
      <c r="E11" s="17">
        <f t="shared" si="3"/>
        <v>20172.881084522727</v>
      </c>
      <c r="H11" s="9" t="s">
        <v>4</v>
      </c>
      <c r="I11" s="17">
        <f>I8*0.0833</f>
        <v>27899.0026</v>
      </c>
      <c r="J11" s="17">
        <f>I11/$B$23*$B$24</f>
        <v>19973.149588636366</v>
      </c>
      <c r="K11" s="1"/>
      <c r="L11" s="1"/>
      <c r="M11" s="1"/>
      <c r="N11" s="1"/>
    </row>
    <row r="12" spans="1:14" x14ac:dyDescent="0.35">
      <c r="A12" s="9" t="s">
        <v>6</v>
      </c>
      <c r="B12" s="17"/>
      <c r="C12" s="17">
        <v>4379</v>
      </c>
      <c r="D12" s="17">
        <v>4379</v>
      </c>
      <c r="E12" s="17">
        <v>4379</v>
      </c>
      <c r="H12" s="9" t="s">
        <v>6</v>
      </c>
      <c r="I12" s="17"/>
      <c r="J12" s="17">
        <v>4379</v>
      </c>
      <c r="M12" s="1"/>
      <c r="N12" s="1"/>
    </row>
    <row r="13" spans="1:14" x14ac:dyDescent="0.35">
      <c r="A13" s="9" t="s">
        <v>8</v>
      </c>
      <c r="B13" s="17"/>
      <c r="C13" s="17">
        <f>F23</f>
        <v>5303</v>
      </c>
      <c r="D13" s="17">
        <f>F24</f>
        <v>45316</v>
      </c>
      <c r="E13" s="17">
        <f>F25</f>
        <v>25309.5</v>
      </c>
      <c r="H13" s="31" t="s">
        <v>22</v>
      </c>
      <c r="I13" s="32"/>
      <c r="J13" s="17">
        <f>SUM(J7:J12)</f>
        <v>632028.11904698983</v>
      </c>
      <c r="L13" s="1"/>
      <c r="M13" s="1"/>
      <c r="N13" s="1"/>
    </row>
    <row r="14" spans="1:14" x14ac:dyDescent="0.35">
      <c r="A14" s="21" t="s">
        <v>28</v>
      </c>
      <c r="B14" s="17">
        <f>(B7+B9+B13)*0.01</f>
        <v>4770.7737241599998</v>
      </c>
      <c r="C14" s="17">
        <f t="shared" ref="C14:E14" si="4">(C7+C9+C13)*0.01</f>
        <v>3450.3193350545453</v>
      </c>
      <c r="D14" s="17">
        <f t="shared" si="4"/>
        <v>3850.6093870545451</v>
      </c>
      <c r="E14" s="17">
        <f t="shared" si="4"/>
        <v>3650.4643610545454</v>
      </c>
      <c r="H14" s="31" t="s">
        <v>23</v>
      </c>
      <c r="I14" s="32"/>
      <c r="J14" s="17">
        <f>J13*0.325</f>
        <v>205409.13869027171</v>
      </c>
      <c r="L14" s="1"/>
      <c r="M14" s="1"/>
      <c r="N14" s="1"/>
    </row>
    <row r="15" spans="1:14" x14ac:dyDescent="0.35">
      <c r="A15" s="14" t="s">
        <v>27</v>
      </c>
      <c r="B15" s="17">
        <f>B8*0.01</f>
        <v>3349.2200000000003</v>
      </c>
      <c r="C15" s="17">
        <f>C8*0.01</f>
        <v>2397.7370454545453</v>
      </c>
      <c r="D15" s="17">
        <f t="shared" ref="D15:E15" si="5">D8*0.01</f>
        <v>2397.7370454545453</v>
      </c>
      <c r="E15" s="17">
        <f t="shared" si="5"/>
        <v>2397.7370454545453</v>
      </c>
      <c r="H15" s="29" t="s">
        <v>24</v>
      </c>
      <c r="I15" s="30"/>
      <c r="J15" s="22">
        <f>(J13+J14)/$B$24</f>
        <v>6646.3274423592184</v>
      </c>
    </row>
    <row r="16" spans="1:14" x14ac:dyDescent="0.35">
      <c r="A16" s="33" t="s">
        <v>22</v>
      </c>
      <c r="B16" s="34"/>
      <c r="C16" s="17">
        <f>SUM(C7:C15)</f>
        <v>644234.14717755525</v>
      </c>
      <c r="D16" s="17">
        <f t="shared" ref="D16:E16" si="6">SUM(D7:D15)</f>
        <v>688031.20272404689</v>
      </c>
      <c r="E16" s="17">
        <f t="shared" si="6"/>
        <v>666132.67495080107</v>
      </c>
      <c r="H16" s="18"/>
      <c r="I16" s="18"/>
      <c r="J16" s="19"/>
    </row>
    <row r="17" spans="1:10" x14ac:dyDescent="0.35">
      <c r="A17" s="33" t="s">
        <v>23</v>
      </c>
      <c r="B17" s="34"/>
      <c r="C17" s="17">
        <f>C16*0.325</f>
        <v>209376.09783270548</v>
      </c>
      <c r="D17" s="17">
        <f t="shared" ref="D17:E17" si="7">D16*0.325</f>
        <v>223610.14088531525</v>
      </c>
      <c r="E17" s="17">
        <f t="shared" si="7"/>
        <v>216493.11935901036</v>
      </c>
      <c r="H17" s="18"/>
      <c r="I17" s="18"/>
      <c r="J17" s="19"/>
    </row>
    <row r="18" spans="1:10" x14ac:dyDescent="0.35">
      <c r="A18" s="29" t="s">
        <v>24</v>
      </c>
      <c r="B18" s="30"/>
      <c r="C18" s="22">
        <f>(C16+C17)/$B$24</f>
        <v>6774.6844842084183</v>
      </c>
      <c r="D18" s="22">
        <f t="shared" ref="D18:E18" si="8">(D16+D17)/$B$24</f>
        <v>7235.2487588044614</v>
      </c>
      <c r="E18" s="22">
        <f t="shared" si="8"/>
        <v>7004.9666215064399</v>
      </c>
      <c r="H18" s="18"/>
      <c r="I18" s="18"/>
      <c r="J18" s="19"/>
    </row>
    <row r="22" spans="1:10" ht="15" thickBot="1" x14ac:dyDescent="0.4"/>
    <row r="23" spans="1:10" ht="15" thickBot="1" x14ac:dyDescent="0.4">
      <c r="A23" s="3" t="s">
        <v>2</v>
      </c>
      <c r="B23" s="4">
        <v>176</v>
      </c>
      <c r="C23" s="5" t="s">
        <v>0</v>
      </c>
      <c r="D23" s="8"/>
      <c r="E23" t="s">
        <v>9</v>
      </c>
      <c r="F23">
        <v>5303</v>
      </c>
    </row>
    <row r="24" spans="1:10" ht="15" thickBot="1" x14ac:dyDescent="0.4">
      <c r="A24" s="3" t="s">
        <v>7</v>
      </c>
      <c r="B24" s="4">
        <v>126</v>
      </c>
      <c r="C24" s="5" t="s">
        <v>0</v>
      </c>
      <c r="D24" s="8"/>
      <c r="E24" t="s">
        <v>10</v>
      </c>
      <c r="F24">
        <v>45316</v>
      </c>
    </row>
    <row r="25" spans="1:10" x14ac:dyDescent="0.35">
      <c r="E25" t="s">
        <v>15</v>
      </c>
      <c r="F25" s="2">
        <f>AVERAGE(F23:F24)</f>
        <v>25309.5</v>
      </c>
    </row>
    <row r="26" spans="1:10" x14ac:dyDescent="0.35">
      <c r="B26" s="2"/>
      <c r="C26" s="2"/>
    </row>
  </sheetData>
  <mergeCells count="6">
    <mergeCell ref="A16:B16"/>
    <mergeCell ref="A17:B17"/>
    <mergeCell ref="A18:B18"/>
    <mergeCell ref="H13:I13"/>
    <mergeCell ref="H14:I14"/>
    <mergeCell ref="H15:I1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A2" sqref="A2"/>
    </sheetView>
  </sheetViews>
  <sheetFormatPr baseColWidth="10" defaultRowHeight="14.5" x14ac:dyDescent="0.35"/>
  <cols>
    <col min="1" max="1" width="37.54296875" bestFit="1" customWidth="1"/>
    <col min="2" max="2" width="63.90625" bestFit="1" customWidth="1"/>
  </cols>
  <sheetData>
    <row r="1" spans="1:2" x14ac:dyDescent="0.35">
      <c r="A1" s="9" t="s">
        <v>33</v>
      </c>
      <c r="B1" s="9" t="s">
        <v>37</v>
      </c>
    </row>
    <row r="2" spans="1:2" x14ac:dyDescent="0.35">
      <c r="A2" s="9" t="s">
        <v>33</v>
      </c>
      <c r="B2" s="9" t="s">
        <v>38</v>
      </c>
    </row>
    <row r="3" spans="1:2" x14ac:dyDescent="0.35">
      <c r="A3" s="9" t="s">
        <v>3</v>
      </c>
      <c r="B3" s="9" t="s">
        <v>40</v>
      </c>
    </row>
    <row r="4" spans="1:2" x14ac:dyDescent="0.35">
      <c r="A4" s="9" t="s">
        <v>4</v>
      </c>
      <c r="B4" s="9" t="s">
        <v>50</v>
      </c>
    </row>
    <row r="5" spans="1:2" x14ac:dyDescent="0.35">
      <c r="A5" s="9" t="s">
        <v>28</v>
      </c>
      <c r="B5" s="9" t="s">
        <v>41</v>
      </c>
    </row>
    <row r="6" spans="1:2" x14ac:dyDescent="0.35">
      <c r="A6" s="15" t="s">
        <v>27</v>
      </c>
      <c r="B6" s="9" t="s">
        <v>39</v>
      </c>
    </row>
    <row r="7" spans="1:2" x14ac:dyDescent="0.35">
      <c r="A7" s="26"/>
    </row>
    <row r="8" spans="1:2" x14ac:dyDescent="0.35">
      <c r="A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Julio 2026</vt:lpstr>
      <vt:lpstr>Junio 2026</vt:lpstr>
      <vt:lpstr>Mayo 2026</vt:lpstr>
      <vt:lpstr>Abril 2026</vt:lpstr>
      <vt:lpstr>Marzo 2026</vt:lpstr>
      <vt:lpstr>Diciembre 2025</vt:lpstr>
      <vt:lpstr>Noviembre 2025</vt:lpstr>
      <vt:lpstr>Octubre 2025</vt:lpstr>
      <vt:lpstr>Septiembre 2025</vt:lpstr>
      <vt:lpstr>Julio 2025</vt:lpstr>
      <vt:lpstr>Enero 2025</vt:lpstr>
      <vt:lpstr>Julio 2024</vt:lpstr>
      <vt:lpstr>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2025-07-03T16:13:44Z</dcterms:created>
  <dcterms:modified xsi:type="dcterms:W3CDTF">2026-04-15T16:47:48Z</dcterms:modified>
</cp:coreProperties>
</file>