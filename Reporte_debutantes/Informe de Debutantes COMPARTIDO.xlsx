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23040" windowHeight="9192" activeTab="2"/>
  </bookViews>
  <sheets>
    <sheet name="Base" sheetId="2" r:id="rId1"/>
    <sheet name="Facturación mensual" sheetId="16" r:id="rId2"/>
    <sheet name="2025-05-19" sheetId="17" r:id="rId3"/>
    <sheet name="2025-05-12" sheetId="3" r:id="rId4"/>
    <sheet name="2025-05-05" sheetId="4" r:id="rId5"/>
    <sheet name="2025-04-23" sheetId="5" r:id="rId6"/>
    <sheet name="2025-04-15" sheetId="6" r:id="rId7"/>
    <sheet name="26.03" sheetId="7" r:id="rId8"/>
    <sheet name="12.03" sheetId="8" r:id="rId9"/>
    <sheet name="19.02" sheetId="9" r:id="rId10"/>
    <sheet name="05.02" sheetId="10" r:id="rId11"/>
    <sheet name="22.01" sheetId="11" r:id="rId12"/>
    <sheet name="15.01" sheetId="12" r:id="rId13"/>
    <sheet name="Mes-Tienda" sheetId="13" state="hidden" r:id="rId14"/>
    <sheet name="País" sheetId="14" state="hidden" r:id="rId15"/>
  </sheets>
  <calcPr calcId="162913"/>
  <extLst>
    <ext uri="GoogleSheetsCustomDataVersion2">
      <go:sheetsCustomData xmlns:go="http://customooxmlschemas.google.com/" r:id="rId18" roundtripDataChecksum="ztIa/ncp/82OLjzcOfKQAnTLD9FFG4jtSnRQwI8eGT8="/>
    </ext>
  </extLst>
</workbook>
</file>

<file path=xl/calcChain.xml><?xml version="1.0" encoding="utf-8"?>
<calcChain xmlns="http://schemas.openxmlformats.org/spreadsheetml/2006/main">
  <c r="J24" i="14" l="1"/>
  <c r="I24" i="14"/>
  <c r="H24" i="14"/>
  <c r="G24" i="14"/>
  <c r="F24" i="14"/>
  <c r="E24" i="14"/>
  <c r="D24" i="14"/>
  <c r="C24" i="14"/>
  <c r="K23" i="14"/>
  <c r="K22" i="14"/>
  <c r="L22" i="14" s="1"/>
  <c r="K21" i="14"/>
  <c r="K20" i="14"/>
  <c r="L20" i="14" s="1"/>
  <c r="K19" i="14"/>
  <c r="K18" i="14"/>
  <c r="L18" i="14" s="1"/>
  <c r="K17" i="14"/>
  <c r="K16" i="14"/>
  <c r="L16" i="14" s="1"/>
  <c r="K15" i="14"/>
  <c r="K14" i="14"/>
  <c r="L14" i="14" s="1"/>
  <c r="K13" i="14"/>
  <c r="K12" i="14"/>
  <c r="L12" i="14" s="1"/>
  <c r="K11" i="14"/>
  <c r="K10" i="14"/>
  <c r="L10" i="14" s="1"/>
  <c r="K9" i="14"/>
  <c r="K8" i="14"/>
  <c r="L8" i="14" s="1"/>
  <c r="K7" i="14"/>
  <c r="K6" i="14"/>
  <c r="L6" i="14" s="1"/>
  <c r="K5" i="14"/>
  <c r="K4" i="14"/>
  <c r="L23" i="14" s="1"/>
  <c r="K3" i="14"/>
  <c r="I23" i="13"/>
  <c r="I22" i="13"/>
  <c r="I21" i="13"/>
  <c r="I20" i="13"/>
  <c r="I19" i="13"/>
  <c r="I18" i="13"/>
  <c r="I17" i="13"/>
  <c r="I16" i="13"/>
  <c r="J12" i="13"/>
  <c r="J11" i="13"/>
  <c r="J10" i="13"/>
  <c r="J9" i="13"/>
  <c r="J8" i="13"/>
  <c r="J7" i="13"/>
  <c r="J6" i="13"/>
  <c r="J5" i="13"/>
  <c r="F36" i="12"/>
  <c r="F35" i="12"/>
  <c r="F34" i="12"/>
  <c r="K33" i="12"/>
  <c r="F33" i="12"/>
  <c r="K32" i="12"/>
  <c r="J32" i="12"/>
  <c r="E32" i="12"/>
  <c r="D32" i="12"/>
  <c r="C32" i="12"/>
  <c r="B32" i="12"/>
  <c r="F32" i="12" s="1"/>
  <c r="F28" i="12"/>
  <c r="F27" i="12"/>
  <c r="F26" i="12"/>
  <c r="F25" i="12"/>
  <c r="G25" i="12" s="1"/>
  <c r="J24" i="12"/>
  <c r="K25" i="12" s="1"/>
  <c r="K24" i="12" s="1"/>
  <c r="E24" i="12"/>
  <c r="D24" i="12"/>
  <c r="C24" i="12"/>
  <c r="B24" i="12"/>
  <c r="F24" i="12" s="1"/>
  <c r="K20" i="12"/>
  <c r="F20" i="12"/>
  <c r="K19" i="12"/>
  <c r="F19" i="12"/>
  <c r="F18" i="12"/>
  <c r="F17" i="12"/>
  <c r="F16" i="12" s="1"/>
  <c r="J16" i="12"/>
  <c r="K17" i="12" s="1"/>
  <c r="E16" i="12"/>
  <c r="D16" i="12"/>
  <c r="C16" i="12"/>
  <c r="B16" i="12"/>
  <c r="K54" i="11"/>
  <c r="J52" i="11"/>
  <c r="K55" i="11" s="1"/>
  <c r="E52" i="11"/>
  <c r="D52" i="11"/>
  <c r="C52" i="11"/>
  <c r="B52" i="11"/>
  <c r="F52" i="11" s="1"/>
  <c r="K47" i="11"/>
  <c r="K46" i="11"/>
  <c r="K45" i="11"/>
  <c r="K44" i="11"/>
  <c r="K43" i="11" s="1"/>
  <c r="J43" i="11"/>
  <c r="E43" i="11"/>
  <c r="D43" i="11"/>
  <c r="C43" i="11"/>
  <c r="B43" i="11"/>
  <c r="F43" i="11" s="1"/>
  <c r="F39" i="11"/>
  <c r="K38" i="11"/>
  <c r="F38" i="11"/>
  <c r="F37" i="11"/>
  <c r="F36" i="11"/>
  <c r="G36" i="11" s="1"/>
  <c r="J35" i="11"/>
  <c r="K36" i="11" s="1"/>
  <c r="E35" i="11"/>
  <c r="D35" i="11"/>
  <c r="C35" i="11"/>
  <c r="B35" i="11"/>
  <c r="F35" i="11" s="1"/>
  <c r="F31" i="11"/>
  <c r="F30" i="11"/>
  <c r="F29" i="11"/>
  <c r="G29" i="11" s="1"/>
  <c r="F28" i="11"/>
  <c r="J27" i="11"/>
  <c r="K28" i="11" s="1"/>
  <c r="E27" i="11"/>
  <c r="D27" i="11"/>
  <c r="C27" i="11"/>
  <c r="B27" i="11"/>
  <c r="F27" i="11" s="1"/>
  <c r="K23" i="11"/>
  <c r="K22" i="11"/>
  <c r="F22" i="11"/>
  <c r="K21" i="11"/>
  <c r="F21" i="11"/>
  <c r="F20" i="11"/>
  <c r="F19" i="11"/>
  <c r="G19" i="11" s="1"/>
  <c r="J18" i="11"/>
  <c r="K19" i="11" s="1"/>
  <c r="F18" i="11"/>
  <c r="G21" i="11" s="1"/>
  <c r="E18" i="11"/>
  <c r="D18" i="11"/>
  <c r="C18" i="11"/>
  <c r="B18" i="11"/>
  <c r="F68" i="10"/>
  <c r="F67" i="10"/>
  <c r="F64" i="10" s="1"/>
  <c r="F66" i="10"/>
  <c r="F65" i="10"/>
  <c r="J64" i="10"/>
  <c r="K65" i="10" s="1"/>
  <c r="K64" i="10" s="1"/>
  <c r="E64" i="10"/>
  <c r="D64" i="10"/>
  <c r="C64" i="10"/>
  <c r="B64" i="10"/>
  <c r="F60" i="10"/>
  <c r="F59" i="10"/>
  <c r="F58" i="10"/>
  <c r="F55" i="10" s="1"/>
  <c r="F57" i="10"/>
  <c r="F56" i="10"/>
  <c r="J55" i="10"/>
  <c r="K57" i="10" s="1"/>
  <c r="E55" i="10"/>
  <c r="D55" i="10"/>
  <c r="C55" i="10"/>
  <c r="B55" i="10"/>
  <c r="F51" i="10"/>
  <c r="K50" i="10"/>
  <c r="F50" i="10"/>
  <c r="F46" i="10" s="1"/>
  <c r="K49" i="10"/>
  <c r="F49" i="10"/>
  <c r="K48" i="10"/>
  <c r="F48" i="10"/>
  <c r="F47" i="10"/>
  <c r="J46" i="10"/>
  <c r="K51" i="10" s="1"/>
  <c r="E46" i="10"/>
  <c r="D46" i="10"/>
  <c r="C46" i="10"/>
  <c r="B46" i="10"/>
  <c r="K42" i="10"/>
  <c r="F42" i="10"/>
  <c r="K41" i="10"/>
  <c r="F41" i="10"/>
  <c r="K40" i="10"/>
  <c r="F40" i="10"/>
  <c r="F39" i="10"/>
  <c r="J38" i="10"/>
  <c r="K39" i="10" s="1"/>
  <c r="K38" i="10" s="1"/>
  <c r="E38" i="10"/>
  <c r="D38" i="10"/>
  <c r="C38" i="10"/>
  <c r="B38" i="10"/>
  <c r="F34" i="10"/>
  <c r="K33" i="10"/>
  <c r="F33" i="10"/>
  <c r="F32" i="10"/>
  <c r="F31" i="10"/>
  <c r="J30" i="10"/>
  <c r="K31" i="10" s="1"/>
  <c r="F30" i="10"/>
  <c r="E30" i="10"/>
  <c r="D30" i="10"/>
  <c r="C30" i="10"/>
  <c r="B30" i="10"/>
  <c r="F24" i="10"/>
  <c r="F23" i="10"/>
  <c r="F22" i="10"/>
  <c r="F21" i="10"/>
  <c r="J20" i="10"/>
  <c r="E20" i="10"/>
  <c r="D20" i="10"/>
  <c r="C20" i="10"/>
  <c r="B20" i="10"/>
  <c r="G49" i="9"/>
  <c r="F49" i="9"/>
  <c r="J48" i="9"/>
  <c r="K49" i="9" s="1"/>
  <c r="K48" i="9" s="1"/>
  <c r="G48" i="9"/>
  <c r="F48" i="9"/>
  <c r="E48" i="9"/>
  <c r="D48" i="9"/>
  <c r="C48" i="9"/>
  <c r="B48" i="9"/>
  <c r="F44" i="9"/>
  <c r="F43" i="9"/>
  <c r="F42" i="9"/>
  <c r="F41" i="9"/>
  <c r="F40" i="9"/>
  <c r="F39" i="9" s="1"/>
  <c r="J39" i="9"/>
  <c r="K40" i="9" s="1"/>
  <c r="K39" i="9" s="1"/>
  <c r="E39" i="9"/>
  <c r="D39" i="9"/>
  <c r="C39" i="9"/>
  <c r="B39" i="9"/>
  <c r="F35" i="9"/>
  <c r="F34" i="9"/>
  <c r="F33" i="9"/>
  <c r="F32" i="9"/>
  <c r="F31" i="9"/>
  <c r="K30" i="9"/>
  <c r="J30" i="9"/>
  <c r="K31" i="9" s="1"/>
  <c r="E30" i="9"/>
  <c r="D30" i="9"/>
  <c r="C30" i="9"/>
  <c r="B30" i="9"/>
  <c r="G26" i="9"/>
  <c r="F26" i="9"/>
  <c r="F25" i="9"/>
  <c r="K24" i="9"/>
  <c r="F24" i="9"/>
  <c r="G23" i="9"/>
  <c r="F23" i="9"/>
  <c r="J22" i="9"/>
  <c r="K23" i="9" s="1"/>
  <c r="K22" i="9" s="1"/>
  <c r="F22" i="9"/>
  <c r="G24" i="9" s="1"/>
  <c r="E22" i="9"/>
  <c r="D22" i="9"/>
  <c r="C22" i="9"/>
  <c r="B22" i="9"/>
  <c r="F18" i="9"/>
  <c r="K17" i="9"/>
  <c r="F17" i="9"/>
  <c r="F16" i="9"/>
  <c r="F15" i="9"/>
  <c r="F14" i="9" s="1"/>
  <c r="J14" i="9"/>
  <c r="K15" i="9" s="1"/>
  <c r="E14" i="9"/>
  <c r="D14" i="9"/>
  <c r="C14" i="9"/>
  <c r="B14" i="9"/>
  <c r="G46" i="8"/>
  <c r="F46" i="8"/>
  <c r="K45" i="8"/>
  <c r="J45" i="8"/>
  <c r="K46" i="8" s="1"/>
  <c r="G45" i="8"/>
  <c r="F45" i="8"/>
  <c r="E45" i="8"/>
  <c r="D45" i="8"/>
  <c r="C45" i="8"/>
  <c r="B45" i="8"/>
  <c r="F41" i="8"/>
  <c r="F40" i="8"/>
  <c r="F39" i="8"/>
  <c r="F38" i="8"/>
  <c r="F37" i="8"/>
  <c r="J36" i="8"/>
  <c r="K37" i="8" s="1"/>
  <c r="E36" i="8"/>
  <c r="D36" i="8"/>
  <c r="C36" i="8"/>
  <c r="B36" i="8"/>
  <c r="F32" i="8"/>
  <c r="F31" i="8"/>
  <c r="F30" i="8"/>
  <c r="F27" i="8" s="1"/>
  <c r="G28" i="8" s="1"/>
  <c r="F29" i="8"/>
  <c r="G29" i="8" s="1"/>
  <c r="F28" i="8"/>
  <c r="J27" i="8"/>
  <c r="K28" i="8" s="1"/>
  <c r="K27" i="8" s="1"/>
  <c r="E27" i="8"/>
  <c r="D27" i="8"/>
  <c r="C27" i="8"/>
  <c r="B27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F53" i="7"/>
  <c r="F52" i="7"/>
  <c r="F51" i="7"/>
  <c r="F50" i="7"/>
  <c r="F49" i="7"/>
  <c r="F48" i="7"/>
  <c r="J47" i="7"/>
  <c r="K48" i="7" s="1"/>
  <c r="E47" i="7"/>
  <c r="D47" i="7"/>
  <c r="C47" i="7"/>
  <c r="B47" i="7"/>
  <c r="F43" i="7"/>
  <c r="F42" i="7"/>
  <c r="K41" i="7"/>
  <c r="F41" i="7"/>
  <c r="F40" i="7"/>
  <c r="F39" i="7"/>
  <c r="J38" i="7"/>
  <c r="K39" i="7" s="1"/>
  <c r="F38" i="7"/>
  <c r="G41" i="7" s="1"/>
  <c r="E38" i="7"/>
  <c r="D38" i="7"/>
  <c r="C38" i="7"/>
  <c r="B38" i="7"/>
  <c r="F34" i="7"/>
  <c r="F33" i="7"/>
  <c r="F32" i="7"/>
  <c r="F31" i="7"/>
  <c r="F30" i="7"/>
  <c r="F29" i="7"/>
  <c r="J28" i="7"/>
  <c r="K29" i="7" s="1"/>
  <c r="K28" i="7" s="1"/>
  <c r="E28" i="7"/>
  <c r="D28" i="7"/>
  <c r="C28" i="7"/>
  <c r="B28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N40" i="2"/>
  <c r="M40" i="2"/>
  <c r="M39" i="2"/>
  <c r="N39" i="2" s="1"/>
  <c r="N38" i="2"/>
  <c r="M38" i="2"/>
  <c r="M37" i="2"/>
  <c r="N37" i="2" s="1"/>
  <c r="N36" i="2"/>
  <c r="M36" i="2"/>
  <c r="M35" i="2"/>
  <c r="N35" i="2" s="1"/>
  <c r="N34" i="2"/>
  <c r="M34" i="2"/>
  <c r="M33" i="2"/>
  <c r="N33" i="2" s="1"/>
  <c r="N32" i="2"/>
  <c r="M32" i="2"/>
  <c r="M31" i="2"/>
  <c r="N31" i="2" s="1"/>
  <c r="N30" i="2"/>
  <c r="M30" i="2"/>
  <c r="M29" i="2"/>
  <c r="N29" i="2" s="1"/>
  <c r="N28" i="2"/>
  <c r="M28" i="2"/>
  <c r="M27" i="2"/>
  <c r="N27" i="2" s="1"/>
  <c r="N26" i="2"/>
  <c r="M26" i="2"/>
  <c r="M25" i="2"/>
  <c r="N25" i="2" s="1"/>
  <c r="N24" i="2"/>
  <c r="M24" i="2"/>
  <c r="M23" i="2"/>
  <c r="N23" i="2" s="1"/>
  <c r="N22" i="2"/>
  <c r="M22" i="2"/>
  <c r="M21" i="2"/>
  <c r="N21" i="2" s="1"/>
  <c r="N20" i="2"/>
  <c r="M20" i="2"/>
  <c r="M19" i="2"/>
  <c r="N19" i="2" s="1"/>
  <c r="N18" i="2"/>
  <c r="M18" i="2"/>
  <c r="M17" i="2"/>
  <c r="N17" i="2" s="1"/>
  <c r="N16" i="2"/>
  <c r="M16" i="2"/>
  <c r="M15" i="2"/>
  <c r="N15" i="2" s="1"/>
  <c r="N14" i="2"/>
  <c r="M14" i="2"/>
  <c r="M13" i="2"/>
  <c r="N13" i="2" s="1"/>
  <c r="N12" i="2"/>
  <c r="M12" i="2"/>
  <c r="M11" i="2"/>
  <c r="N11" i="2" s="1"/>
  <c r="N10" i="2"/>
  <c r="M10" i="2"/>
  <c r="M9" i="2"/>
  <c r="N9" i="2" s="1"/>
  <c r="N8" i="2"/>
  <c r="M8" i="2"/>
  <c r="M7" i="2"/>
  <c r="N7" i="2" s="1"/>
  <c r="N6" i="2"/>
  <c r="M6" i="2"/>
  <c r="M5" i="2"/>
  <c r="N5" i="2" s="1"/>
  <c r="N4" i="2"/>
  <c r="M4" i="2"/>
  <c r="M3" i="2"/>
  <c r="N3" i="2" s="1"/>
  <c r="G17" i="9" l="1"/>
  <c r="G18" i="9"/>
  <c r="G16" i="9"/>
  <c r="G44" i="9"/>
  <c r="G42" i="9"/>
  <c r="G41" i="9"/>
  <c r="G43" i="9"/>
  <c r="K26" i="10"/>
  <c r="K22" i="10"/>
  <c r="K25" i="10"/>
  <c r="K23" i="10"/>
  <c r="K24" i="10"/>
  <c r="G43" i="7"/>
  <c r="F47" i="7"/>
  <c r="G52" i="7"/>
  <c r="G32" i="8"/>
  <c r="F36" i="8"/>
  <c r="G38" i="8" s="1"/>
  <c r="G31" i="10"/>
  <c r="G56" i="10"/>
  <c r="G60" i="10"/>
  <c r="G57" i="10"/>
  <c r="G59" i="10"/>
  <c r="G19" i="12"/>
  <c r="G20" i="12"/>
  <c r="G18" i="12"/>
  <c r="F28" i="7"/>
  <c r="G31" i="7"/>
  <c r="G40" i="7"/>
  <c r="K30" i="10"/>
  <c r="G34" i="12"/>
  <c r="G33" i="7"/>
  <c r="G39" i="7"/>
  <c r="G38" i="7" s="1"/>
  <c r="G30" i="8"/>
  <c r="G27" i="8" s="1"/>
  <c r="F30" i="9"/>
  <c r="G32" i="9" s="1"/>
  <c r="K21" i="10"/>
  <c r="G57" i="11"/>
  <c r="G48" i="11"/>
  <c r="G46" i="11"/>
  <c r="G44" i="11"/>
  <c r="G31" i="11"/>
  <c r="G56" i="11"/>
  <c r="G54" i="11"/>
  <c r="G28" i="11"/>
  <c r="G55" i="11"/>
  <c r="G47" i="11"/>
  <c r="G45" i="11"/>
  <c r="G53" i="11"/>
  <c r="G30" i="11"/>
  <c r="K27" i="11"/>
  <c r="G36" i="12"/>
  <c r="G48" i="7"/>
  <c r="G40" i="9"/>
  <c r="F20" i="10"/>
  <c r="G35" i="12"/>
  <c r="G33" i="12"/>
  <c r="G32" i="12" s="1"/>
  <c r="G42" i="7"/>
  <c r="G31" i="8"/>
  <c r="G15" i="9"/>
  <c r="G33" i="10"/>
  <c r="G34" i="10"/>
  <c r="G32" i="10"/>
  <c r="F38" i="10"/>
  <c r="G42" i="10"/>
  <c r="G48" i="10"/>
  <c r="G49" i="10"/>
  <c r="G51" i="10"/>
  <c r="G47" i="10"/>
  <c r="G46" i="10" s="1"/>
  <c r="G68" i="10"/>
  <c r="G66" i="10"/>
  <c r="G65" i="10"/>
  <c r="G38" i="11"/>
  <c r="G39" i="11"/>
  <c r="G37" i="11"/>
  <c r="G35" i="11" s="1"/>
  <c r="K35" i="11"/>
  <c r="G27" i="12"/>
  <c r="G28" i="12"/>
  <c r="G26" i="12"/>
  <c r="G24" i="12" s="1"/>
  <c r="K40" i="7"/>
  <c r="K38" i="7" s="1"/>
  <c r="K50" i="7"/>
  <c r="K16" i="9"/>
  <c r="K14" i="9" s="1"/>
  <c r="K32" i="10"/>
  <c r="K47" i="10"/>
  <c r="K46" i="10" s="1"/>
  <c r="G50" i="10"/>
  <c r="G58" i="10"/>
  <c r="G67" i="10"/>
  <c r="K20" i="11"/>
  <c r="K18" i="11" s="1"/>
  <c r="K30" i="11"/>
  <c r="K37" i="11"/>
  <c r="K53" i="11"/>
  <c r="K52" i="11" s="1"/>
  <c r="G17" i="12"/>
  <c r="G16" i="12" s="1"/>
  <c r="K18" i="12"/>
  <c r="K16" i="12" s="1"/>
  <c r="L4" i="14"/>
  <c r="K56" i="10"/>
  <c r="K55" i="10" s="1"/>
  <c r="G20" i="11"/>
  <c r="G18" i="11" s="1"/>
  <c r="K24" i="14"/>
  <c r="K49" i="7"/>
  <c r="K47" i="7" s="1"/>
  <c r="K38" i="8"/>
  <c r="K36" i="8" s="1"/>
  <c r="G25" i="9"/>
  <c r="G22" i="9" s="1"/>
  <c r="K58" i="10"/>
  <c r="G22" i="11"/>
  <c r="K29" i="11"/>
  <c r="L3" i="14"/>
  <c r="L5" i="14"/>
  <c r="L7" i="14"/>
  <c r="L9" i="14"/>
  <c r="L11" i="14"/>
  <c r="L13" i="14"/>
  <c r="L15" i="14"/>
  <c r="L17" i="14"/>
  <c r="L19" i="14"/>
  <c r="L21" i="14"/>
  <c r="G64" i="10" l="1"/>
  <c r="G14" i="9"/>
  <c r="G39" i="9"/>
  <c r="G53" i="7"/>
  <c r="G51" i="7"/>
  <c r="G50" i="7"/>
  <c r="G40" i="8"/>
  <c r="G37" i="8"/>
  <c r="G36" i="8" s="1"/>
  <c r="G39" i="8"/>
  <c r="G41" i="8"/>
  <c r="G40" i="10"/>
  <c r="G41" i="10"/>
  <c r="G39" i="10"/>
  <c r="G52" i="11"/>
  <c r="G27" i="11"/>
  <c r="G43" i="11"/>
  <c r="G55" i="10"/>
  <c r="G49" i="7"/>
  <c r="G47" i="7" s="1"/>
  <c r="G21" i="10"/>
  <c r="G20" i="10" s="1"/>
  <c r="G22" i="10"/>
  <c r="G24" i="10"/>
  <c r="G35" i="9"/>
  <c r="G33" i="9"/>
  <c r="G31" i="9"/>
  <c r="G23" i="10"/>
  <c r="K20" i="10"/>
  <c r="G34" i="7"/>
  <c r="G32" i="7"/>
  <c r="G30" i="7"/>
  <c r="G29" i="7"/>
  <c r="G30" i="10"/>
  <c r="G34" i="9"/>
  <c r="G28" i="7" l="1"/>
  <c r="G30" i="9"/>
  <c r="G38" i="10"/>
</calcChain>
</file>

<file path=xl/sharedStrings.xml><?xml version="1.0" encoding="utf-8"?>
<sst xmlns="http://schemas.openxmlformats.org/spreadsheetml/2006/main" count="2268" uniqueCount="215">
  <si>
    <t>FECHA_INGRESO</t>
  </si>
  <si>
    <t>VENTAS_TOTAL1</t>
  </si>
  <si>
    <t>VENTAS_TOTAL2</t>
  </si>
  <si>
    <t>VENTAS_TOTAL3</t>
  </si>
  <si>
    <t>Semana 1</t>
  </si>
  <si>
    <t>Semana 2</t>
  </si>
  <si>
    <t>Semana 3</t>
  </si>
  <si>
    <t>Semana 4</t>
  </si>
  <si>
    <t>Mes 2</t>
  </si>
  <si>
    <t>Mes 3</t>
  </si>
  <si>
    <t>Tienda</t>
  </si>
  <si>
    <t>Producto</t>
  </si>
  <si>
    <t>Fecha</t>
  </si>
  <si>
    <t>Desde</t>
  </si>
  <si>
    <t>Hasta</t>
  </si>
  <si>
    <t>Florida</t>
  </si>
  <si>
    <t>French</t>
  </si>
  <si>
    <t>Güemes</t>
  </si>
  <si>
    <t>Recoleta</t>
  </si>
  <si>
    <t>San Telmo</t>
  </si>
  <si>
    <t>San Telmo 2</t>
  </si>
  <si>
    <t>CARRY ON FRED</t>
  </si>
  <si>
    <t>CARRY ON JAMES</t>
  </si>
  <si>
    <t>PORTA TRAJE FRANK</t>
  </si>
  <si>
    <t>MATERA RENE FULL BLACK</t>
  </si>
  <si>
    <t>MOCHILA IKER</t>
  </si>
  <si>
    <t>PORTAFOLIO BIEL</t>
  </si>
  <si>
    <t>TOTE IRUYA</t>
  </si>
  <si>
    <t>GORRO FLORA</t>
  </si>
  <si>
    <t>PILUSO DORA</t>
  </si>
  <si>
    <t>PORTAVINO CAFAYATE</t>
  </si>
  <si>
    <t>PORTAVINO RIOJA</t>
  </si>
  <si>
    <t>CARTERA HARPER</t>
  </si>
  <si>
    <t>ESPEJO RECTANGULAR</t>
  </si>
  <si>
    <t>BOLSO ENRICO</t>
  </si>
  <si>
    <t>MALETIN BORIS</t>
  </si>
  <si>
    <t>MOCHILA SIMON</t>
  </si>
  <si>
    <t>SANDALIA LOLA</t>
  </si>
  <si>
    <t>SANDALIA LOLA C/ TACO</t>
  </si>
  <si>
    <t>PORTAVINO TANDIL</t>
  </si>
  <si>
    <t>Sí</t>
  </si>
  <si>
    <t>No</t>
  </si>
  <si>
    <t>MATERA OLI</t>
  </si>
  <si>
    <t>PORTAVINO UCO</t>
  </si>
  <si>
    <t>PORTAVINO TUNUYAN</t>
  </si>
  <si>
    <t>LLAVERO CALADO INICIALES</t>
  </si>
  <si>
    <t>LLAVERO CALADO ZODIACO</t>
  </si>
  <si>
    <t>LLAVERO CALADO FRASES</t>
  </si>
  <si>
    <t>TAG CALADO ZODIACO</t>
  </si>
  <si>
    <t>TAG CALADO INICIAL</t>
  </si>
  <si>
    <t>PORTALENTES LUZ BIFAZ</t>
  </si>
  <si>
    <t>PORTAPASAPORTE CHESTER BIFAZ</t>
  </si>
  <si>
    <t>TARJETERO ARIES BIFAZ</t>
  </si>
  <si>
    <t>CARTERA AMARILLA SET SOBRE BIFAZ</t>
  </si>
  <si>
    <t>MEDIA HOMBRE MEDIA CAÑA FANTASIA</t>
  </si>
  <si>
    <t>TOTE CACHI</t>
  </si>
  <si>
    <t>MOCHILA TECH 210512</t>
  </si>
  <si>
    <t>MOCHILA TECH 21066</t>
  </si>
  <si>
    <t>MOCHILA TECH 21076</t>
  </si>
  <si>
    <t>MOCHILA TECH 2551</t>
  </si>
  <si>
    <t>MOCHILA TECH 40998</t>
  </si>
  <si>
    <t>BOLSO ROQUE</t>
  </si>
  <si>
    <t>LLAVERO COMBINADO</t>
  </si>
  <si>
    <t>CARTERA INES</t>
  </si>
  <si>
    <t>BANDOLERA MATILDA</t>
  </si>
  <si>
    <t>BANDEJA MEDIANA</t>
  </si>
  <si>
    <t>DEBUTANTES - 2025-05-12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</si>
  <si>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</si>
  <si>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</si>
  <si>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</si>
  <si>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</si>
  <si>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</si>
  <si>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</si>
  <si>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</si>
  <si>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</si>
  <si>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</si>
  <si>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</si>
  <si>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</si>
  <si>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</si>
  <si>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</si>
  <si>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CHIARINI</t>
  </si>
  <si>
    <t>FABRICA</t>
  </si>
  <si>
    <t>ELEMENTO</t>
  </si>
  <si>
    <t>CHINA</t>
  </si>
  <si>
    <t>CARTERA AMARILLA SET SOBRE BIFAZ - $165.990</t>
  </si>
  <si>
    <t>Nacionalidad</t>
  </si>
  <si>
    <t>TIENDA</t>
  </si>
  <si>
    <t>País</t>
  </si>
  <si>
    <t>Acumulado</t>
  </si>
  <si>
    <t>%</t>
  </si>
  <si>
    <t>TOTAL</t>
  </si>
  <si>
    <t>Total</t>
  </si>
  <si>
    <t>100%</t>
  </si>
  <si>
    <t>Francia</t>
  </si>
  <si>
    <t>50%</t>
  </si>
  <si>
    <t>USA</t>
  </si>
  <si>
    <t>MEDIA HOMBRE MEDIA CAÑA FANTASIA - $  7.990</t>
  </si>
  <si>
    <t>Argentina</t>
  </si>
  <si>
    <t>MOCHILA TECH 210512 - $ 69.990</t>
  </si>
  <si>
    <t>75%</t>
  </si>
  <si>
    <t>Italia</t>
  </si>
  <si>
    <t>25%</t>
  </si>
  <si>
    <t>MOCHILA TECH 21066 - $ 69.990</t>
  </si>
  <si>
    <t>MOCHILA TECH 21076 - $ 69.990</t>
  </si>
  <si>
    <t>MOCHILA TECH 2551 - $109.990</t>
  </si>
  <si>
    <t>Brasil</t>
  </si>
  <si>
    <t>México</t>
  </si>
  <si>
    <t>MOCHILA TECH 40998 - $ 84.990</t>
  </si>
  <si>
    <t>33%</t>
  </si>
  <si>
    <t>Colombia</t>
  </si>
  <si>
    <t>17%</t>
  </si>
  <si>
    <t>PORTAPASAPORTE CHESTER BIFAZ - $ 15.990</t>
  </si>
  <si>
    <t>20%</t>
  </si>
  <si>
    <t>China</t>
  </si>
  <si>
    <t>10%</t>
  </si>
  <si>
    <t>Reino Unido</t>
  </si>
  <si>
    <t>TARJETERO ARIES BIFAZ - $  9.990</t>
  </si>
  <si>
    <t>Canadá</t>
  </si>
  <si>
    <t>67%</t>
  </si>
  <si>
    <t>TOTE CACHI - $ 99.990</t>
  </si>
  <si>
    <t>12%</t>
  </si>
  <si>
    <t>Chile</t>
  </si>
  <si>
    <t>Ecuador</t>
  </si>
  <si>
    <t>6%</t>
  </si>
  <si>
    <t>Israel</t>
  </si>
  <si>
    <t>Perú</t>
  </si>
  <si>
    <t>Serbia</t>
  </si>
  <si>
    <t>DEBUTANTES - 2025-05-05</t>
  </si>
  <si>
    <t>ROSENTHAL</t>
  </si>
  <si>
    <t>MEDIA HOMBRE MEDIA CAÑA FANTASIA - $7.990</t>
  </si>
  <si>
    <t>MOCHILA TECH 210512 - $69.990</t>
  </si>
  <si>
    <t>MOCHILA TECH 21076  - $69.990</t>
  </si>
  <si>
    <t>MOCHILA TECH 40998 - $84.990</t>
  </si>
  <si>
    <t>PORTALENTES LUZ BIFAZ - $12.990</t>
  </si>
  <si>
    <t>14%</t>
  </si>
  <si>
    <t>57%</t>
  </si>
  <si>
    <t>PORTAPASAPORTE CHESTER BIFAZ - $15.990</t>
  </si>
  <si>
    <t>62%</t>
  </si>
  <si>
    <t>PORTAVINO TUNUYAN - $129.990</t>
  </si>
  <si>
    <t>TARJETERO ARIES BIFAZ - $9.990</t>
  </si>
  <si>
    <t>TOTE CACHI - $99.990</t>
  </si>
  <si>
    <t>30%</t>
  </si>
  <si>
    <t>DEBUTANTES - 2025-04-23</t>
  </si>
  <si>
    <t>MATERA OLI - $214.990</t>
  </si>
  <si>
    <t>Estados Unidos</t>
  </si>
  <si>
    <t>PORTAVINO TANDIL - $64.990</t>
  </si>
  <si>
    <t>Australia</t>
  </si>
  <si>
    <t>PORTAVINO UCO - $84.990</t>
  </si>
  <si>
    <t>Alemania</t>
  </si>
  <si>
    <t>Portugal</t>
  </si>
  <si>
    <t>Sin datos</t>
  </si>
  <si>
    <t>DEBUTANTES - 2025-04-15</t>
  </si>
  <si>
    <t>CHACO</t>
  </si>
  <si>
    <t>DEBUTANTES - 26/3/2025</t>
  </si>
  <si>
    <t>Proveedor</t>
  </si>
  <si>
    <t>1° día a la venta</t>
  </si>
  <si>
    <t>Mes 1</t>
  </si>
  <si>
    <t>MATERA OLI - $ 214.990</t>
  </si>
  <si>
    <t xml:space="preserve">Total Mes </t>
  </si>
  <si>
    <t>Totales</t>
  </si>
  <si>
    <t>PORTAVINO TANDIL - $ 64.990</t>
  </si>
  <si>
    <t>PORTAVINO UCO - $ 84.990</t>
  </si>
  <si>
    <t>DEBUTANTES - 12/3/2025</t>
  </si>
  <si>
    <t>BOLSO ENRICO - $ 249.990</t>
  </si>
  <si>
    <t>MALETIN BORIS - $ 399.990</t>
  </si>
  <si>
    <t>SANDALIA LOLA C/ TACO - $ 99.990</t>
  </si>
  <si>
    <t>DEBUTANTES - 19/2/2025</t>
  </si>
  <si>
    <t>CARTERA HARPER - $ 199.990</t>
  </si>
  <si>
    <t>ESPEJO RECTANGULAR - $ 19.990</t>
  </si>
  <si>
    <t>DEBUTANTES - 5/2/2025</t>
  </si>
  <si>
    <t>TOTE IRUYA - $ 99.990</t>
  </si>
  <si>
    <t>España</t>
  </si>
  <si>
    <t>Uruguay</t>
  </si>
  <si>
    <t>GORRO FLORA - $ 19.990</t>
  </si>
  <si>
    <t>PILUSO DORA - $ 19.990</t>
  </si>
  <si>
    <t>PORTA VINO CAFAYATE - $ 34.990</t>
  </si>
  <si>
    <t>Sin info</t>
  </si>
  <si>
    <t>Rusia</t>
  </si>
  <si>
    <t>PORTA VINO RIOJA - $ 34.990</t>
  </si>
  <si>
    <t>DEBUTANTES - 22/1/2025</t>
  </si>
  <si>
    <t>DEBUTANTES - 15/1/2025</t>
  </si>
  <si>
    <t>TEXTIL - VENTA ACUMULADA</t>
  </si>
  <si>
    <t>Precio</t>
  </si>
  <si>
    <t>agosto</t>
  </si>
  <si>
    <t>septiembre</t>
  </si>
  <si>
    <t>octubre</t>
  </si>
  <si>
    <t>noviembre</t>
  </si>
  <si>
    <t>diciembre</t>
  </si>
  <si>
    <t>enero</t>
  </si>
  <si>
    <t>Venta Acumulada</t>
  </si>
  <si>
    <t>CHALINA</t>
  </si>
  <si>
    <t>CHOMBA PIQUE</t>
  </si>
  <si>
    <t>MEDIA HOMBRE MEDIA CAÑA</t>
  </si>
  <si>
    <t>MEDIAS DE VESTIR POLIAMIDA</t>
  </si>
  <si>
    <t>MEDIAS DE VESTIR ALGODON</t>
  </si>
  <si>
    <t>REMERA HOMBRE CUELLO REDONDO ALGODON PIMA</t>
  </si>
  <si>
    <t>REMERA MUJER CUELLO REDONDO ALGODON PIMA</t>
  </si>
  <si>
    <t>REMERA MUJER CUELLO U ALGODON PIMA</t>
  </si>
  <si>
    <t>Galeria Güemes</t>
  </si>
  <si>
    <t>Total U</t>
  </si>
  <si>
    <t>Total %</t>
  </si>
  <si>
    <t>Costa Rica</t>
  </si>
  <si>
    <t>Países Bajos</t>
  </si>
  <si>
    <t>Suiza</t>
  </si>
  <si>
    <t>Puerto Rico</t>
  </si>
  <si>
    <t>Ucrania</t>
  </si>
  <si>
    <t>DEBUTANTES - 2025-05-19</t>
  </si>
  <si>
    <t>CARTERA INES - $144.990</t>
  </si>
  <si>
    <t>El Salvador</t>
  </si>
  <si>
    <t>Venezuela</t>
  </si>
  <si>
    <t>80%</t>
  </si>
  <si>
    <t>60%</t>
  </si>
  <si>
    <t>37%</t>
  </si>
  <si>
    <t>11%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</si>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</sst>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\ * #,##0_-;\-&quot;$&quot;\ * #,##0_-;_-&quot;$&quot;\ * &quot;-&quot;??_-;_-@"/>
    <numFmt numFmtId="165" formatCode="0.0%"/>
  </numFmts>
  <fonts count="46">
    <font>
      <sz val="11"/>
      <color theme="1"/>
      <name val="Aptos Narrow"/>
      <scheme val="minor"/>
    </font>
    <font>
      <b/>
      <sz val="11"/>
      <color rgb="FFFFFFFF"/>
      <name val="Calibri"/>
    </font>
    <font>
      <sz val="11"/>
      <color rgb="FF000000"/>
      <name val="Aptos Narrow"/>
    </font>
    <font>
      <sz val="11"/>
      <color rgb="FF000000"/>
      <name val="Calibri"/>
    </font>
    <font>
      <b/>
      <sz val="11"/>
      <color rgb="FF000000"/>
      <name val="Roboto"/>
    </font>
    <font>
      <b/>
      <sz val="11"/>
      <color theme="1"/>
      <name val="Roboto"/>
    </font>
    <font>
      <sz val="11"/>
      <color theme="1"/>
      <name val="Roboto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1"/>
      <color rgb="FF0055A4"/>
      <name val="Calibri"/>
    </font>
    <font>
      <b/>
      <sz val="11"/>
      <color rgb="FF171A67"/>
      <name val="Calibri"/>
    </font>
    <font>
      <b/>
      <sz val="11"/>
      <color rgb="FF75AADB"/>
      <name val="Calibri"/>
    </font>
    <font>
      <b/>
      <sz val="11"/>
      <color rgb="FFF8766D"/>
      <name val="Calibri"/>
    </font>
    <font>
      <b/>
      <sz val="11"/>
      <color rgb="FF009E3D"/>
      <name val="Calibri"/>
    </font>
    <font>
      <b/>
      <sz val="11"/>
      <color rgb="FF006400"/>
      <name val="Calibri"/>
    </font>
    <font>
      <b/>
      <sz val="11"/>
      <color rgb="FFFF0000"/>
      <name val="Calibri"/>
    </font>
    <font>
      <b/>
      <sz val="11"/>
      <color rgb="FFDFF484"/>
      <name val="Calibri"/>
    </font>
    <font>
      <b/>
      <sz val="11"/>
      <color rgb="FFFF69B4"/>
      <name val="Calibri"/>
    </font>
    <font>
      <b/>
      <sz val="11"/>
      <color rgb="FFF4E584"/>
      <name val="Calibri"/>
    </font>
    <font>
      <b/>
      <sz val="11"/>
      <color rgb="FF00BA38"/>
      <name val="Calibri"/>
    </font>
    <font>
      <b/>
      <sz val="11"/>
      <color rgb="FF619CFF"/>
      <name val="Calibri"/>
    </font>
    <font>
      <b/>
      <sz val="11"/>
      <color rgb="FF5C0029"/>
      <name val="Calibri"/>
    </font>
    <font>
      <b/>
      <sz val="11"/>
      <color rgb="FF00008B"/>
      <name val="Calibri"/>
    </font>
    <font>
      <b/>
      <sz val="11"/>
      <color rgb="FF7CAE00"/>
      <name val="Calibri"/>
    </font>
    <font>
      <b/>
      <sz val="11"/>
      <color rgb="FF00BFC4"/>
      <name val="Calibri"/>
    </font>
    <font>
      <b/>
      <sz val="11"/>
      <color rgb="FFC77CFF"/>
      <name val="Calibri"/>
    </font>
    <font>
      <b/>
      <sz val="11"/>
      <color rgb="FF808080"/>
      <name val="Calibri"/>
    </font>
    <font>
      <b/>
      <sz val="12"/>
      <color rgb="FF3A3A3A"/>
      <name val="Open Sans"/>
    </font>
    <font>
      <b/>
      <sz val="13"/>
      <color theme="1"/>
      <name val="Open Sans"/>
    </font>
    <font>
      <sz val="13"/>
      <color theme="1"/>
      <name val="Open Sans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Aptos Narrow"/>
    </font>
    <font>
      <sz val="10"/>
      <color theme="1"/>
      <name val="Roboto"/>
    </font>
    <font>
      <sz val="10"/>
      <color theme="1"/>
      <name val="Aptos Narrow"/>
    </font>
    <font>
      <sz val="12"/>
      <color rgb="FF3A3A3A"/>
      <name val="Open Sans"/>
    </font>
    <font>
      <sz val="11"/>
      <color theme="1"/>
      <name val="Open Sans"/>
    </font>
    <font>
      <sz val="11"/>
      <color theme="0"/>
      <name val="Open Sans"/>
    </font>
    <font>
      <sz val="10"/>
      <color theme="0"/>
      <name val="Arial"/>
    </font>
    <font>
      <sz val="10"/>
      <color rgb="FF595959"/>
      <name val="Arial"/>
    </font>
    <font>
      <u/>
      <sz val="12"/>
      <color theme="1"/>
      <name val="Open Sans"/>
    </font>
    <font>
      <sz val="12"/>
      <color theme="1"/>
      <name val="Open Sans"/>
    </font>
    <font>
      <sz val="11"/>
      <color rgb="FF595959"/>
      <name val="Aptos Narrow"/>
    </font>
    <font>
      <sz val="10"/>
      <color rgb="FF78206E"/>
      <name val="Arial"/>
    </font>
    <font>
      <sz val="10"/>
      <color rgb="FF501549"/>
      <name val="Arial"/>
    </font>
    <font>
      <sz val="11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D699"/>
        <bgColor rgb="FFFFD699"/>
      </patternFill>
    </fill>
    <fill>
      <patternFill patternType="solid">
        <fgColor rgb="FFA3E7FF"/>
        <bgColor rgb="FFA3E7FF"/>
      </patternFill>
    </fill>
    <fill>
      <patternFill patternType="solid">
        <fgColor rgb="FFF1CEEE"/>
        <bgColor rgb="FFF1CEEE"/>
      </patternFill>
    </fill>
    <fill>
      <patternFill patternType="solid">
        <fgColor rgb="FF339966"/>
        <bgColor rgb="FF339966"/>
      </patternFill>
    </fill>
    <fill>
      <patternFill patternType="solid">
        <fgColor rgb="FF0F9ED5"/>
        <bgColor rgb="FF0F9ED5"/>
      </patternFill>
    </fill>
    <fill>
      <patternFill patternType="solid">
        <fgColor rgb="FF156082"/>
        <bgColor rgb="FF156082"/>
      </patternFill>
    </fill>
    <fill>
      <patternFill patternType="solid">
        <fgColor rgb="FFF2F2F2"/>
        <bgColor rgb="FFF2F2F2"/>
      </patternFill>
    </fill>
    <fill>
      <patternFill patternType="solid">
        <fgColor rgb="FF4F81BD"/>
      </patternFill>
    </fill>
    <fill>
      <patternFill patternType="solid">
        <fgColor rgb="FFFFD69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0" fontId="45" fillId="0" borderId="9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" fontId="5" fillId="0" borderId="4" xfId="0" applyNumberFormat="1" applyFont="1" applyBorder="1" applyAlignment="1">
      <alignment horizontal="center"/>
    </xf>
    <xf numFmtId="0" fontId="6" fillId="0" borderId="0" xfId="0" applyFont="1"/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16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" fontId="6" fillId="0" borderId="3" xfId="0" applyNumberFormat="1" applyFont="1" applyBorder="1" applyAlignment="1">
      <alignment horizontal="center"/>
    </xf>
    <xf numFmtId="16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16" fontId="6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14" fontId="3" fillId="0" borderId="8" xfId="0" applyNumberFormat="1" applyFont="1" applyBorder="1"/>
    <xf numFmtId="10" fontId="3" fillId="0" borderId="8" xfId="0" applyNumberFormat="1" applyFont="1" applyBorder="1"/>
    <xf numFmtId="0" fontId="8" fillId="3" borderId="9" xfId="0" applyFont="1" applyFill="1" applyBorder="1"/>
    <xf numFmtId="0" fontId="9" fillId="0" borderId="8" xfId="0" applyFont="1" applyBorder="1"/>
    <xf numFmtId="0" fontId="10" fillId="0" borderId="8" xfId="0" applyFont="1" applyBorder="1"/>
    <xf numFmtId="0" fontId="11" fillId="0" borderId="8" xfId="0" applyFont="1" applyBorder="1"/>
    <xf numFmtId="0" fontId="12" fillId="0" borderId="8" xfId="0" applyFont="1" applyBorder="1"/>
    <xf numFmtId="0" fontId="13" fillId="0" borderId="8" xfId="0" applyFont="1" applyBorder="1"/>
    <xf numFmtId="0" fontId="14" fillId="0" borderId="8" xfId="0" applyFont="1" applyBorder="1"/>
    <xf numFmtId="0" fontId="15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9" fillId="0" borderId="8" xfId="0" applyFont="1" applyBorder="1"/>
    <xf numFmtId="0" fontId="20" fillId="0" borderId="8" xfId="0" applyFont="1" applyBorder="1"/>
    <xf numFmtId="0" fontId="21" fillId="0" borderId="8" xfId="0" applyFont="1" applyBorder="1"/>
    <xf numFmtId="0" fontId="1" fillId="2" borderId="1" xfId="0" applyFont="1" applyFill="1" applyBorder="1" applyAlignment="1">
      <alignment horizontal="center" wrapText="1"/>
    </xf>
    <xf numFmtId="0" fontId="22" fillId="0" borderId="8" xfId="0" applyFont="1" applyBorder="1"/>
    <xf numFmtId="0" fontId="23" fillId="0" borderId="8" xfId="0" applyFont="1" applyBorder="1"/>
    <xf numFmtId="0" fontId="24" fillId="0" borderId="8" xfId="0" applyFont="1" applyBorder="1"/>
    <xf numFmtId="0" fontId="25" fillId="0" borderId="8" xfId="0" applyFont="1" applyBorder="1"/>
    <xf numFmtId="0" fontId="26" fillId="0" borderId="8" xfId="0" applyFont="1" applyBorder="1"/>
    <xf numFmtId="0" fontId="27" fillId="0" borderId="0" xfId="0" applyFont="1"/>
    <xf numFmtId="0" fontId="28" fillId="0" borderId="0" xfId="0" applyFont="1"/>
    <xf numFmtId="14" fontId="29" fillId="0" borderId="0" xfId="0" applyNumberFormat="1" applyFont="1" applyAlignment="1">
      <alignment horizontal="center"/>
    </xf>
    <xf numFmtId="0" fontId="30" fillId="0" borderId="5" xfId="0" applyFont="1" applyBorder="1" applyAlignment="1">
      <alignment horizontal="center" vertical="center"/>
    </xf>
    <xf numFmtId="16" fontId="30" fillId="0" borderId="5" xfId="0" applyNumberFormat="1" applyFont="1" applyBorder="1" applyAlignment="1">
      <alignment horizontal="center" vertical="center"/>
    </xf>
    <xf numFmtId="16" fontId="30" fillId="0" borderId="2" xfId="0" applyNumberFormat="1" applyFont="1" applyBorder="1" applyAlignment="1">
      <alignment horizontal="center" vertical="center"/>
    </xf>
    <xf numFmtId="16" fontId="31" fillId="0" borderId="5" xfId="0" applyNumberFormat="1" applyFont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1" fontId="30" fillId="0" borderId="5" xfId="0" applyNumberFormat="1" applyFont="1" applyBorder="1" applyAlignment="1">
      <alignment horizontal="center" vertical="center"/>
    </xf>
    <xf numFmtId="1" fontId="31" fillId="0" borderId="5" xfId="0" applyNumberFormat="1" applyFont="1" applyBorder="1" applyAlignment="1">
      <alignment horizontal="center" vertical="center"/>
    </xf>
    <xf numFmtId="0" fontId="32" fillId="0" borderId="0" xfId="0" applyFont="1"/>
    <xf numFmtId="16" fontId="33" fillId="0" borderId="5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1" fillId="0" borderId="10" xfId="0" applyFont="1" applyBorder="1" applyAlignment="1">
      <alignment horizontal="center" vertical="center"/>
    </xf>
    <xf numFmtId="16" fontId="30" fillId="0" borderId="11" xfId="0" applyNumberFormat="1" applyFont="1" applyBorder="1" applyAlignment="1">
      <alignment horizontal="center" vertical="center"/>
    </xf>
    <xf numFmtId="16" fontId="30" fillId="0" borderId="10" xfId="0" applyNumberFormat="1" applyFont="1" applyBorder="1" applyAlignment="1">
      <alignment horizontal="center" vertical="center"/>
    </xf>
    <xf numFmtId="0" fontId="34" fillId="0" borderId="0" xfId="0" applyFont="1"/>
    <xf numFmtId="0" fontId="30" fillId="0" borderId="10" xfId="0" applyFont="1" applyBorder="1" applyAlignment="1">
      <alignment vertical="center"/>
    </xf>
    <xf numFmtId="0" fontId="30" fillId="0" borderId="10" xfId="0" applyFont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 wrapText="1"/>
    </xf>
    <xf numFmtId="1" fontId="30" fillId="4" borderId="9" xfId="0" applyNumberFormat="1" applyFont="1" applyFill="1" applyBorder="1" applyAlignment="1">
      <alignment horizontal="center" vertical="center" wrapText="1"/>
    </xf>
    <xf numFmtId="9" fontId="30" fillId="4" borderId="9" xfId="0" applyNumberFormat="1" applyFont="1" applyFill="1" applyBorder="1" applyAlignment="1">
      <alignment horizontal="center" vertical="center" wrapText="1"/>
    </xf>
    <xf numFmtId="16" fontId="30" fillId="0" borderId="7" xfId="0" applyNumberFormat="1" applyFont="1" applyBorder="1" applyAlignment="1">
      <alignment horizontal="center" vertical="center"/>
    </xf>
    <xf numFmtId="1" fontId="30" fillId="0" borderId="7" xfId="0" applyNumberFormat="1" applyFont="1" applyBorder="1" applyAlignment="1">
      <alignment horizontal="center" vertical="center"/>
    </xf>
    <xf numFmtId="9" fontId="30" fillId="0" borderId="7" xfId="0" applyNumberFormat="1" applyFont="1" applyBorder="1" applyAlignment="1">
      <alignment horizontal="center" vertical="center"/>
    </xf>
    <xf numFmtId="0" fontId="30" fillId="0" borderId="7" xfId="0" applyFont="1" applyBorder="1" applyAlignment="1">
      <alignment vertical="center"/>
    </xf>
    <xf numFmtId="0" fontId="30" fillId="0" borderId="7" xfId="0" applyFont="1" applyBorder="1" applyAlignment="1">
      <alignment horizontal="center" vertical="center"/>
    </xf>
    <xf numFmtId="16" fontId="30" fillId="0" borderId="0" xfId="0" applyNumberFormat="1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0" fontId="35" fillId="0" borderId="0" xfId="0" applyFont="1"/>
    <xf numFmtId="0" fontId="36" fillId="5" borderId="9" xfId="0" applyFont="1" applyFill="1" applyBorder="1" applyAlignment="1">
      <alignment horizontal="center" vertical="center" wrapText="1"/>
    </xf>
    <xf numFmtId="0" fontId="30" fillId="5" borderId="9" xfId="0" applyFont="1" applyFill="1" applyBorder="1" applyAlignment="1">
      <alignment horizontal="center" vertical="center" wrapText="1"/>
    </xf>
    <xf numFmtId="1" fontId="30" fillId="5" borderId="9" xfId="0" applyNumberFormat="1" applyFont="1" applyFill="1" applyBorder="1" applyAlignment="1">
      <alignment horizontal="center" vertical="center" wrapText="1"/>
    </xf>
    <xf numFmtId="9" fontId="30" fillId="5" borderId="9" xfId="0" applyNumberFormat="1" applyFont="1" applyFill="1" applyBorder="1" applyAlignment="1">
      <alignment horizontal="center" vertical="center" wrapText="1"/>
    </xf>
    <xf numFmtId="0" fontId="37" fillId="6" borderId="9" xfId="0" applyFont="1" applyFill="1" applyBorder="1" applyAlignment="1">
      <alignment horizontal="center" vertical="center" wrapText="1"/>
    </xf>
    <xf numFmtId="0" fontId="38" fillId="6" borderId="9" xfId="0" applyFont="1" applyFill="1" applyBorder="1" applyAlignment="1">
      <alignment horizontal="center" vertical="center" wrapText="1"/>
    </xf>
    <xf numFmtId="1" fontId="38" fillId="6" borderId="9" xfId="0" applyNumberFormat="1" applyFont="1" applyFill="1" applyBorder="1" applyAlignment="1">
      <alignment horizontal="center" vertical="center" wrapText="1"/>
    </xf>
    <xf numFmtId="9" fontId="38" fillId="6" borderId="9" xfId="0" applyNumberFormat="1" applyFont="1" applyFill="1" applyBorder="1" applyAlignment="1">
      <alignment horizontal="center" vertical="center" wrapText="1"/>
    </xf>
    <xf numFmtId="9" fontId="30" fillId="0" borderId="5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left"/>
    </xf>
    <xf numFmtId="0" fontId="39" fillId="0" borderId="5" xfId="0" applyFont="1" applyBorder="1" applyAlignment="1">
      <alignment horizontal="left" vertical="center"/>
    </xf>
    <xf numFmtId="16" fontId="39" fillId="0" borderId="5" xfId="0" applyNumberFormat="1" applyFont="1" applyBorder="1" applyAlignment="1">
      <alignment horizontal="center" vertical="center"/>
    </xf>
    <xf numFmtId="1" fontId="39" fillId="0" borderId="5" xfId="0" applyNumberFormat="1" applyFont="1" applyBorder="1" applyAlignment="1">
      <alignment horizontal="center" vertical="center"/>
    </xf>
    <xf numFmtId="0" fontId="37" fillId="7" borderId="9" xfId="0" applyFont="1" applyFill="1" applyBorder="1" applyAlignment="1">
      <alignment horizontal="center" vertical="center" wrapText="1"/>
    </xf>
    <xf numFmtId="0" fontId="38" fillId="7" borderId="9" xfId="0" applyFont="1" applyFill="1" applyBorder="1" applyAlignment="1">
      <alignment horizontal="center" vertical="center" wrapText="1"/>
    </xf>
    <xf numFmtId="1" fontId="38" fillId="7" borderId="9" xfId="0" applyNumberFormat="1" applyFont="1" applyFill="1" applyBorder="1" applyAlignment="1">
      <alignment horizontal="center" vertical="center" wrapText="1"/>
    </xf>
    <xf numFmtId="9" fontId="38" fillId="7" borderId="9" xfId="0" applyNumberFormat="1" applyFont="1" applyFill="1" applyBorder="1" applyAlignment="1">
      <alignment horizontal="center" vertical="center" wrapText="1"/>
    </xf>
    <xf numFmtId="0" fontId="37" fillId="8" borderId="9" xfId="0" applyFont="1" applyFill="1" applyBorder="1" applyAlignment="1">
      <alignment horizontal="center" vertical="center" wrapText="1"/>
    </xf>
    <xf numFmtId="0" fontId="38" fillId="8" borderId="9" xfId="0" applyFont="1" applyFill="1" applyBorder="1" applyAlignment="1">
      <alignment horizontal="center" vertical="center" wrapText="1"/>
    </xf>
    <xf numFmtId="1" fontId="38" fillId="8" borderId="9" xfId="0" applyNumberFormat="1" applyFont="1" applyFill="1" applyBorder="1" applyAlignment="1">
      <alignment horizontal="center" vertical="center" wrapText="1"/>
    </xf>
    <xf numFmtId="9" fontId="38" fillId="8" borderId="9" xfId="0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39" fillId="0" borderId="5" xfId="0" applyFont="1" applyBorder="1" applyAlignment="1">
      <alignment vertical="center"/>
    </xf>
    <xf numFmtId="17" fontId="39" fillId="0" borderId="5" xfId="0" applyNumberFormat="1" applyFont="1" applyBorder="1" applyAlignment="1">
      <alignment vertical="center"/>
    </xf>
    <xf numFmtId="17" fontId="39" fillId="9" borderId="5" xfId="0" applyNumberFormat="1" applyFont="1" applyFill="1" applyBorder="1" applyAlignment="1">
      <alignment vertical="center"/>
    </xf>
    <xf numFmtId="0" fontId="30" fillId="0" borderId="5" xfId="0" applyFont="1" applyBorder="1" applyAlignment="1">
      <alignment vertical="center"/>
    </xf>
    <xf numFmtId="164" fontId="30" fillId="0" borderId="5" xfId="0" applyNumberFormat="1" applyFont="1" applyBorder="1" applyAlignment="1">
      <alignment horizontal="left" vertical="center"/>
    </xf>
    <xf numFmtId="0" fontId="43" fillId="9" borderId="5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30" fillId="0" borderId="5" xfId="0" applyFont="1" applyBorder="1" applyAlignment="1">
      <alignment horizontal="center" vertical="center" wrapText="1"/>
    </xf>
    <xf numFmtId="0" fontId="44" fillId="9" borderId="5" xfId="0" applyFont="1" applyFill="1" applyBorder="1" applyAlignment="1">
      <alignment horizontal="center" vertical="center"/>
    </xf>
    <xf numFmtId="165" fontId="44" fillId="9" borderId="5" xfId="0" applyNumberFormat="1" applyFont="1" applyFill="1" applyBorder="1" applyAlignment="1">
      <alignment horizontal="center" vertical="center"/>
    </xf>
    <xf numFmtId="0" fontId="44" fillId="9" borderId="5" xfId="0" applyFont="1" applyFill="1" applyBorder="1" applyAlignment="1">
      <alignment vertical="center"/>
    </xf>
    <xf numFmtId="0" fontId="7" fillId="0" borderId="9" xfId="1" applyFont="1"/>
    <xf numFmtId="0" fontId="45" fillId="0" borderId="9" xfId="1"/>
    <xf numFmtId="0" fontId="1" fillId="10" borderId="1" xfId="1" applyFont="1" applyFill="1" applyBorder="1" applyAlignment="1">
      <alignment horizontal="center"/>
    </xf>
    <xf numFmtId="0" fontId="3" fillId="0" borderId="8" xfId="1" applyFont="1" applyBorder="1"/>
    <xf numFmtId="14" fontId="3" fillId="0" borderId="8" xfId="1" applyNumberFormat="1" applyFont="1" applyBorder="1"/>
    <xf numFmtId="10" fontId="3" fillId="0" borderId="8" xfId="1" applyNumberFormat="1" applyFont="1" applyBorder="1"/>
    <xf numFmtId="0" fontId="8" fillId="11" borderId="9" xfId="1" applyFont="1" applyFill="1"/>
    <xf numFmtId="0" fontId="11" fillId="0" borderId="8" xfId="1" applyFont="1" applyBorder="1"/>
    <xf numFmtId="0" fontId="9" fillId="0" borderId="8" xfId="1" applyFont="1" applyBorder="1"/>
    <xf numFmtId="0" fontId="10" fillId="0" borderId="8" xfId="1" applyFont="1" applyBorder="1"/>
    <xf numFmtId="0" fontId="13" fillId="0" borderId="8" xfId="1" applyFont="1" applyBorder="1"/>
    <xf numFmtId="0" fontId="12" fillId="0" borderId="8" xfId="1" applyFont="1" applyBorder="1"/>
    <xf numFmtId="0" fontId="19" fillId="0" borderId="8" xfId="1" applyFont="1" applyBorder="1"/>
    <xf numFmtId="0" fontId="20" fillId="0" borderId="8" xfId="1" applyFont="1" applyBorder="1"/>
    <xf numFmtId="0" fontId="14" fillId="0" borderId="8" xfId="1" applyFont="1" applyBorder="1"/>
    <xf numFmtId="0" fontId="18" fillId="0" borderId="8" xfId="1" applyFont="1" applyBorder="1"/>
    <xf numFmtId="0" fontId="21" fillId="0" borderId="8" xfId="1" applyFont="1" applyBorder="1"/>
    <xf numFmtId="14" fontId="3" fillId="0" borderId="9" xfId="1" applyNumberFormat="1" applyFont="1"/>
    <xf numFmtId="0" fontId="1" fillId="10" borderId="1" xfId="1" applyFont="1" applyFill="1" applyBorder="1" applyAlignment="1">
      <alignment horizontal="center" wrapText="1"/>
    </xf>
    <xf numFmtId="0" fontId="45" fillId="0" borderId="9" xfId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9.png"/><Relationship Id="rId1" Type="http://schemas.openxmlformats.org/officeDocument/2006/relationships/image" Target="../media/image16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30.png"/><Relationship Id="rId1" Type="http://schemas.openxmlformats.org/officeDocument/2006/relationships/image" Target="../media/image23.png"/><Relationship Id="rId5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29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9860" y="548640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40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9860" y="751332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50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9860" y="935736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60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09860" y="1120140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70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9860" y="1304544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80</xdr:row>
      <xdr:rowOff>0</xdr:rowOff>
    </xdr:from>
    <xdr:ext cx="914400" cy="9144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09860" y="1488948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90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09860" y="1673352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100</xdr:row>
      <xdr:rowOff>0</xdr:rowOff>
    </xdr:from>
    <xdr:ext cx="914400" cy="9144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09860" y="18577560"/>
          <a:ext cx="914400" cy="9144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110</xdr:row>
      <xdr:rowOff>0</xdr:rowOff>
    </xdr:from>
    <xdr:ext cx="914400" cy="9144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9860" y="20421600"/>
          <a:ext cx="914400" cy="9144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25</xdr:row>
      <xdr:rowOff>0</xdr:rowOff>
    </xdr:from>
    <xdr:ext cx="914400" cy="91440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914400" cy="914400"/>
    <xdr:pic>
      <xdr:nvPicPr>
        <xdr:cNvPr id="3" name="image5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46</xdr:row>
      <xdr:rowOff>0</xdr:rowOff>
    </xdr:from>
    <xdr:ext cx="914400" cy="914400"/>
    <xdr:pic>
      <xdr:nvPicPr>
        <xdr:cNvPr id="4" name="image1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56</xdr:row>
      <xdr:rowOff>0</xdr:rowOff>
    </xdr:from>
    <xdr:ext cx="914400" cy="914400"/>
    <xdr:pic>
      <xdr:nvPicPr>
        <xdr:cNvPr id="5" name="image5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66</xdr:row>
      <xdr:rowOff>0</xdr:rowOff>
    </xdr:from>
    <xdr:ext cx="914400" cy="914400"/>
    <xdr:pic>
      <xdr:nvPicPr>
        <xdr:cNvPr id="6" name="image5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76</xdr:row>
      <xdr:rowOff>0</xdr:rowOff>
    </xdr:from>
    <xdr:ext cx="914400" cy="914400"/>
    <xdr:pic>
      <xdr:nvPicPr>
        <xdr:cNvPr id="7" name="image3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86</xdr:row>
      <xdr:rowOff>0</xdr:rowOff>
    </xdr:from>
    <xdr:ext cx="914400" cy="914400"/>
    <xdr:pic>
      <xdr:nvPicPr>
        <xdr:cNvPr id="8" name="image1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96</xdr:row>
      <xdr:rowOff>0</xdr:rowOff>
    </xdr:from>
    <xdr:ext cx="914400" cy="914400"/>
    <xdr:pic>
      <xdr:nvPicPr>
        <xdr:cNvPr id="9" name="image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106</xdr:row>
      <xdr:rowOff>0</xdr:rowOff>
    </xdr:from>
    <xdr:ext cx="914400" cy="914400"/>
    <xdr:pic>
      <xdr:nvPicPr>
        <xdr:cNvPr id="10" name="image6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116</xdr:row>
      <xdr:rowOff>0</xdr:rowOff>
    </xdr:from>
    <xdr:ext cx="914400" cy="914400"/>
    <xdr:pic>
      <xdr:nvPicPr>
        <xdr:cNvPr id="11" name="image4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30</xdr:row>
      <xdr:rowOff>0</xdr:rowOff>
    </xdr:from>
    <xdr:ext cx="914400" cy="914400"/>
    <xdr:pic>
      <xdr:nvPicPr>
        <xdr:cNvPr id="2" name="image13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914400" cy="914400"/>
    <xdr:pic>
      <xdr:nvPicPr>
        <xdr:cNvPr id="3" name="image8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51</xdr:row>
      <xdr:rowOff>0</xdr:rowOff>
    </xdr:from>
    <xdr:ext cx="914400" cy="914400"/>
    <xdr:pic>
      <xdr:nvPicPr>
        <xdr:cNvPr id="4" name="image8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61</xdr:row>
      <xdr:rowOff>0</xdr:rowOff>
    </xdr:from>
    <xdr:ext cx="914400" cy="914400"/>
    <xdr:pic>
      <xdr:nvPicPr>
        <xdr:cNvPr id="5" name="image8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71</xdr:row>
      <xdr:rowOff>0</xdr:rowOff>
    </xdr:from>
    <xdr:ext cx="914400" cy="914400"/>
    <xdr:pic>
      <xdr:nvPicPr>
        <xdr:cNvPr id="6" name="image1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81</xdr:row>
      <xdr:rowOff>0</xdr:rowOff>
    </xdr:from>
    <xdr:ext cx="914400" cy="914400"/>
    <xdr:pic>
      <xdr:nvPicPr>
        <xdr:cNvPr id="7" name="image16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91</xdr:row>
      <xdr:rowOff>0</xdr:rowOff>
    </xdr:from>
    <xdr:ext cx="914400" cy="914400"/>
    <xdr:pic>
      <xdr:nvPicPr>
        <xdr:cNvPr id="8" name="image10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100</xdr:row>
      <xdr:rowOff>0</xdr:rowOff>
    </xdr:from>
    <xdr:ext cx="914400" cy="914400"/>
    <xdr:pic>
      <xdr:nvPicPr>
        <xdr:cNvPr id="9" name="image12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110</xdr:row>
      <xdr:rowOff>0</xdr:rowOff>
    </xdr:from>
    <xdr:ext cx="914400" cy="914400"/>
    <xdr:pic>
      <xdr:nvPicPr>
        <xdr:cNvPr id="10" name="image15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120</xdr:row>
      <xdr:rowOff>0</xdr:rowOff>
    </xdr:from>
    <xdr:ext cx="914400" cy="914400"/>
    <xdr:pic>
      <xdr:nvPicPr>
        <xdr:cNvPr id="11" name="image11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130</xdr:row>
      <xdr:rowOff>0</xdr:rowOff>
    </xdr:from>
    <xdr:ext cx="914400" cy="914400"/>
    <xdr:pic>
      <xdr:nvPicPr>
        <xdr:cNvPr id="12" name="image9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24</xdr:row>
      <xdr:rowOff>0</xdr:rowOff>
    </xdr:from>
    <xdr:ext cx="914400" cy="914400"/>
    <xdr:pic>
      <xdr:nvPicPr>
        <xdr:cNvPr id="2" name="image2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35</xdr:row>
      <xdr:rowOff>0</xdr:rowOff>
    </xdr:from>
    <xdr:ext cx="914400" cy="914400"/>
    <xdr:pic>
      <xdr:nvPicPr>
        <xdr:cNvPr id="3" name="image2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914400" cy="914400"/>
    <xdr:pic>
      <xdr:nvPicPr>
        <xdr:cNvPr id="4" name="image19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54</xdr:row>
      <xdr:rowOff>0</xdr:rowOff>
    </xdr:from>
    <xdr:ext cx="914400" cy="914400"/>
    <xdr:pic>
      <xdr:nvPicPr>
        <xdr:cNvPr id="5" name="image23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64</xdr:row>
      <xdr:rowOff>0</xdr:rowOff>
    </xdr:from>
    <xdr:ext cx="914400" cy="914400"/>
    <xdr:pic>
      <xdr:nvPicPr>
        <xdr:cNvPr id="6" name="image18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74</xdr:row>
      <xdr:rowOff>0</xdr:rowOff>
    </xdr:from>
    <xdr:ext cx="914400" cy="914400"/>
    <xdr:pic>
      <xdr:nvPicPr>
        <xdr:cNvPr id="7" name="image17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86</xdr:row>
      <xdr:rowOff>0</xdr:rowOff>
    </xdr:from>
    <xdr:ext cx="914400" cy="914400"/>
    <xdr:pic>
      <xdr:nvPicPr>
        <xdr:cNvPr id="8" name="image20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33</xdr:row>
      <xdr:rowOff>0</xdr:rowOff>
    </xdr:from>
    <xdr:ext cx="914400" cy="914400"/>
    <xdr:pic>
      <xdr:nvPicPr>
        <xdr:cNvPr id="2" name="image2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914400" cy="914400"/>
    <xdr:pic>
      <xdr:nvPicPr>
        <xdr:cNvPr id="3" name="image24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53</xdr:row>
      <xdr:rowOff>0</xdr:rowOff>
    </xdr:from>
    <xdr:ext cx="914400" cy="914400"/>
    <xdr:pic>
      <xdr:nvPicPr>
        <xdr:cNvPr id="4" name="image23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63</xdr:row>
      <xdr:rowOff>0</xdr:rowOff>
    </xdr:from>
    <xdr:ext cx="914400" cy="914400"/>
    <xdr:pic>
      <xdr:nvPicPr>
        <xdr:cNvPr id="5" name="image25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73</xdr:row>
      <xdr:rowOff>0</xdr:rowOff>
    </xdr:from>
    <xdr:ext cx="914400" cy="914400"/>
    <xdr:pic>
      <xdr:nvPicPr>
        <xdr:cNvPr id="6" name="image17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ySplit="2" topLeftCell="A27" activePane="bottomLeft" state="frozen"/>
      <selection pane="bottomLeft" activeCell="B4" sqref="B4"/>
    </sheetView>
  </sheetViews>
  <sheetFormatPr baseColWidth="10" defaultColWidth="12.59765625" defaultRowHeight="15" customHeight="1"/>
  <cols>
    <col min="1" max="1" width="35.59765625" customWidth="1"/>
    <col min="2" max="2" width="7.09765625" customWidth="1"/>
    <col min="3" max="3" width="9.3984375" customWidth="1"/>
    <col min="4" max="4" width="7.09765625" customWidth="1"/>
    <col min="5" max="5" width="9.3984375" customWidth="1"/>
    <col min="6" max="6" width="7.09765625" customWidth="1"/>
    <col min="7" max="7" width="9.3984375" customWidth="1"/>
    <col min="8" max="8" width="6.69921875" customWidth="1"/>
    <col min="9" max="11" width="9.3984375" customWidth="1"/>
    <col min="12" max="12" width="11" customWidth="1"/>
    <col min="13" max="13" width="9.3984375" customWidth="1"/>
    <col min="14" max="14" width="11.59765625" customWidth="1"/>
    <col min="15" max="15" width="6.69921875" customWidth="1"/>
    <col min="16" max="16" width="6.59765625" customWidth="1"/>
    <col min="17" max="17" width="8" customWidth="1"/>
    <col min="18" max="18" width="8.3984375" customWidth="1"/>
    <col min="19" max="19" width="9.8984375" customWidth="1"/>
    <col min="20" max="20" width="11.3984375" customWidth="1"/>
    <col min="21" max="26" width="11.59765625" customWidth="1"/>
  </cols>
  <sheetData>
    <row r="1" spans="1:26" ht="13.5" customHeight="1">
      <c r="A1" s="3"/>
      <c r="B1" s="3"/>
      <c r="C1" s="4" t="s">
        <v>4</v>
      </c>
      <c r="D1" s="5"/>
      <c r="E1" s="6" t="s">
        <v>5</v>
      </c>
      <c r="F1" s="5"/>
      <c r="G1" s="6" t="s">
        <v>6</v>
      </c>
      <c r="H1" s="5"/>
      <c r="I1" s="6" t="s">
        <v>7</v>
      </c>
      <c r="J1" s="5"/>
      <c r="K1" s="6" t="s">
        <v>8</v>
      </c>
      <c r="L1" s="5"/>
      <c r="M1" s="6" t="s">
        <v>9</v>
      </c>
      <c r="N1" s="5"/>
      <c r="O1" s="6" t="s">
        <v>10</v>
      </c>
      <c r="P1" s="7"/>
      <c r="Q1" s="7"/>
      <c r="R1" s="7"/>
      <c r="S1" s="7"/>
      <c r="T1" s="5"/>
      <c r="U1" s="8"/>
      <c r="V1" s="8"/>
      <c r="W1" s="8"/>
      <c r="X1" s="8"/>
      <c r="Y1" s="8"/>
      <c r="Z1" s="8"/>
    </row>
    <row r="2" spans="1:26" ht="13.5" customHeight="1">
      <c r="A2" s="9" t="s">
        <v>11</v>
      </c>
      <c r="B2" s="10" t="s">
        <v>12</v>
      </c>
      <c r="C2" s="11" t="s">
        <v>13</v>
      </c>
      <c r="D2" s="11" t="s">
        <v>14</v>
      </c>
      <c r="E2" s="11" t="s">
        <v>13</v>
      </c>
      <c r="F2" s="11" t="s">
        <v>14</v>
      </c>
      <c r="G2" s="11" t="s">
        <v>13</v>
      </c>
      <c r="H2" s="11" t="s">
        <v>14</v>
      </c>
      <c r="I2" s="11" t="s">
        <v>13</v>
      </c>
      <c r="J2" s="11" t="s">
        <v>14</v>
      </c>
      <c r="K2" s="11" t="s">
        <v>13</v>
      </c>
      <c r="L2" s="11" t="s">
        <v>14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8"/>
      <c r="V2" s="8"/>
      <c r="W2" s="8"/>
      <c r="X2" s="8"/>
      <c r="Y2" s="8"/>
      <c r="Z2" s="8"/>
    </row>
    <row r="3" spans="1:26" ht="13.5" customHeight="1">
      <c r="A3" s="12" t="s">
        <v>21</v>
      </c>
      <c r="B3" s="13">
        <v>46017</v>
      </c>
      <c r="C3" s="13">
        <v>46017</v>
      </c>
      <c r="D3" s="13">
        <v>45658</v>
      </c>
      <c r="E3" s="13">
        <v>45659</v>
      </c>
      <c r="F3" s="13">
        <v>45665</v>
      </c>
      <c r="G3" s="13">
        <v>45666</v>
      </c>
      <c r="H3" s="13">
        <v>45672</v>
      </c>
      <c r="I3" s="13">
        <v>45673</v>
      </c>
      <c r="J3" s="13">
        <v>45679</v>
      </c>
      <c r="K3" s="13">
        <v>45680</v>
      </c>
      <c r="L3" s="13">
        <v>45707</v>
      </c>
      <c r="M3" s="13">
        <f t="shared" ref="M3:M40" si="0">L3+1</f>
        <v>45708</v>
      </c>
      <c r="N3" s="13">
        <f t="shared" ref="N3:N40" si="1">M3+27</f>
        <v>45735</v>
      </c>
      <c r="O3" s="14"/>
      <c r="P3" s="14"/>
      <c r="Q3" s="14"/>
      <c r="R3" s="14"/>
      <c r="S3" s="14"/>
      <c r="T3" s="14"/>
      <c r="U3" s="8"/>
      <c r="V3" s="8"/>
      <c r="W3" s="8"/>
      <c r="X3" s="8"/>
      <c r="Y3" s="8"/>
      <c r="Z3" s="8"/>
    </row>
    <row r="4" spans="1:26" ht="13.5" customHeight="1">
      <c r="A4" s="12" t="s">
        <v>22</v>
      </c>
      <c r="B4" s="13">
        <v>46017</v>
      </c>
      <c r="C4" s="13">
        <v>46017</v>
      </c>
      <c r="D4" s="13">
        <v>45658</v>
      </c>
      <c r="E4" s="13">
        <v>45659</v>
      </c>
      <c r="F4" s="13">
        <v>45665</v>
      </c>
      <c r="G4" s="13">
        <v>45666</v>
      </c>
      <c r="H4" s="13">
        <v>45672</v>
      </c>
      <c r="I4" s="13">
        <v>45673</v>
      </c>
      <c r="J4" s="13">
        <v>45679</v>
      </c>
      <c r="K4" s="13">
        <v>45680</v>
      </c>
      <c r="L4" s="13">
        <v>45707</v>
      </c>
      <c r="M4" s="13">
        <f t="shared" si="0"/>
        <v>45708</v>
      </c>
      <c r="N4" s="13">
        <f t="shared" si="1"/>
        <v>45735</v>
      </c>
      <c r="O4" s="14"/>
      <c r="P4" s="14"/>
      <c r="Q4" s="14"/>
      <c r="R4" s="14"/>
      <c r="S4" s="14"/>
      <c r="T4" s="14"/>
      <c r="U4" s="8"/>
      <c r="V4" s="8"/>
      <c r="W4" s="8"/>
      <c r="X4" s="8"/>
      <c r="Y4" s="8"/>
      <c r="Z4" s="8"/>
    </row>
    <row r="5" spans="1:26" ht="13.5" customHeight="1">
      <c r="A5" s="12" t="s">
        <v>23</v>
      </c>
      <c r="B5" s="13">
        <v>46017</v>
      </c>
      <c r="C5" s="13">
        <v>46017</v>
      </c>
      <c r="D5" s="13">
        <v>45658</v>
      </c>
      <c r="E5" s="13">
        <v>45659</v>
      </c>
      <c r="F5" s="13">
        <v>45665</v>
      </c>
      <c r="G5" s="13">
        <v>45666</v>
      </c>
      <c r="H5" s="13">
        <v>45672</v>
      </c>
      <c r="I5" s="13">
        <v>45673</v>
      </c>
      <c r="J5" s="13">
        <v>45679</v>
      </c>
      <c r="K5" s="13">
        <v>45680</v>
      </c>
      <c r="L5" s="13">
        <v>45707</v>
      </c>
      <c r="M5" s="13">
        <f t="shared" si="0"/>
        <v>45708</v>
      </c>
      <c r="N5" s="13">
        <f t="shared" si="1"/>
        <v>45735</v>
      </c>
      <c r="O5" s="14"/>
      <c r="P5" s="14"/>
      <c r="Q5" s="14"/>
      <c r="R5" s="14"/>
      <c r="S5" s="14"/>
      <c r="T5" s="14"/>
      <c r="U5" s="8"/>
      <c r="V5" s="8"/>
      <c r="W5" s="8"/>
      <c r="X5" s="8"/>
      <c r="Y5" s="8"/>
      <c r="Z5" s="8"/>
    </row>
    <row r="6" spans="1:26" ht="13.5" customHeight="1">
      <c r="A6" s="12" t="s">
        <v>24</v>
      </c>
      <c r="B6" s="13">
        <v>45661</v>
      </c>
      <c r="C6" s="13">
        <v>45661</v>
      </c>
      <c r="D6" s="13">
        <v>45667</v>
      </c>
      <c r="E6" s="13">
        <v>45668</v>
      </c>
      <c r="F6" s="13">
        <v>45674</v>
      </c>
      <c r="G6" s="13">
        <v>45675</v>
      </c>
      <c r="H6" s="13">
        <v>45681</v>
      </c>
      <c r="I6" s="13">
        <v>45682</v>
      </c>
      <c r="J6" s="13">
        <v>45688</v>
      </c>
      <c r="K6" s="13">
        <v>45689</v>
      </c>
      <c r="L6" s="13">
        <v>45716</v>
      </c>
      <c r="M6" s="13">
        <f t="shared" si="0"/>
        <v>45717</v>
      </c>
      <c r="N6" s="13">
        <f t="shared" si="1"/>
        <v>45744</v>
      </c>
      <c r="O6" s="14"/>
      <c r="P6" s="14"/>
      <c r="Q6" s="14"/>
      <c r="R6" s="14"/>
      <c r="S6" s="14"/>
      <c r="T6" s="14"/>
      <c r="U6" s="8"/>
      <c r="V6" s="8"/>
      <c r="W6" s="8"/>
      <c r="X6" s="8"/>
      <c r="Y6" s="8"/>
      <c r="Z6" s="8"/>
    </row>
    <row r="7" spans="1:26" ht="13.5" customHeight="1">
      <c r="A7" s="12" t="s">
        <v>25</v>
      </c>
      <c r="B7" s="13">
        <v>45661</v>
      </c>
      <c r="C7" s="13">
        <v>45661</v>
      </c>
      <c r="D7" s="13">
        <v>45667</v>
      </c>
      <c r="E7" s="13">
        <v>45668</v>
      </c>
      <c r="F7" s="13">
        <v>45674</v>
      </c>
      <c r="G7" s="13">
        <v>45675</v>
      </c>
      <c r="H7" s="13">
        <v>45681</v>
      </c>
      <c r="I7" s="13">
        <v>45682</v>
      </c>
      <c r="J7" s="13">
        <v>45688</v>
      </c>
      <c r="K7" s="13">
        <v>45689</v>
      </c>
      <c r="L7" s="13">
        <v>45716</v>
      </c>
      <c r="M7" s="13">
        <f t="shared" si="0"/>
        <v>45717</v>
      </c>
      <c r="N7" s="13">
        <f t="shared" si="1"/>
        <v>45744</v>
      </c>
      <c r="O7" s="14"/>
      <c r="P7" s="14"/>
      <c r="Q7" s="14"/>
      <c r="R7" s="14"/>
      <c r="S7" s="14"/>
      <c r="T7" s="14"/>
      <c r="U7" s="8"/>
      <c r="V7" s="8"/>
      <c r="W7" s="8"/>
      <c r="X7" s="8"/>
      <c r="Y7" s="8"/>
      <c r="Z7" s="8"/>
    </row>
    <row r="8" spans="1:26" ht="13.5" customHeight="1">
      <c r="A8" s="12" t="s">
        <v>26</v>
      </c>
      <c r="B8" s="13">
        <v>45661</v>
      </c>
      <c r="C8" s="13">
        <v>45661</v>
      </c>
      <c r="D8" s="13">
        <v>45667</v>
      </c>
      <c r="E8" s="13">
        <v>45668</v>
      </c>
      <c r="F8" s="13">
        <v>45674</v>
      </c>
      <c r="G8" s="13">
        <v>45675</v>
      </c>
      <c r="H8" s="13">
        <v>45681</v>
      </c>
      <c r="I8" s="13">
        <v>45682</v>
      </c>
      <c r="J8" s="13">
        <v>45688</v>
      </c>
      <c r="K8" s="13">
        <v>45689</v>
      </c>
      <c r="L8" s="13">
        <v>45716</v>
      </c>
      <c r="M8" s="13">
        <f t="shared" si="0"/>
        <v>45717</v>
      </c>
      <c r="N8" s="13">
        <f t="shared" si="1"/>
        <v>45744</v>
      </c>
      <c r="O8" s="14"/>
      <c r="P8" s="14"/>
      <c r="Q8" s="14"/>
      <c r="R8" s="14"/>
      <c r="S8" s="14"/>
      <c r="T8" s="14"/>
      <c r="U8" s="8"/>
      <c r="V8" s="8"/>
      <c r="W8" s="8"/>
      <c r="X8" s="8"/>
      <c r="Y8" s="8"/>
      <c r="Z8" s="8"/>
    </row>
    <row r="9" spans="1:26" ht="13.5" customHeight="1">
      <c r="A9" s="12" t="s">
        <v>27</v>
      </c>
      <c r="B9" s="13">
        <v>45661</v>
      </c>
      <c r="C9" s="13">
        <v>45661</v>
      </c>
      <c r="D9" s="13">
        <v>45667</v>
      </c>
      <c r="E9" s="13">
        <v>45668</v>
      </c>
      <c r="F9" s="13">
        <v>45674</v>
      </c>
      <c r="G9" s="13">
        <v>45675</v>
      </c>
      <c r="H9" s="13">
        <v>45681</v>
      </c>
      <c r="I9" s="13">
        <v>45682</v>
      </c>
      <c r="J9" s="13">
        <v>45688</v>
      </c>
      <c r="K9" s="13">
        <v>45689</v>
      </c>
      <c r="L9" s="13">
        <v>45716</v>
      </c>
      <c r="M9" s="13">
        <f t="shared" si="0"/>
        <v>45717</v>
      </c>
      <c r="N9" s="13">
        <f t="shared" si="1"/>
        <v>45744</v>
      </c>
      <c r="O9" s="14"/>
      <c r="P9" s="14"/>
      <c r="Q9" s="14"/>
      <c r="R9" s="14"/>
      <c r="S9" s="14"/>
      <c r="T9" s="14"/>
      <c r="U9" s="8"/>
      <c r="V9" s="8"/>
      <c r="W9" s="8"/>
      <c r="X9" s="8"/>
      <c r="Y9" s="8"/>
      <c r="Z9" s="8"/>
    </row>
    <row r="10" spans="1:26" ht="13.5" customHeight="1">
      <c r="A10" s="12" t="s">
        <v>28</v>
      </c>
      <c r="B10" s="13">
        <v>45665</v>
      </c>
      <c r="C10" s="13">
        <v>45665</v>
      </c>
      <c r="D10" s="13">
        <v>45671</v>
      </c>
      <c r="E10" s="13">
        <v>45672</v>
      </c>
      <c r="F10" s="13">
        <v>45678</v>
      </c>
      <c r="G10" s="13">
        <v>45679</v>
      </c>
      <c r="H10" s="13">
        <v>45685</v>
      </c>
      <c r="I10" s="13">
        <v>45686</v>
      </c>
      <c r="J10" s="13">
        <v>45692</v>
      </c>
      <c r="K10" s="13">
        <v>45693</v>
      </c>
      <c r="L10" s="13">
        <v>45720</v>
      </c>
      <c r="M10" s="13">
        <f t="shared" si="0"/>
        <v>45721</v>
      </c>
      <c r="N10" s="13">
        <f t="shared" si="1"/>
        <v>45748</v>
      </c>
      <c r="O10" s="14"/>
      <c r="P10" s="14"/>
      <c r="Q10" s="14"/>
      <c r="R10" s="14"/>
      <c r="S10" s="14"/>
      <c r="T10" s="14"/>
      <c r="U10" s="8"/>
      <c r="V10" s="8"/>
      <c r="W10" s="8"/>
      <c r="X10" s="8"/>
      <c r="Y10" s="8"/>
      <c r="Z10" s="8"/>
    </row>
    <row r="11" spans="1:26" ht="13.5" customHeight="1">
      <c r="A11" s="12" t="s">
        <v>29</v>
      </c>
      <c r="B11" s="13">
        <v>45665</v>
      </c>
      <c r="C11" s="13">
        <v>45665</v>
      </c>
      <c r="D11" s="13">
        <v>45671</v>
      </c>
      <c r="E11" s="13">
        <v>45672</v>
      </c>
      <c r="F11" s="13">
        <v>45678</v>
      </c>
      <c r="G11" s="13">
        <v>45679</v>
      </c>
      <c r="H11" s="13">
        <v>45685</v>
      </c>
      <c r="I11" s="13">
        <v>45686</v>
      </c>
      <c r="J11" s="13">
        <v>45692</v>
      </c>
      <c r="K11" s="13">
        <v>45693</v>
      </c>
      <c r="L11" s="13">
        <v>45720</v>
      </c>
      <c r="M11" s="13">
        <f t="shared" si="0"/>
        <v>45721</v>
      </c>
      <c r="N11" s="13">
        <f t="shared" si="1"/>
        <v>45748</v>
      </c>
      <c r="O11" s="14"/>
      <c r="P11" s="14"/>
      <c r="Q11" s="14"/>
      <c r="R11" s="14"/>
      <c r="S11" s="14"/>
      <c r="T11" s="14"/>
      <c r="U11" s="8"/>
      <c r="V11" s="8"/>
      <c r="W11" s="8"/>
      <c r="X11" s="8"/>
      <c r="Y11" s="8"/>
      <c r="Z11" s="8"/>
    </row>
    <row r="12" spans="1:26" ht="13.5" customHeight="1">
      <c r="A12" s="12" t="s">
        <v>30</v>
      </c>
      <c r="B12" s="13">
        <v>45667</v>
      </c>
      <c r="C12" s="13">
        <v>45667</v>
      </c>
      <c r="D12" s="13">
        <v>45673</v>
      </c>
      <c r="E12" s="13">
        <v>45674</v>
      </c>
      <c r="F12" s="13">
        <v>45680</v>
      </c>
      <c r="G12" s="13">
        <v>45681</v>
      </c>
      <c r="H12" s="13">
        <v>45687</v>
      </c>
      <c r="I12" s="13">
        <v>45688</v>
      </c>
      <c r="J12" s="13">
        <v>45694</v>
      </c>
      <c r="K12" s="13">
        <v>45695</v>
      </c>
      <c r="L12" s="13">
        <v>45722</v>
      </c>
      <c r="M12" s="13">
        <f t="shared" si="0"/>
        <v>45723</v>
      </c>
      <c r="N12" s="13">
        <f t="shared" si="1"/>
        <v>45750</v>
      </c>
      <c r="O12" s="14"/>
      <c r="P12" s="14"/>
      <c r="Q12" s="14"/>
      <c r="R12" s="14"/>
      <c r="S12" s="14"/>
      <c r="T12" s="14"/>
      <c r="U12" s="8"/>
      <c r="V12" s="8"/>
      <c r="W12" s="8"/>
      <c r="X12" s="8"/>
      <c r="Y12" s="8"/>
      <c r="Z12" s="8"/>
    </row>
    <row r="13" spans="1:26" ht="13.5" customHeight="1">
      <c r="A13" s="12" t="s">
        <v>31</v>
      </c>
      <c r="B13" s="13">
        <v>45667</v>
      </c>
      <c r="C13" s="13">
        <v>45667</v>
      </c>
      <c r="D13" s="13">
        <v>45673</v>
      </c>
      <c r="E13" s="13">
        <v>45674</v>
      </c>
      <c r="F13" s="13">
        <v>45680</v>
      </c>
      <c r="G13" s="13">
        <v>45681</v>
      </c>
      <c r="H13" s="13">
        <v>45687</v>
      </c>
      <c r="I13" s="13">
        <v>45688</v>
      </c>
      <c r="J13" s="13">
        <v>45694</v>
      </c>
      <c r="K13" s="13">
        <v>45695</v>
      </c>
      <c r="L13" s="13">
        <v>45722</v>
      </c>
      <c r="M13" s="13">
        <f t="shared" si="0"/>
        <v>45723</v>
      </c>
      <c r="N13" s="13">
        <f t="shared" si="1"/>
        <v>45750</v>
      </c>
      <c r="O13" s="14"/>
      <c r="P13" s="14"/>
      <c r="Q13" s="14"/>
      <c r="R13" s="14"/>
      <c r="S13" s="14"/>
      <c r="T13" s="14"/>
      <c r="U13" s="8"/>
      <c r="V13" s="8"/>
      <c r="W13" s="8"/>
      <c r="X13" s="8"/>
      <c r="Y13" s="8"/>
      <c r="Z13" s="8"/>
    </row>
    <row r="14" spans="1:26" ht="13.5" customHeight="1">
      <c r="A14" s="12" t="s">
        <v>32</v>
      </c>
      <c r="B14" s="13">
        <v>45678</v>
      </c>
      <c r="C14" s="13">
        <v>45678</v>
      </c>
      <c r="D14" s="13">
        <v>45684</v>
      </c>
      <c r="E14" s="13">
        <v>45685</v>
      </c>
      <c r="F14" s="13">
        <v>45691</v>
      </c>
      <c r="G14" s="13">
        <v>45692</v>
      </c>
      <c r="H14" s="13">
        <v>45698</v>
      </c>
      <c r="I14" s="13">
        <v>45699</v>
      </c>
      <c r="J14" s="13">
        <v>45705</v>
      </c>
      <c r="K14" s="13">
        <v>45706</v>
      </c>
      <c r="L14" s="13">
        <v>45733</v>
      </c>
      <c r="M14" s="13">
        <f t="shared" si="0"/>
        <v>45734</v>
      </c>
      <c r="N14" s="13">
        <f t="shared" si="1"/>
        <v>45761</v>
      </c>
      <c r="O14" s="14"/>
      <c r="P14" s="14"/>
      <c r="Q14" s="14"/>
      <c r="R14" s="14"/>
      <c r="S14" s="14"/>
      <c r="T14" s="14"/>
      <c r="U14" s="8"/>
      <c r="V14" s="8"/>
      <c r="W14" s="8"/>
      <c r="X14" s="8"/>
      <c r="Y14" s="8"/>
      <c r="Z14" s="8"/>
    </row>
    <row r="15" spans="1:26" ht="13.5" customHeight="1">
      <c r="A15" s="12" t="s">
        <v>33</v>
      </c>
      <c r="B15" s="13">
        <v>45681</v>
      </c>
      <c r="C15" s="13">
        <v>45681</v>
      </c>
      <c r="D15" s="13">
        <v>45687</v>
      </c>
      <c r="E15" s="13">
        <v>45688</v>
      </c>
      <c r="F15" s="13">
        <v>45694</v>
      </c>
      <c r="G15" s="13">
        <v>45695</v>
      </c>
      <c r="H15" s="13">
        <v>45701</v>
      </c>
      <c r="I15" s="13">
        <v>45702</v>
      </c>
      <c r="J15" s="13">
        <v>45708</v>
      </c>
      <c r="K15" s="13">
        <v>45709</v>
      </c>
      <c r="L15" s="13">
        <v>45736</v>
      </c>
      <c r="M15" s="13">
        <f t="shared" si="0"/>
        <v>45737</v>
      </c>
      <c r="N15" s="13">
        <f t="shared" si="1"/>
        <v>45764</v>
      </c>
      <c r="O15" s="14"/>
      <c r="P15" s="14"/>
      <c r="Q15" s="14"/>
      <c r="R15" s="14"/>
      <c r="S15" s="14"/>
      <c r="T15" s="14"/>
      <c r="U15" s="8"/>
      <c r="V15" s="8"/>
      <c r="W15" s="8"/>
      <c r="X15" s="8"/>
      <c r="Y15" s="8"/>
      <c r="Z15" s="8"/>
    </row>
    <row r="16" spans="1:26" ht="13.5" customHeight="1">
      <c r="A16" s="12" t="s">
        <v>34</v>
      </c>
      <c r="B16" s="13">
        <v>45688</v>
      </c>
      <c r="C16" s="13">
        <v>45688</v>
      </c>
      <c r="D16" s="13">
        <v>45694</v>
      </c>
      <c r="E16" s="13">
        <v>45695</v>
      </c>
      <c r="F16" s="13">
        <v>45701</v>
      </c>
      <c r="G16" s="13">
        <v>45702</v>
      </c>
      <c r="H16" s="13">
        <v>45708</v>
      </c>
      <c r="I16" s="13">
        <v>45709</v>
      </c>
      <c r="J16" s="13">
        <v>45715</v>
      </c>
      <c r="K16" s="13">
        <v>45716</v>
      </c>
      <c r="L16" s="13">
        <v>45743</v>
      </c>
      <c r="M16" s="13">
        <f t="shared" si="0"/>
        <v>45744</v>
      </c>
      <c r="N16" s="13">
        <f t="shared" si="1"/>
        <v>45771</v>
      </c>
      <c r="O16" s="14"/>
      <c r="P16" s="14"/>
      <c r="Q16" s="14"/>
      <c r="R16" s="14"/>
      <c r="S16" s="14"/>
      <c r="T16" s="14"/>
      <c r="U16" s="8"/>
      <c r="V16" s="8"/>
      <c r="W16" s="8"/>
      <c r="X16" s="8"/>
      <c r="Y16" s="8"/>
      <c r="Z16" s="8"/>
    </row>
    <row r="17" spans="1:26" ht="13.5" customHeight="1">
      <c r="A17" s="12" t="s">
        <v>35</v>
      </c>
      <c r="B17" s="13">
        <v>45688</v>
      </c>
      <c r="C17" s="13">
        <v>45688</v>
      </c>
      <c r="D17" s="13">
        <v>45694</v>
      </c>
      <c r="E17" s="13">
        <v>45695</v>
      </c>
      <c r="F17" s="13">
        <v>45701</v>
      </c>
      <c r="G17" s="13">
        <v>45702</v>
      </c>
      <c r="H17" s="13">
        <v>45708</v>
      </c>
      <c r="I17" s="13">
        <v>45709</v>
      </c>
      <c r="J17" s="13">
        <v>45715</v>
      </c>
      <c r="K17" s="13">
        <v>45716</v>
      </c>
      <c r="L17" s="13">
        <v>45743</v>
      </c>
      <c r="M17" s="13">
        <f t="shared" si="0"/>
        <v>45744</v>
      </c>
      <c r="N17" s="13">
        <f t="shared" si="1"/>
        <v>45771</v>
      </c>
      <c r="O17" s="14"/>
      <c r="P17" s="14"/>
      <c r="Q17" s="14"/>
      <c r="R17" s="14"/>
      <c r="S17" s="14"/>
      <c r="T17" s="14"/>
      <c r="U17" s="8"/>
      <c r="V17" s="8"/>
      <c r="W17" s="8"/>
      <c r="X17" s="8"/>
      <c r="Y17" s="8"/>
      <c r="Z17" s="8"/>
    </row>
    <row r="18" spans="1:26" ht="13.5" customHeight="1">
      <c r="A18" s="12" t="s">
        <v>36</v>
      </c>
      <c r="B18" s="13">
        <v>45688</v>
      </c>
      <c r="C18" s="13">
        <v>45688</v>
      </c>
      <c r="D18" s="13">
        <v>45694</v>
      </c>
      <c r="E18" s="13">
        <v>45695</v>
      </c>
      <c r="F18" s="13">
        <v>45701</v>
      </c>
      <c r="G18" s="13">
        <v>45702</v>
      </c>
      <c r="H18" s="13">
        <v>45708</v>
      </c>
      <c r="I18" s="13">
        <v>45709</v>
      </c>
      <c r="J18" s="13">
        <v>45715</v>
      </c>
      <c r="K18" s="13">
        <v>45716</v>
      </c>
      <c r="L18" s="13">
        <v>45743</v>
      </c>
      <c r="M18" s="13">
        <f t="shared" si="0"/>
        <v>45744</v>
      </c>
      <c r="N18" s="13">
        <f t="shared" si="1"/>
        <v>45771</v>
      </c>
      <c r="O18" s="14"/>
      <c r="P18" s="14"/>
      <c r="Q18" s="14"/>
      <c r="R18" s="14"/>
      <c r="S18" s="14"/>
      <c r="T18" s="14"/>
      <c r="U18" s="8"/>
      <c r="V18" s="8"/>
      <c r="W18" s="8"/>
      <c r="X18" s="8"/>
      <c r="Y18" s="8"/>
      <c r="Z18" s="8"/>
    </row>
    <row r="19" spans="1:26" ht="13.5" customHeight="1">
      <c r="A19" s="12" t="s">
        <v>37</v>
      </c>
      <c r="B19" s="13">
        <v>45693</v>
      </c>
      <c r="C19" s="13">
        <v>45693</v>
      </c>
      <c r="D19" s="13">
        <v>45699</v>
      </c>
      <c r="E19" s="13">
        <v>45700</v>
      </c>
      <c r="F19" s="13">
        <v>45706</v>
      </c>
      <c r="G19" s="13">
        <v>45707</v>
      </c>
      <c r="H19" s="13">
        <v>45713</v>
      </c>
      <c r="I19" s="13">
        <v>45714</v>
      </c>
      <c r="J19" s="13">
        <v>45720</v>
      </c>
      <c r="K19" s="13">
        <v>45721</v>
      </c>
      <c r="L19" s="13">
        <v>45748</v>
      </c>
      <c r="M19" s="13">
        <f t="shared" si="0"/>
        <v>45749</v>
      </c>
      <c r="N19" s="13">
        <f t="shared" si="1"/>
        <v>45776</v>
      </c>
      <c r="O19" s="14"/>
      <c r="P19" s="14"/>
      <c r="Q19" s="14"/>
      <c r="R19" s="14"/>
      <c r="S19" s="14"/>
      <c r="T19" s="14"/>
      <c r="U19" s="8"/>
      <c r="V19" s="8"/>
      <c r="W19" s="8"/>
      <c r="X19" s="8"/>
      <c r="Y19" s="8"/>
      <c r="Z19" s="8"/>
    </row>
    <row r="20" spans="1:26" ht="13.5" customHeight="1">
      <c r="A20" s="12" t="s">
        <v>38</v>
      </c>
      <c r="B20" s="13">
        <v>45693</v>
      </c>
      <c r="C20" s="13">
        <v>45693</v>
      </c>
      <c r="D20" s="13">
        <v>45699</v>
      </c>
      <c r="E20" s="13">
        <v>45700</v>
      </c>
      <c r="F20" s="13">
        <v>45706</v>
      </c>
      <c r="G20" s="13">
        <v>45707</v>
      </c>
      <c r="H20" s="13">
        <v>45713</v>
      </c>
      <c r="I20" s="13">
        <v>45714</v>
      </c>
      <c r="J20" s="13">
        <v>45720</v>
      </c>
      <c r="K20" s="13">
        <v>45721</v>
      </c>
      <c r="L20" s="13">
        <v>45748</v>
      </c>
      <c r="M20" s="13">
        <f t="shared" si="0"/>
        <v>45749</v>
      </c>
      <c r="N20" s="13">
        <f t="shared" si="1"/>
        <v>45776</v>
      </c>
      <c r="O20" s="14"/>
      <c r="P20" s="14"/>
      <c r="Q20" s="14"/>
      <c r="R20" s="14"/>
      <c r="S20" s="14"/>
      <c r="T20" s="14"/>
      <c r="U20" s="8"/>
      <c r="V20" s="8"/>
      <c r="W20" s="8"/>
      <c r="X20" s="8"/>
      <c r="Y20" s="8"/>
      <c r="Z20" s="8"/>
    </row>
    <row r="21" spans="1:26" ht="13.5" customHeight="1">
      <c r="A21" s="12" t="s">
        <v>39</v>
      </c>
      <c r="B21" s="13">
        <v>45728</v>
      </c>
      <c r="C21" s="13">
        <v>45728</v>
      </c>
      <c r="D21" s="13">
        <v>45734</v>
      </c>
      <c r="E21" s="13">
        <v>45735</v>
      </c>
      <c r="F21" s="13">
        <v>45741</v>
      </c>
      <c r="G21" s="13">
        <v>45742</v>
      </c>
      <c r="H21" s="13">
        <v>45748</v>
      </c>
      <c r="I21" s="13">
        <v>45749</v>
      </c>
      <c r="J21" s="13">
        <v>45755</v>
      </c>
      <c r="K21" s="13">
        <v>45756</v>
      </c>
      <c r="L21" s="13">
        <v>45783</v>
      </c>
      <c r="M21" s="13">
        <f t="shared" si="0"/>
        <v>45784</v>
      </c>
      <c r="N21" s="13">
        <f t="shared" si="1"/>
        <v>45811</v>
      </c>
      <c r="O21" s="14" t="s">
        <v>40</v>
      </c>
      <c r="P21" s="14" t="s">
        <v>40</v>
      </c>
      <c r="Q21" s="14" t="s">
        <v>41</v>
      </c>
      <c r="R21" s="14" t="s">
        <v>40</v>
      </c>
      <c r="S21" s="14" t="s">
        <v>40</v>
      </c>
      <c r="T21" s="14" t="s">
        <v>40</v>
      </c>
      <c r="U21" s="8"/>
      <c r="V21" s="8"/>
      <c r="W21" s="8"/>
      <c r="X21" s="8"/>
      <c r="Y21" s="8"/>
      <c r="Z21" s="8"/>
    </row>
    <row r="22" spans="1:26" ht="13.5" customHeight="1">
      <c r="A22" s="12" t="s">
        <v>42</v>
      </c>
      <c r="B22" s="13">
        <v>45728</v>
      </c>
      <c r="C22" s="13">
        <v>45728</v>
      </c>
      <c r="D22" s="13">
        <v>45734</v>
      </c>
      <c r="E22" s="13">
        <v>45735</v>
      </c>
      <c r="F22" s="13">
        <v>45741</v>
      </c>
      <c r="G22" s="13">
        <v>45742</v>
      </c>
      <c r="H22" s="13">
        <v>45748</v>
      </c>
      <c r="I22" s="13">
        <v>45749</v>
      </c>
      <c r="J22" s="13">
        <v>45755</v>
      </c>
      <c r="K22" s="13">
        <v>45756</v>
      </c>
      <c r="L22" s="13">
        <v>45783</v>
      </c>
      <c r="M22" s="13">
        <f t="shared" si="0"/>
        <v>45784</v>
      </c>
      <c r="N22" s="13">
        <f t="shared" si="1"/>
        <v>45811</v>
      </c>
      <c r="O22" s="14" t="s">
        <v>40</v>
      </c>
      <c r="P22" s="14" t="s">
        <v>40</v>
      </c>
      <c r="Q22" s="14" t="s">
        <v>40</v>
      </c>
      <c r="R22" s="14" t="s">
        <v>40</v>
      </c>
      <c r="S22" s="14" t="s">
        <v>40</v>
      </c>
      <c r="T22" s="14" t="s">
        <v>40</v>
      </c>
      <c r="U22" s="8"/>
      <c r="V22" s="8"/>
      <c r="W22" s="8"/>
      <c r="X22" s="8"/>
      <c r="Y22" s="8"/>
      <c r="Z22" s="8"/>
    </row>
    <row r="23" spans="1:26" ht="13.5" customHeight="1">
      <c r="A23" s="12" t="s">
        <v>43</v>
      </c>
      <c r="B23" s="13">
        <v>45730</v>
      </c>
      <c r="C23" s="13">
        <v>45730</v>
      </c>
      <c r="D23" s="13">
        <v>45736</v>
      </c>
      <c r="E23" s="13">
        <v>45737</v>
      </c>
      <c r="F23" s="13">
        <v>45743</v>
      </c>
      <c r="G23" s="13">
        <v>45744</v>
      </c>
      <c r="H23" s="13">
        <v>45750</v>
      </c>
      <c r="I23" s="13">
        <v>45751</v>
      </c>
      <c r="J23" s="13">
        <v>45757</v>
      </c>
      <c r="K23" s="13">
        <v>45758</v>
      </c>
      <c r="L23" s="13">
        <v>45785</v>
      </c>
      <c r="M23" s="13">
        <f t="shared" si="0"/>
        <v>45786</v>
      </c>
      <c r="N23" s="13">
        <f t="shared" si="1"/>
        <v>45813</v>
      </c>
      <c r="O23" s="14" t="s">
        <v>40</v>
      </c>
      <c r="P23" s="14" t="s">
        <v>40</v>
      </c>
      <c r="Q23" s="14" t="s">
        <v>40</v>
      </c>
      <c r="R23" s="14" t="s">
        <v>40</v>
      </c>
      <c r="S23" s="14" t="s">
        <v>40</v>
      </c>
      <c r="T23" s="14" t="s">
        <v>40</v>
      </c>
      <c r="U23" s="8"/>
      <c r="V23" s="8"/>
      <c r="W23" s="8"/>
      <c r="X23" s="8"/>
      <c r="Y23" s="8"/>
      <c r="Z23" s="8"/>
    </row>
    <row r="24" spans="1:26" ht="13.5" customHeight="1">
      <c r="A24" s="12" t="s">
        <v>44</v>
      </c>
      <c r="B24" s="13">
        <v>45748</v>
      </c>
      <c r="C24" s="13">
        <v>45748</v>
      </c>
      <c r="D24" s="13">
        <v>45754</v>
      </c>
      <c r="E24" s="13">
        <v>45755</v>
      </c>
      <c r="F24" s="13">
        <v>45761</v>
      </c>
      <c r="G24" s="13">
        <v>45762</v>
      </c>
      <c r="H24" s="13">
        <v>45768</v>
      </c>
      <c r="I24" s="13">
        <v>45769</v>
      </c>
      <c r="J24" s="13">
        <v>45775</v>
      </c>
      <c r="K24" s="13">
        <v>45776</v>
      </c>
      <c r="L24" s="13">
        <v>45803</v>
      </c>
      <c r="M24" s="13">
        <f t="shared" si="0"/>
        <v>45804</v>
      </c>
      <c r="N24" s="13">
        <f t="shared" si="1"/>
        <v>45831</v>
      </c>
      <c r="O24" s="14" t="s">
        <v>40</v>
      </c>
      <c r="P24" s="14" t="s">
        <v>40</v>
      </c>
      <c r="Q24" s="14" t="s">
        <v>41</v>
      </c>
      <c r="R24" s="14" t="s">
        <v>40</v>
      </c>
      <c r="S24" s="14" t="s">
        <v>40</v>
      </c>
      <c r="T24" s="14" t="s">
        <v>40</v>
      </c>
      <c r="U24" s="8"/>
      <c r="V24" s="8"/>
      <c r="W24" s="8"/>
      <c r="X24" s="8"/>
      <c r="Y24" s="8"/>
      <c r="Z24" s="8"/>
    </row>
    <row r="25" spans="1:26" ht="13.5" customHeight="1">
      <c r="A25" s="12" t="s">
        <v>45</v>
      </c>
      <c r="B25" s="13">
        <v>45751</v>
      </c>
      <c r="C25" s="13">
        <v>45751</v>
      </c>
      <c r="D25" s="13">
        <v>45757</v>
      </c>
      <c r="E25" s="13">
        <v>45758</v>
      </c>
      <c r="F25" s="13">
        <v>45764</v>
      </c>
      <c r="G25" s="13">
        <v>45765</v>
      </c>
      <c r="H25" s="13">
        <v>45771</v>
      </c>
      <c r="I25" s="13">
        <v>45772</v>
      </c>
      <c r="J25" s="13">
        <v>45778</v>
      </c>
      <c r="K25" s="13">
        <v>45779</v>
      </c>
      <c r="L25" s="13">
        <v>45806</v>
      </c>
      <c r="M25" s="13">
        <f t="shared" si="0"/>
        <v>45807</v>
      </c>
      <c r="N25" s="13">
        <f t="shared" si="1"/>
        <v>45834</v>
      </c>
      <c r="O25" s="14" t="s">
        <v>40</v>
      </c>
      <c r="P25" s="14" t="s">
        <v>41</v>
      </c>
      <c r="Q25" s="14" t="s">
        <v>41</v>
      </c>
      <c r="R25" s="14" t="s">
        <v>41</v>
      </c>
      <c r="S25" s="14" t="s">
        <v>41</v>
      </c>
      <c r="T25" s="14" t="s">
        <v>41</v>
      </c>
      <c r="U25" s="8"/>
      <c r="V25" s="8"/>
      <c r="W25" s="8"/>
      <c r="X25" s="8"/>
      <c r="Y25" s="8"/>
      <c r="Z25" s="8"/>
    </row>
    <row r="26" spans="1:26" ht="13.5" customHeight="1">
      <c r="A26" s="12" t="s">
        <v>46</v>
      </c>
      <c r="B26" s="13">
        <v>45751</v>
      </c>
      <c r="C26" s="13">
        <v>45751</v>
      </c>
      <c r="D26" s="13">
        <v>45757</v>
      </c>
      <c r="E26" s="13">
        <v>45758</v>
      </c>
      <c r="F26" s="13">
        <v>45764</v>
      </c>
      <c r="G26" s="13">
        <v>45765</v>
      </c>
      <c r="H26" s="13">
        <v>45771</v>
      </c>
      <c r="I26" s="13">
        <v>45772</v>
      </c>
      <c r="J26" s="13">
        <v>45778</v>
      </c>
      <c r="K26" s="13">
        <v>45779</v>
      </c>
      <c r="L26" s="13">
        <v>45806</v>
      </c>
      <c r="M26" s="13">
        <f t="shared" si="0"/>
        <v>45807</v>
      </c>
      <c r="N26" s="13">
        <f t="shared" si="1"/>
        <v>45834</v>
      </c>
      <c r="O26" s="14" t="s">
        <v>40</v>
      </c>
      <c r="P26" s="14" t="s">
        <v>41</v>
      </c>
      <c r="Q26" s="14" t="s">
        <v>41</v>
      </c>
      <c r="R26" s="14" t="s">
        <v>41</v>
      </c>
      <c r="S26" s="14" t="s">
        <v>41</v>
      </c>
      <c r="T26" s="14" t="s">
        <v>41</v>
      </c>
      <c r="U26" s="8"/>
      <c r="V26" s="8"/>
      <c r="W26" s="8"/>
      <c r="X26" s="8"/>
      <c r="Y26" s="8"/>
      <c r="Z26" s="8"/>
    </row>
    <row r="27" spans="1:26" ht="13.5" customHeight="1">
      <c r="A27" s="12" t="s">
        <v>47</v>
      </c>
      <c r="B27" s="13">
        <v>45751</v>
      </c>
      <c r="C27" s="13">
        <v>45751</v>
      </c>
      <c r="D27" s="13">
        <v>45757</v>
      </c>
      <c r="E27" s="13">
        <v>45758</v>
      </c>
      <c r="F27" s="13">
        <v>45764</v>
      </c>
      <c r="G27" s="13">
        <v>45765</v>
      </c>
      <c r="H27" s="13">
        <v>45771</v>
      </c>
      <c r="I27" s="13">
        <v>45772</v>
      </c>
      <c r="J27" s="13">
        <v>45778</v>
      </c>
      <c r="K27" s="13">
        <v>45779</v>
      </c>
      <c r="L27" s="13">
        <v>45806</v>
      </c>
      <c r="M27" s="13">
        <f t="shared" si="0"/>
        <v>45807</v>
      </c>
      <c r="N27" s="13">
        <f t="shared" si="1"/>
        <v>45834</v>
      </c>
      <c r="O27" s="14" t="s">
        <v>40</v>
      </c>
      <c r="P27" s="14" t="s">
        <v>41</v>
      </c>
      <c r="Q27" s="14" t="s">
        <v>41</v>
      </c>
      <c r="R27" s="14" t="s">
        <v>41</v>
      </c>
      <c r="S27" s="14" t="s">
        <v>41</v>
      </c>
      <c r="T27" s="14" t="s">
        <v>41</v>
      </c>
      <c r="U27" s="8"/>
      <c r="V27" s="8"/>
      <c r="W27" s="8"/>
      <c r="X27" s="8"/>
      <c r="Y27" s="8"/>
      <c r="Z27" s="8"/>
    </row>
    <row r="28" spans="1:26" ht="13.5" customHeight="1">
      <c r="A28" s="12" t="s">
        <v>48</v>
      </c>
      <c r="B28" s="13">
        <v>45751</v>
      </c>
      <c r="C28" s="13">
        <v>45751</v>
      </c>
      <c r="D28" s="13">
        <v>45757</v>
      </c>
      <c r="E28" s="13">
        <v>45758</v>
      </c>
      <c r="F28" s="13">
        <v>45764</v>
      </c>
      <c r="G28" s="13">
        <v>45765</v>
      </c>
      <c r="H28" s="13">
        <v>45771</v>
      </c>
      <c r="I28" s="13">
        <v>45772</v>
      </c>
      <c r="J28" s="13">
        <v>45778</v>
      </c>
      <c r="K28" s="13">
        <v>45779</v>
      </c>
      <c r="L28" s="13">
        <v>45806</v>
      </c>
      <c r="M28" s="13">
        <f t="shared" si="0"/>
        <v>45807</v>
      </c>
      <c r="N28" s="13">
        <f t="shared" si="1"/>
        <v>45834</v>
      </c>
      <c r="O28" s="14" t="s">
        <v>40</v>
      </c>
      <c r="P28" s="14" t="s">
        <v>41</v>
      </c>
      <c r="Q28" s="14" t="s">
        <v>41</v>
      </c>
      <c r="R28" s="14" t="s">
        <v>41</v>
      </c>
      <c r="S28" s="14" t="s">
        <v>41</v>
      </c>
      <c r="T28" s="14" t="s">
        <v>41</v>
      </c>
      <c r="U28" s="8"/>
      <c r="V28" s="8"/>
      <c r="W28" s="8"/>
      <c r="X28" s="8"/>
      <c r="Y28" s="8"/>
      <c r="Z28" s="8"/>
    </row>
    <row r="29" spans="1:26" ht="13.5" customHeight="1">
      <c r="A29" s="12" t="s">
        <v>49</v>
      </c>
      <c r="B29" s="13">
        <v>45751</v>
      </c>
      <c r="C29" s="13">
        <v>45751</v>
      </c>
      <c r="D29" s="13">
        <v>45757</v>
      </c>
      <c r="E29" s="13">
        <v>45758</v>
      </c>
      <c r="F29" s="13">
        <v>45764</v>
      </c>
      <c r="G29" s="13">
        <v>45765</v>
      </c>
      <c r="H29" s="13">
        <v>45771</v>
      </c>
      <c r="I29" s="13">
        <v>45772</v>
      </c>
      <c r="J29" s="13">
        <v>45778</v>
      </c>
      <c r="K29" s="13">
        <v>45779</v>
      </c>
      <c r="L29" s="13">
        <v>45806</v>
      </c>
      <c r="M29" s="13">
        <f t="shared" si="0"/>
        <v>45807</v>
      </c>
      <c r="N29" s="13">
        <f t="shared" si="1"/>
        <v>45834</v>
      </c>
      <c r="O29" s="14" t="s">
        <v>40</v>
      </c>
      <c r="P29" s="14" t="s">
        <v>41</v>
      </c>
      <c r="Q29" s="14" t="s">
        <v>41</v>
      </c>
      <c r="R29" s="14" t="s">
        <v>41</v>
      </c>
      <c r="S29" s="14" t="s">
        <v>41</v>
      </c>
      <c r="T29" s="14" t="s">
        <v>41</v>
      </c>
      <c r="U29" s="8"/>
      <c r="V29" s="8"/>
      <c r="W29" s="8"/>
      <c r="X29" s="8"/>
      <c r="Y29" s="8"/>
      <c r="Z29" s="8"/>
    </row>
    <row r="30" spans="1:26" ht="13.5" customHeight="1">
      <c r="A30" s="12" t="s">
        <v>50</v>
      </c>
      <c r="B30" s="13">
        <v>45751</v>
      </c>
      <c r="C30" s="13">
        <v>45751</v>
      </c>
      <c r="D30" s="13">
        <v>45757</v>
      </c>
      <c r="E30" s="13">
        <v>45758</v>
      </c>
      <c r="F30" s="13">
        <v>45764</v>
      </c>
      <c r="G30" s="13">
        <v>45765</v>
      </c>
      <c r="H30" s="13">
        <v>45771</v>
      </c>
      <c r="I30" s="13">
        <v>45772</v>
      </c>
      <c r="J30" s="13">
        <v>45778</v>
      </c>
      <c r="K30" s="13">
        <v>45779</v>
      </c>
      <c r="L30" s="13">
        <v>45806</v>
      </c>
      <c r="M30" s="13">
        <f t="shared" si="0"/>
        <v>45807</v>
      </c>
      <c r="N30" s="13">
        <f t="shared" si="1"/>
        <v>45834</v>
      </c>
      <c r="O30" s="14" t="s">
        <v>40</v>
      </c>
      <c r="P30" s="14" t="s">
        <v>40</v>
      </c>
      <c r="Q30" s="14" t="s">
        <v>41</v>
      </c>
      <c r="R30" s="14" t="s">
        <v>40</v>
      </c>
      <c r="S30" s="14" t="s">
        <v>40</v>
      </c>
      <c r="T30" s="14" t="s">
        <v>41</v>
      </c>
      <c r="U30" s="8"/>
      <c r="V30" s="8"/>
      <c r="W30" s="8"/>
      <c r="X30" s="8"/>
      <c r="Y30" s="8"/>
      <c r="Z30" s="8"/>
    </row>
    <row r="31" spans="1:26" ht="13.5" customHeight="1">
      <c r="A31" s="12" t="s">
        <v>51</v>
      </c>
      <c r="B31" s="13">
        <v>45762</v>
      </c>
      <c r="C31" s="13">
        <v>45762</v>
      </c>
      <c r="D31" s="13">
        <v>45768</v>
      </c>
      <c r="E31" s="13">
        <v>45769</v>
      </c>
      <c r="F31" s="13">
        <v>45775</v>
      </c>
      <c r="G31" s="13">
        <v>45776</v>
      </c>
      <c r="H31" s="13">
        <v>45782</v>
      </c>
      <c r="I31" s="13">
        <v>45783</v>
      </c>
      <c r="J31" s="13">
        <v>45789</v>
      </c>
      <c r="K31" s="13">
        <v>45790</v>
      </c>
      <c r="L31" s="13">
        <v>45817</v>
      </c>
      <c r="M31" s="13">
        <f t="shared" si="0"/>
        <v>45818</v>
      </c>
      <c r="N31" s="13">
        <f t="shared" si="1"/>
        <v>45845</v>
      </c>
      <c r="O31" s="14" t="s">
        <v>40</v>
      </c>
      <c r="P31" s="14" t="s">
        <v>40</v>
      </c>
      <c r="Q31" s="14" t="s">
        <v>40</v>
      </c>
      <c r="R31" s="14" t="s">
        <v>40</v>
      </c>
      <c r="S31" s="14" t="s">
        <v>40</v>
      </c>
      <c r="T31" s="14" t="s">
        <v>41</v>
      </c>
      <c r="U31" s="8"/>
      <c r="V31" s="8"/>
      <c r="W31" s="8"/>
      <c r="X31" s="8"/>
      <c r="Y31" s="8"/>
      <c r="Z31" s="8"/>
    </row>
    <row r="32" spans="1:26" ht="13.5" customHeight="1">
      <c r="A32" s="12" t="s">
        <v>52</v>
      </c>
      <c r="B32" s="13">
        <v>45762</v>
      </c>
      <c r="C32" s="13">
        <v>45762</v>
      </c>
      <c r="D32" s="13">
        <v>45768</v>
      </c>
      <c r="E32" s="13">
        <v>45769</v>
      </c>
      <c r="F32" s="13">
        <v>45775</v>
      </c>
      <c r="G32" s="13">
        <v>45776</v>
      </c>
      <c r="H32" s="13">
        <v>45782</v>
      </c>
      <c r="I32" s="13">
        <v>45783</v>
      </c>
      <c r="J32" s="13">
        <v>45789</v>
      </c>
      <c r="K32" s="13">
        <v>45790</v>
      </c>
      <c r="L32" s="13">
        <v>45817</v>
      </c>
      <c r="M32" s="13">
        <f t="shared" si="0"/>
        <v>45818</v>
      </c>
      <c r="N32" s="13">
        <f t="shared" si="1"/>
        <v>45845</v>
      </c>
      <c r="O32" s="14" t="s">
        <v>40</v>
      </c>
      <c r="P32" s="14" t="s">
        <v>40</v>
      </c>
      <c r="Q32" s="14" t="s">
        <v>40</v>
      </c>
      <c r="R32" s="14" t="s">
        <v>40</v>
      </c>
      <c r="S32" s="14" t="s">
        <v>40</v>
      </c>
      <c r="T32" s="14" t="s">
        <v>41</v>
      </c>
      <c r="U32" s="8"/>
      <c r="V32" s="8"/>
      <c r="W32" s="8"/>
      <c r="X32" s="8"/>
      <c r="Y32" s="8"/>
      <c r="Z32" s="8"/>
    </row>
    <row r="33" spans="1:26" ht="13.5" customHeight="1">
      <c r="A33" s="12" t="s">
        <v>53</v>
      </c>
      <c r="B33" s="13">
        <v>45763</v>
      </c>
      <c r="C33" s="13">
        <v>45763</v>
      </c>
      <c r="D33" s="13">
        <v>45769</v>
      </c>
      <c r="E33" s="13">
        <v>45770</v>
      </c>
      <c r="F33" s="13">
        <v>45776</v>
      </c>
      <c r="G33" s="13">
        <v>45777</v>
      </c>
      <c r="H33" s="13">
        <v>45783</v>
      </c>
      <c r="I33" s="13">
        <v>45784</v>
      </c>
      <c r="J33" s="13">
        <v>45790</v>
      </c>
      <c r="K33" s="13">
        <v>45791</v>
      </c>
      <c r="L33" s="13">
        <v>45818</v>
      </c>
      <c r="M33" s="13">
        <f t="shared" si="0"/>
        <v>45819</v>
      </c>
      <c r="N33" s="13">
        <f t="shared" si="1"/>
        <v>45846</v>
      </c>
      <c r="O33" s="14" t="s">
        <v>40</v>
      </c>
      <c r="P33" s="14" t="s">
        <v>40</v>
      </c>
      <c r="Q33" s="14" t="s">
        <v>40</v>
      </c>
      <c r="R33" s="14" t="s">
        <v>40</v>
      </c>
      <c r="S33" s="14" t="s">
        <v>40</v>
      </c>
      <c r="T33" s="14" t="s">
        <v>40</v>
      </c>
      <c r="U33" s="8"/>
      <c r="V33" s="8"/>
      <c r="W33" s="8"/>
      <c r="X33" s="8"/>
      <c r="Y33" s="8"/>
      <c r="Z33" s="8"/>
    </row>
    <row r="34" spans="1:26" ht="13.5" customHeight="1">
      <c r="A34" s="12" t="s">
        <v>54</v>
      </c>
      <c r="B34" s="13">
        <v>45772</v>
      </c>
      <c r="C34" s="13">
        <v>45772</v>
      </c>
      <c r="D34" s="13">
        <v>45778</v>
      </c>
      <c r="E34" s="13">
        <v>45779</v>
      </c>
      <c r="F34" s="13">
        <v>45785</v>
      </c>
      <c r="G34" s="13">
        <v>45786</v>
      </c>
      <c r="H34" s="13">
        <v>45792</v>
      </c>
      <c r="I34" s="13">
        <v>45793</v>
      </c>
      <c r="J34" s="13">
        <v>45799</v>
      </c>
      <c r="K34" s="13">
        <v>45800</v>
      </c>
      <c r="L34" s="13">
        <v>45827</v>
      </c>
      <c r="M34" s="13">
        <f t="shared" si="0"/>
        <v>45828</v>
      </c>
      <c r="N34" s="13">
        <f t="shared" si="1"/>
        <v>45855</v>
      </c>
      <c r="O34" s="14" t="s">
        <v>40</v>
      </c>
      <c r="P34" s="14" t="s">
        <v>40</v>
      </c>
      <c r="Q34" s="14" t="s">
        <v>40</v>
      </c>
      <c r="R34" s="14" t="s">
        <v>40</v>
      </c>
      <c r="S34" s="14" t="s">
        <v>41</v>
      </c>
      <c r="T34" s="14" t="s">
        <v>40</v>
      </c>
      <c r="U34" s="8"/>
      <c r="V34" s="8"/>
      <c r="W34" s="8"/>
      <c r="X34" s="8"/>
      <c r="Y34" s="8"/>
      <c r="Z34" s="8"/>
    </row>
    <row r="35" spans="1:26" ht="13.5" customHeight="1">
      <c r="A35" s="12" t="s">
        <v>55</v>
      </c>
      <c r="B35" s="13">
        <v>45776</v>
      </c>
      <c r="C35" s="13">
        <v>45776</v>
      </c>
      <c r="D35" s="13">
        <v>45782</v>
      </c>
      <c r="E35" s="13">
        <v>45783</v>
      </c>
      <c r="F35" s="13">
        <v>45789</v>
      </c>
      <c r="G35" s="13">
        <v>45790</v>
      </c>
      <c r="H35" s="13">
        <v>45796</v>
      </c>
      <c r="I35" s="13">
        <v>45797</v>
      </c>
      <c r="J35" s="13">
        <v>45803</v>
      </c>
      <c r="K35" s="13">
        <v>45804</v>
      </c>
      <c r="L35" s="13">
        <v>45831</v>
      </c>
      <c r="M35" s="13">
        <f t="shared" si="0"/>
        <v>45832</v>
      </c>
      <c r="N35" s="13">
        <f t="shared" si="1"/>
        <v>45859</v>
      </c>
      <c r="O35" s="14" t="s">
        <v>40</v>
      </c>
      <c r="P35" s="14" t="s">
        <v>40</v>
      </c>
      <c r="Q35" s="14" t="s">
        <v>40</v>
      </c>
      <c r="R35" s="14" t="s">
        <v>40</v>
      </c>
      <c r="S35" s="14" t="s">
        <v>40</v>
      </c>
      <c r="T35" s="14" t="s">
        <v>41</v>
      </c>
      <c r="U35" s="8"/>
      <c r="V35" s="8"/>
      <c r="W35" s="8"/>
      <c r="X35" s="8"/>
      <c r="Y35" s="8"/>
      <c r="Z35" s="8"/>
    </row>
    <row r="36" spans="1:26" ht="13.5" customHeight="1">
      <c r="A36" s="12" t="s">
        <v>56</v>
      </c>
      <c r="B36" s="13">
        <v>45776</v>
      </c>
      <c r="C36" s="13">
        <v>45776</v>
      </c>
      <c r="D36" s="13">
        <v>45782</v>
      </c>
      <c r="E36" s="13">
        <v>45783</v>
      </c>
      <c r="F36" s="13">
        <v>45789</v>
      </c>
      <c r="G36" s="13">
        <v>45790</v>
      </c>
      <c r="H36" s="13">
        <v>45796</v>
      </c>
      <c r="I36" s="13">
        <v>45797</v>
      </c>
      <c r="J36" s="13">
        <v>45803</v>
      </c>
      <c r="K36" s="13">
        <v>45804</v>
      </c>
      <c r="L36" s="13">
        <v>45831</v>
      </c>
      <c r="M36" s="13">
        <f t="shared" si="0"/>
        <v>45832</v>
      </c>
      <c r="N36" s="13">
        <f t="shared" si="1"/>
        <v>45859</v>
      </c>
      <c r="O36" s="14" t="s">
        <v>40</v>
      </c>
      <c r="P36" s="14" t="s">
        <v>40</v>
      </c>
      <c r="Q36" s="14" t="s">
        <v>40</v>
      </c>
      <c r="R36" s="14" t="s">
        <v>40</v>
      </c>
      <c r="S36" s="14" t="s">
        <v>41</v>
      </c>
      <c r="T36" s="14" t="s">
        <v>40</v>
      </c>
      <c r="U36" s="8"/>
      <c r="V36" s="8"/>
      <c r="W36" s="8"/>
      <c r="X36" s="8"/>
      <c r="Y36" s="8"/>
      <c r="Z36" s="8"/>
    </row>
    <row r="37" spans="1:26" ht="13.5" customHeight="1">
      <c r="A37" s="12" t="s">
        <v>57</v>
      </c>
      <c r="B37" s="13">
        <v>45776</v>
      </c>
      <c r="C37" s="13">
        <v>45776</v>
      </c>
      <c r="D37" s="13">
        <v>45782</v>
      </c>
      <c r="E37" s="13">
        <v>45783</v>
      </c>
      <c r="F37" s="13">
        <v>45789</v>
      </c>
      <c r="G37" s="13">
        <v>45790</v>
      </c>
      <c r="H37" s="13">
        <v>45796</v>
      </c>
      <c r="I37" s="13">
        <v>45797</v>
      </c>
      <c r="J37" s="13">
        <v>45803</v>
      </c>
      <c r="K37" s="13">
        <v>45804</v>
      </c>
      <c r="L37" s="13">
        <v>45831</v>
      </c>
      <c r="M37" s="13">
        <f t="shared" si="0"/>
        <v>45832</v>
      </c>
      <c r="N37" s="13">
        <f t="shared" si="1"/>
        <v>45859</v>
      </c>
      <c r="O37" s="14" t="s">
        <v>40</v>
      </c>
      <c r="P37" s="14" t="s">
        <v>40</v>
      </c>
      <c r="Q37" s="14" t="s">
        <v>40</v>
      </c>
      <c r="R37" s="14" t="s">
        <v>40</v>
      </c>
      <c r="S37" s="14" t="s">
        <v>41</v>
      </c>
      <c r="T37" s="14" t="s">
        <v>40</v>
      </c>
      <c r="U37" s="8"/>
      <c r="V37" s="8"/>
      <c r="W37" s="8"/>
      <c r="X37" s="8"/>
      <c r="Y37" s="8"/>
      <c r="Z37" s="8"/>
    </row>
    <row r="38" spans="1:26" ht="13.5" customHeight="1">
      <c r="A38" s="12" t="s">
        <v>58</v>
      </c>
      <c r="B38" s="13">
        <v>45776</v>
      </c>
      <c r="C38" s="13">
        <v>45776</v>
      </c>
      <c r="D38" s="13">
        <v>45782</v>
      </c>
      <c r="E38" s="13">
        <v>45783</v>
      </c>
      <c r="F38" s="13">
        <v>45789</v>
      </c>
      <c r="G38" s="13">
        <v>45790</v>
      </c>
      <c r="H38" s="13">
        <v>45796</v>
      </c>
      <c r="I38" s="13">
        <v>45797</v>
      </c>
      <c r="J38" s="13">
        <v>45803</v>
      </c>
      <c r="K38" s="13">
        <v>45804</v>
      </c>
      <c r="L38" s="13">
        <v>45831</v>
      </c>
      <c r="M38" s="13">
        <f t="shared" si="0"/>
        <v>45832</v>
      </c>
      <c r="N38" s="13">
        <f t="shared" si="1"/>
        <v>45859</v>
      </c>
      <c r="O38" s="14" t="s">
        <v>40</v>
      </c>
      <c r="P38" s="14" t="s">
        <v>40</v>
      </c>
      <c r="Q38" s="14" t="s">
        <v>40</v>
      </c>
      <c r="R38" s="14" t="s">
        <v>40</v>
      </c>
      <c r="S38" s="14" t="s">
        <v>41</v>
      </c>
      <c r="T38" s="14" t="s">
        <v>40</v>
      </c>
      <c r="U38" s="8"/>
      <c r="V38" s="8"/>
      <c r="W38" s="8"/>
      <c r="X38" s="8"/>
      <c r="Y38" s="8"/>
      <c r="Z38" s="8"/>
    </row>
    <row r="39" spans="1:26" ht="13.5" customHeight="1">
      <c r="A39" s="12" t="s">
        <v>59</v>
      </c>
      <c r="B39" s="13">
        <v>45776</v>
      </c>
      <c r="C39" s="13">
        <v>45776</v>
      </c>
      <c r="D39" s="13">
        <v>45782</v>
      </c>
      <c r="E39" s="13">
        <v>45783</v>
      </c>
      <c r="F39" s="13">
        <v>45789</v>
      </c>
      <c r="G39" s="13">
        <v>45790</v>
      </c>
      <c r="H39" s="13">
        <v>45796</v>
      </c>
      <c r="I39" s="13">
        <v>45797</v>
      </c>
      <c r="J39" s="13">
        <v>45803</v>
      </c>
      <c r="K39" s="13">
        <v>45804</v>
      </c>
      <c r="L39" s="13">
        <v>45831</v>
      </c>
      <c r="M39" s="13">
        <f t="shared" si="0"/>
        <v>45832</v>
      </c>
      <c r="N39" s="13">
        <f t="shared" si="1"/>
        <v>45859</v>
      </c>
      <c r="O39" s="14" t="s">
        <v>40</v>
      </c>
      <c r="P39" s="14" t="s">
        <v>40</v>
      </c>
      <c r="Q39" s="14" t="s">
        <v>40</v>
      </c>
      <c r="R39" s="14" t="s">
        <v>40</v>
      </c>
      <c r="S39" s="14" t="s">
        <v>41</v>
      </c>
      <c r="T39" s="14" t="s">
        <v>40</v>
      </c>
      <c r="U39" s="8"/>
      <c r="V39" s="8"/>
      <c r="W39" s="8"/>
      <c r="X39" s="8"/>
      <c r="Y39" s="8"/>
      <c r="Z39" s="8"/>
    </row>
    <row r="40" spans="1:26" ht="13.5" customHeight="1">
      <c r="A40" s="12" t="s">
        <v>60</v>
      </c>
      <c r="B40" s="13">
        <v>45776</v>
      </c>
      <c r="C40" s="13">
        <v>45776</v>
      </c>
      <c r="D40" s="13">
        <v>45782</v>
      </c>
      <c r="E40" s="13">
        <v>45783</v>
      </c>
      <c r="F40" s="13">
        <v>45789</v>
      </c>
      <c r="G40" s="13">
        <v>45790</v>
      </c>
      <c r="H40" s="13">
        <v>45796</v>
      </c>
      <c r="I40" s="13">
        <v>45797</v>
      </c>
      <c r="J40" s="13">
        <v>45803</v>
      </c>
      <c r="K40" s="13">
        <v>45804</v>
      </c>
      <c r="L40" s="13">
        <v>45831</v>
      </c>
      <c r="M40" s="13">
        <f t="shared" si="0"/>
        <v>45832</v>
      </c>
      <c r="N40" s="13">
        <f t="shared" si="1"/>
        <v>45859</v>
      </c>
      <c r="O40" s="14" t="s">
        <v>40</v>
      </c>
      <c r="P40" s="14" t="s">
        <v>40</v>
      </c>
      <c r="Q40" s="14" t="s">
        <v>40</v>
      </c>
      <c r="R40" s="14" t="s">
        <v>40</v>
      </c>
      <c r="S40" s="14" t="s">
        <v>41</v>
      </c>
      <c r="T40" s="14" t="s">
        <v>40</v>
      </c>
      <c r="U40" s="8"/>
      <c r="V40" s="8"/>
      <c r="W40" s="8"/>
      <c r="X40" s="8"/>
      <c r="Y40" s="8"/>
      <c r="Z40" s="8"/>
    </row>
    <row r="41" spans="1:26" ht="13.5" customHeight="1">
      <c r="A41" s="15" t="s">
        <v>61</v>
      </c>
      <c r="B41" s="16">
        <v>45786</v>
      </c>
      <c r="C41" s="17">
        <v>45786</v>
      </c>
      <c r="D41" s="16">
        <v>45792</v>
      </c>
      <c r="E41" s="16">
        <v>45793</v>
      </c>
      <c r="F41" s="16">
        <v>45799</v>
      </c>
      <c r="G41" s="16">
        <v>45800</v>
      </c>
      <c r="H41" s="16">
        <v>45806</v>
      </c>
      <c r="I41" s="16">
        <v>45807</v>
      </c>
      <c r="J41" s="16">
        <v>45813</v>
      </c>
      <c r="K41" s="16">
        <v>45814</v>
      </c>
      <c r="L41" s="16">
        <v>45841</v>
      </c>
      <c r="M41" s="16">
        <v>45841</v>
      </c>
      <c r="N41" s="16">
        <v>45868</v>
      </c>
      <c r="O41" s="18" t="s">
        <v>40</v>
      </c>
      <c r="P41" s="18" t="s">
        <v>40</v>
      </c>
      <c r="Q41" s="18" t="s">
        <v>41</v>
      </c>
      <c r="R41" s="18" t="s">
        <v>40</v>
      </c>
      <c r="S41" s="18" t="s">
        <v>40</v>
      </c>
      <c r="T41" s="18" t="s">
        <v>41</v>
      </c>
      <c r="U41" s="8"/>
      <c r="V41" s="8"/>
      <c r="W41" s="8"/>
      <c r="X41" s="8"/>
      <c r="Y41" s="8"/>
      <c r="Z41" s="8"/>
    </row>
    <row r="42" spans="1:26" ht="13.5" customHeight="1">
      <c r="A42" s="12" t="s">
        <v>62</v>
      </c>
      <c r="B42" s="13">
        <v>45786</v>
      </c>
      <c r="C42" s="19">
        <v>45786</v>
      </c>
      <c r="D42" s="13">
        <v>45792</v>
      </c>
      <c r="E42" s="13">
        <v>45793</v>
      </c>
      <c r="F42" s="13">
        <v>45799</v>
      </c>
      <c r="G42" s="13">
        <v>45800</v>
      </c>
      <c r="H42" s="13">
        <v>45806</v>
      </c>
      <c r="I42" s="13">
        <v>45807</v>
      </c>
      <c r="J42" s="13">
        <v>45813</v>
      </c>
      <c r="K42" s="13">
        <v>45814</v>
      </c>
      <c r="L42" s="13">
        <v>45841</v>
      </c>
      <c r="M42" s="13">
        <v>45841</v>
      </c>
      <c r="N42" s="13">
        <v>45868</v>
      </c>
      <c r="O42" s="14" t="s">
        <v>40</v>
      </c>
      <c r="P42" s="14" t="s">
        <v>40</v>
      </c>
      <c r="Q42" s="14" t="s">
        <v>40</v>
      </c>
      <c r="R42" s="14" t="s">
        <v>40</v>
      </c>
      <c r="S42" s="14" t="s">
        <v>40</v>
      </c>
      <c r="T42" s="14" t="s">
        <v>41</v>
      </c>
      <c r="U42" s="8"/>
      <c r="V42" s="8"/>
      <c r="W42" s="8"/>
      <c r="X42" s="8"/>
      <c r="Y42" s="8"/>
      <c r="Z42" s="8"/>
    </row>
    <row r="43" spans="1:26" ht="13.5" customHeight="1">
      <c r="A43" s="12" t="s">
        <v>63</v>
      </c>
      <c r="B43" s="13">
        <v>45790</v>
      </c>
      <c r="C43" s="19">
        <v>45790</v>
      </c>
      <c r="D43" s="13">
        <v>45796</v>
      </c>
      <c r="E43" s="13">
        <v>45797</v>
      </c>
      <c r="F43" s="13">
        <v>45803</v>
      </c>
      <c r="G43" s="13">
        <v>45804</v>
      </c>
      <c r="H43" s="13">
        <v>45810</v>
      </c>
      <c r="I43" s="13">
        <v>45811</v>
      </c>
      <c r="J43" s="13">
        <v>45817</v>
      </c>
      <c r="K43" s="13">
        <v>45818</v>
      </c>
      <c r="L43" s="13">
        <v>45845</v>
      </c>
      <c r="M43" s="13">
        <v>45845</v>
      </c>
      <c r="N43" s="13">
        <v>45872</v>
      </c>
      <c r="O43" s="14" t="s">
        <v>40</v>
      </c>
      <c r="P43" s="14" t="s">
        <v>40</v>
      </c>
      <c r="Q43" s="14" t="s">
        <v>41</v>
      </c>
      <c r="R43" s="14" t="s">
        <v>40</v>
      </c>
      <c r="S43" s="14" t="s">
        <v>41</v>
      </c>
      <c r="T43" s="14" t="s">
        <v>40</v>
      </c>
      <c r="U43" s="8"/>
      <c r="V43" s="8"/>
      <c r="W43" s="8"/>
      <c r="X43" s="8"/>
      <c r="Y43" s="8"/>
      <c r="Z43" s="8"/>
    </row>
    <row r="44" spans="1:26" ht="13.5" customHeight="1">
      <c r="A44" s="12" t="s">
        <v>64</v>
      </c>
      <c r="B44" s="13">
        <v>45790</v>
      </c>
      <c r="C44" s="19">
        <v>45790</v>
      </c>
      <c r="D44" s="13">
        <v>45796</v>
      </c>
      <c r="E44" s="13">
        <v>45797</v>
      </c>
      <c r="F44" s="13">
        <v>45803</v>
      </c>
      <c r="G44" s="13">
        <v>45804</v>
      </c>
      <c r="H44" s="13">
        <v>45810</v>
      </c>
      <c r="I44" s="13">
        <v>45811</v>
      </c>
      <c r="J44" s="13">
        <v>45817</v>
      </c>
      <c r="K44" s="13">
        <v>45818</v>
      </c>
      <c r="L44" s="13">
        <v>45845</v>
      </c>
      <c r="M44" s="13">
        <v>45845</v>
      </c>
      <c r="N44" s="13">
        <v>45872</v>
      </c>
      <c r="O44" s="14" t="s">
        <v>40</v>
      </c>
      <c r="P44" s="14" t="s">
        <v>40</v>
      </c>
      <c r="Q44" s="14" t="s">
        <v>41</v>
      </c>
      <c r="R44" s="14" t="s">
        <v>40</v>
      </c>
      <c r="S44" s="14" t="s">
        <v>41</v>
      </c>
      <c r="T44" s="14" t="s">
        <v>40</v>
      </c>
      <c r="U44" s="8"/>
      <c r="V44" s="8"/>
      <c r="W44" s="8"/>
      <c r="X44" s="8"/>
      <c r="Y44" s="8"/>
      <c r="Z44" s="8"/>
    </row>
    <row r="45" spans="1:26" ht="13.5" customHeight="1">
      <c r="A45" s="12" t="s">
        <v>65</v>
      </c>
      <c r="B45" s="13">
        <v>45793</v>
      </c>
      <c r="C45" s="19">
        <v>45793</v>
      </c>
      <c r="D45" s="13">
        <v>45799</v>
      </c>
      <c r="E45" s="13">
        <v>45800</v>
      </c>
      <c r="F45" s="13">
        <v>45806</v>
      </c>
      <c r="G45" s="13">
        <v>45807</v>
      </c>
      <c r="H45" s="13">
        <v>45813</v>
      </c>
      <c r="I45" s="13">
        <v>45814</v>
      </c>
      <c r="J45" s="13">
        <v>45820</v>
      </c>
      <c r="K45" s="13">
        <v>45821</v>
      </c>
      <c r="L45" s="13">
        <v>45848</v>
      </c>
      <c r="M45" s="13">
        <v>45848</v>
      </c>
      <c r="N45" s="13">
        <v>45875</v>
      </c>
      <c r="O45" s="14" t="s">
        <v>40</v>
      </c>
      <c r="P45" s="14" t="s">
        <v>40</v>
      </c>
      <c r="Q45" s="14" t="s">
        <v>41</v>
      </c>
      <c r="R45" s="14" t="s">
        <v>41</v>
      </c>
      <c r="S45" s="14" t="s">
        <v>41</v>
      </c>
      <c r="T45" s="14" t="s">
        <v>40</v>
      </c>
      <c r="U45" s="8"/>
      <c r="V45" s="8"/>
      <c r="W45" s="8"/>
      <c r="X45" s="8"/>
      <c r="Y45" s="8"/>
      <c r="Z45" s="8"/>
    </row>
    <row r="46" spans="1:26" ht="13.5" customHeight="1">
      <c r="A46" s="12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14"/>
      <c r="P46" s="14"/>
      <c r="Q46" s="14"/>
      <c r="R46" s="14"/>
      <c r="S46" s="14"/>
      <c r="T46" s="14"/>
      <c r="U46" s="8"/>
      <c r="V46" s="8"/>
      <c r="W46" s="8"/>
      <c r="X46" s="8"/>
      <c r="Y46" s="8"/>
      <c r="Z46" s="8"/>
    </row>
    <row r="47" spans="1:26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baseColWidth="10" defaultRowHeight="13.8"/>
  <cols>
    <col min="1" max="16384" width="11.19921875" style="114"/>
  </cols>
  <sheetData>
    <row r="1" spans="1:4" ht="14.4">
      <c r="A1" s="115" t="s">
        <v>0</v>
      </c>
      <c r="B1" s="115" t="s">
        <v>1</v>
      </c>
      <c r="C1" s="115" t="s">
        <v>2</v>
      </c>
      <c r="D1" s="115" t="s">
        <v>3</v>
      </c>
    </row>
    <row r="2" spans="1:4" ht="14.4">
      <c r="A2" s="130">
        <v>45728</v>
      </c>
      <c r="B2" s="114">
        <v>116603461</v>
      </c>
      <c r="C2" s="114">
        <v>99761476.5</v>
      </c>
      <c r="D2" s="114">
        <v>46856322</v>
      </c>
    </row>
    <row r="3" spans="1:4" ht="14.4">
      <c r="A3" s="130">
        <v>45730</v>
      </c>
      <c r="B3" s="114">
        <v>117260823</v>
      </c>
      <c r="C3" s="114">
        <v>97285896.5</v>
      </c>
      <c r="D3" s="114">
        <v>41477302</v>
      </c>
    </row>
    <row r="4" spans="1:4" ht="14.4">
      <c r="A4" s="130">
        <v>45748</v>
      </c>
      <c r="B4" s="114">
        <v>96357949.5</v>
      </c>
      <c r="C4" s="114">
        <v>68949078</v>
      </c>
      <c r="D4" s="114">
        <v>0</v>
      </c>
    </row>
    <row r="5" spans="1:4" ht="14.4">
      <c r="A5" s="130">
        <v>45751</v>
      </c>
      <c r="B5" s="114">
        <v>91696696.5</v>
      </c>
      <c r="C5" s="114">
        <v>66411688</v>
      </c>
      <c r="D5" s="114">
        <v>0</v>
      </c>
    </row>
    <row r="6" spans="1:4" ht="14.4">
      <c r="A6" s="130">
        <v>45762</v>
      </c>
      <c r="B6" s="114">
        <v>99038056.5</v>
      </c>
      <c r="C6" s="114">
        <v>23915662</v>
      </c>
      <c r="D6" s="114">
        <v>0</v>
      </c>
    </row>
    <row r="7" spans="1:4" ht="14.4">
      <c r="A7" s="130">
        <v>45763</v>
      </c>
      <c r="B7" s="114">
        <v>98491056.5</v>
      </c>
      <c r="C7" s="114">
        <v>19502232</v>
      </c>
      <c r="D7" s="114">
        <v>0</v>
      </c>
    </row>
    <row r="8" spans="1:4" ht="14.4">
      <c r="A8" s="130">
        <v>45772</v>
      </c>
      <c r="B8" s="114">
        <v>85603397</v>
      </c>
      <c r="C8" s="114">
        <v>0</v>
      </c>
      <c r="D8" s="114">
        <v>0</v>
      </c>
    </row>
    <row r="9" spans="1:4" ht="14.4">
      <c r="A9" s="130">
        <v>45776</v>
      </c>
      <c r="B9" s="114">
        <v>68949078</v>
      </c>
      <c r="C9" s="114">
        <v>0</v>
      </c>
      <c r="D9" s="114">
        <v>0</v>
      </c>
    </row>
    <row r="10" spans="1:4" ht="14.4">
      <c r="A10" s="130">
        <v>45786</v>
      </c>
      <c r="B10" s="114">
        <v>41477302</v>
      </c>
      <c r="C10" s="114">
        <v>0</v>
      </c>
      <c r="D10" s="114">
        <v>0</v>
      </c>
    </row>
    <row r="11" spans="1:4" ht="14.4">
      <c r="A11" s="130">
        <v>45790</v>
      </c>
      <c r="B11" s="114">
        <v>23915662</v>
      </c>
      <c r="C11" s="114">
        <v>0</v>
      </c>
      <c r="D11" s="11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showGridLines="0" tabSelected="1" zoomScaleNormal="100" workbookViewId="0">
      <selection activeCell="A39" sqref="A39"/>
    </sheetView>
  </sheetViews>
  <sheetFormatPr baseColWidth="10" defaultRowHeight="13.8"/>
  <cols>
    <col min="1" max="1" width="31.296875" style="114" customWidth="1"/>
    <col min="2" max="16384" width="11.19921875" style="114"/>
  </cols>
  <sheetData>
    <row r="1" spans="1:13" ht="15.6">
      <c r="A1" s="113" t="s">
        <v>206</v>
      </c>
    </row>
    <row r="3" spans="1:13" s="132" customFormat="1" ht="27.6" customHeight="1">
      <c r="A3" s="131" t="s">
        <v>67</v>
      </c>
      <c r="B3" s="131" t="s">
        <v>68</v>
      </c>
      <c r="C3" s="131" t="s">
        <v>69</v>
      </c>
      <c r="D3" s="131" t="s">
        <v>70</v>
      </c>
      <c r="E3" s="131" t="s">
        <v>71</v>
      </c>
      <c r="F3" s="131" t="s">
        <v>72</v>
      </c>
      <c r="G3" s="131" t="s">
        <v>73</v>
      </c>
      <c r="H3" s="131" t="s">
        <v>74</v>
      </c>
      <c r="I3" s="131" t="s">
        <v>75</v>
      </c>
      <c r="J3" s="131" t="s">
        <v>76</v>
      </c>
      <c r="K3" s="131" t="s">
        <v>77</v>
      </c>
      <c r="L3" s="131" t="s">
        <v>78</v>
      </c>
      <c r="M3" s="131" t="s">
        <v>79</v>
      </c>
    </row>
    <row r="4" spans="1:13" ht="14.4">
      <c r="A4" s="116" t="s">
        <v>42</v>
      </c>
      <c r="B4" s="116" t="s">
        <v>80</v>
      </c>
      <c r="C4" s="117">
        <v>45728</v>
      </c>
      <c r="D4" s="116">
        <v>1</v>
      </c>
      <c r="E4" s="116">
        <v>0</v>
      </c>
      <c r="F4" s="116">
        <v>1</v>
      </c>
      <c r="G4" s="116">
        <v>0</v>
      </c>
      <c r="H4" s="116">
        <v>2</v>
      </c>
      <c r="I4" s="118">
        <v>3.7000000000000002E-3</v>
      </c>
      <c r="J4" s="116">
        <v>3</v>
      </c>
      <c r="K4" s="118">
        <v>6.4999999999999997E-3</v>
      </c>
      <c r="L4" s="116"/>
      <c r="M4" s="118"/>
    </row>
    <row r="5" spans="1:13" ht="14.4">
      <c r="A5" s="116" t="s">
        <v>39</v>
      </c>
      <c r="B5" s="116" t="s">
        <v>81</v>
      </c>
      <c r="C5" s="117">
        <v>45728</v>
      </c>
      <c r="D5" s="116">
        <v>5</v>
      </c>
      <c r="E5" s="116">
        <v>8</v>
      </c>
      <c r="F5" s="116">
        <v>2</v>
      </c>
      <c r="G5" s="116">
        <v>1</v>
      </c>
      <c r="H5" s="116">
        <v>16</v>
      </c>
      <c r="I5" s="118">
        <v>8.8999999999999999E-3</v>
      </c>
      <c r="J5" s="116">
        <v>11</v>
      </c>
      <c r="K5" s="118">
        <v>7.1999999999999998E-3</v>
      </c>
      <c r="L5" s="116"/>
      <c r="M5" s="118"/>
    </row>
    <row r="6" spans="1:13" ht="14.4">
      <c r="A6" s="116" t="s">
        <v>43</v>
      </c>
      <c r="B6" s="116" t="s">
        <v>81</v>
      </c>
      <c r="C6" s="117">
        <v>45730</v>
      </c>
      <c r="D6" s="116">
        <v>4</v>
      </c>
      <c r="E6" s="116">
        <v>2</v>
      </c>
      <c r="F6" s="116">
        <v>3</v>
      </c>
      <c r="G6" s="116">
        <v>1</v>
      </c>
      <c r="H6" s="116">
        <v>10</v>
      </c>
      <c r="I6" s="118">
        <v>7.1999999999999998E-3</v>
      </c>
      <c r="J6" s="116">
        <v>9</v>
      </c>
      <c r="K6" s="118">
        <v>7.9000000000000008E-3</v>
      </c>
      <c r="L6" s="116"/>
      <c r="M6" s="118"/>
    </row>
    <row r="7" spans="1:13" ht="14.4">
      <c r="A7" s="116" t="s">
        <v>44</v>
      </c>
      <c r="B7" s="116" t="s">
        <v>81</v>
      </c>
      <c r="C7" s="117">
        <v>45748</v>
      </c>
      <c r="D7" s="116">
        <v>0</v>
      </c>
      <c r="E7" s="116">
        <v>3</v>
      </c>
      <c r="F7" s="116">
        <v>1</v>
      </c>
      <c r="G7" s="116">
        <v>0</v>
      </c>
      <c r="H7" s="116">
        <v>4</v>
      </c>
      <c r="I7" s="118">
        <v>5.4000000000000003E-3</v>
      </c>
      <c r="J7" s="116"/>
      <c r="K7" s="118"/>
      <c r="L7" s="116"/>
      <c r="M7" s="118"/>
    </row>
    <row r="8" spans="1:13" ht="14.4">
      <c r="A8" s="116" t="s">
        <v>47</v>
      </c>
      <c r="B8" s="116" t="s">
        <v>81</v>
      </c>
      <c r="C8" s="117">
        <v>45751</v>
      </c>
      <c r="D8" s="116">
        <v>0</v>
      </c>
      <c r="E8" s="116">
        <v>0</v>
      </c>
      <c r="F8" s="116">
        <v>0</v>
      </c>
      <c r="G8" s="116">
        <v>0</v>
      </c>
      <c r="H8" s="116">
        <v>0</v>
      </c>
      <c r="I8" s="118">
        <v>0</v>
      </c>
      <c r="J8" s="116"/>
      <c r="K8" s="118"/>
      <c r="L8" s="116"/>
      <c r="M8" s="118"/>
    </row>
    <row r="9" spans="1:13" ht="14.4">
      <c r="A9" s="116" t="s">
        <v>45</v>
      </c>
      <c r="B9" s="116" t="s">
        <v>81</v>
      </c>
      <c r="C9" s="117">
        <v>45751</v>
      </c>
      <c r="D9" s="116">
        <v>0</v>
      </c>
      <c r="E9" s="116">
        <v>0</v>
      </c>
      <c r="F9" s="116">
        <v>0</v>
      </c>
      <c r="G9" s="116">
        <v>0</v>
      </c>
      <c r="H9" s="116">
        <v>0</v>
      </c>
      <c r="I9" s="118">
        <v>0</v>
      </c>
      <c r="J9" s="116"/>
      <c r="K9" s="118"/>
      <c r="L9" s="116"/>
      <c r="M9" s="118"/>
    </row>
    <row r="10" spans="1:13" ht="14.4">
      <c r="A10" s="116" t="s">
        <v>46</v>
      </c>
      <c r="B10" s="116" t="s">
        <v>81</v>
      </c>
      <c r="C10" s="117">
        <v>45751</v>
      </c>
      <c r="D10" s="116">
        <v>0</v>
      </c>
      <c r="E10" s="116">
        <v>1</v>
      </c>
      <c r="F10" s="116">
        <v>0</v>
      </c>
      <c r="G10" s="116">
        <v>1</v>
      </c>
      <c r="H10" s="116">
        <v>2</v>
      </c>
      <c r="I10" s="118">
        <v>5.0000000000000001E-4</v>
      </c>
      <c r="J10" s="116"/>
      <c r="K10" s="118"/>
      <c r="L10" s="116"/>
      <c r="M10" s="118"/>
    </row>
    <row r="11" spans="1:13" ht="14.4">
      <c r="A11" s="116" t="s">
        <v>50</v>
      </c>
      <c r="B11" s="116" t="s">
        <v>81</v>
      </c>
      <c r="C11" s="117">
        <v>45751</v>
      </c>
      <c r="D11" s="116">
        <v>2</v>
      </c>
      <c r="E11" s="116">
        <v>1</v>
      </c>
      <c r="F11" s="116">
        <v>3</v>
      </c>
      <c r="G11" s="116">
        <v>1</v>
      </c>
      <c r="H11" s="116">
        <v>7</v>
      </c>
      <c r="I11" s="118">
        <v>1E-3</v>
      </c>
      <c r="J11" s="116"/>
      <c r="K11" s="118"/>
      <c r="L11" s="116"/>
      <c r="M11" s="118"/>
    </row>
    <row r="12" spans="1:13" ht="14.4">
      <c r="A12" s="116" t="s">
        <v>49</v>
      </c>
      <c r="B12" s="116" t="s">
        <v>81</v>
      </c>
      <c r="C12" s="117">
        <v>45751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8">
        <v>0</v>
      </c>
      <c r="J12" s="116"/>
      <c r="K12" s="118"/>
      <c r="L12" s="116"/>
      <c r="M12" s="118"/>
    </row>
    <row r="13" spans="1:13" ht="14.4">
      <c r="A13" s="116" t="s">
        <v>48</v>
      </c>
      <c r="B13" s="116" t="s">
        <v>81</v>
      </c>
      <c r="C13" s="117">
        <v>45751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8">
        <v>0</v>
      </c>
      <c r="J13" s="116"/>
      <c r="K13" s="118"/>
      <c r="L13" s="116"/>
      <c r="M13" s="118"/>
    </row>
    <row r="14" spans="1:13" ht="14.4">
      <c r="A14" s="116" t="s">
        <v>51</v>
      </c>
      <c r="B14" s="116" t="s">
        <v>81</v>
      </c>
      <c r="C14" s="117">
        <v>45762</v>
      </c>
      <c r="D14" s="116">
        <v>2</v>
      </c>
      <c r="E14" s="116">
        <v>5</v>
      </c>
      <c r="F14" s="116">
        <v>1</v>
      </c>
      <c r="G14" s="116">
        <v>2</v>
      </c>
      <c r="H14" s="116">
        <v>10</v>
      </c>
      <c r="I14" s="118">
        <v>1.6000000000000001E-3</v>
      </c>
      <c r="J14" s="116"/>
      <c r="K14" s="118"/>
      <c r="L14" s="116"/>
      <c r="M14" s="118"/>
    </row>
    <row r="15" spans="1:13" ht="14.4">
      <c r="A15" s="116" t="s">
        <v>52</v>
      </c>
      <c r="B15" s="116" t="s">
        <v>81</v>
      </c>
      <c r="C15" s="117">
        <v>45762</v>
      </c>
      <c r="D15" s="116">
        <v>1</v>
      </c>
      <c r="E15" s="116">
        <v>0</v>
      </c>
      <c r="F15" s="116">
        <v>1</v>
      </c>
      <c r="G15" s="116">
        <v>1</v>
      </c>
      <c r="H15" s="116">
        <v>3</v>
      </c>
      <c r="I15" s="118">
        <v>2.9999999999999997E-4</v>
      </c>
      <c r="J15" s="116"/>
      <c r="K15" s="118"/>
      <c r="L15" s="116"/>
      <c r="M15" s="118"/>
    </row>
    <row r="16" spans="1:13" ht="14.4">
      <c r="A16" s="116" t="s">
        <v>53</v>
      </c>
      <c r="B16" s="116" t="s">
        <v>81</v>
      </c>
      <c r="C16" s="117">
        <v>45763</v>
      </c>
      <c r="D16" s="116">
        <v>1</v>
      </c>
      <c r="E16" s="116">
        <v>0</v>
      </c>
      <c r="F16" s="116">
        <v>1</v>
      </c>
      <c r="G16" s="116">
        <v>1</v>
      </c>
      <c r="H16" s="116">
        <v>3</v>
      </c>
      <c r="I16" s="118">
        <v>5.1000000000000004E-3</v>
      </c>
      <c r="J16" s="116"/>
      <c r="K16" s="118"/>
      <c r="L16" s="116"/>
      <c r="M16" s="118"/>
    </row>
    <row r="17" spans="1:13" ht="14.4">
      <c r="A17" s="116" t="s">
        <v>54</v>
      </c>
      <c r="B17" s="116" t="s">
        <v>82</v>
      </c>
      <c r="C17" s="117">
        <v>45772</v>
      </c>
      <c r="D17" s="116">
        <v>3</v>
      </c>
      <c r="E17" s="116">
        <v>4</v>
      </c>
      <c r="F17" s="116">
        <v>0</v>
      </c>
      <c r="G17" s="116"/>
      <c r="H17" s="116"/>
      <c r="I17" s="118"/>
      <c r="J17" s="116"/>
      <c r="K17" s="118"/>
      <c r="L17" s="116"/>
      <c r="M17" s="118"/>
    </row>
    <row r="18" spans="1:13" ht="14.4">
      <c r="A18" s="116" t="s">
        <v>56</v>
      </c>
      <c r="B18" s="116" t="s">
        <v>83</v>
      </c>
      <c r="C18" s="117">
        <v>45776</v>
      </c>
      <c r="D18" s="116">
        <v>2</v>
      </c>
      <c r="E18" s="116">
        <v>2</v>
      </c>
      <c r="F18" s="116">
        <v>1</v>
      </c>
      <c r="G18" s="116"/>
      <c r="H18" s="116"/>
      <c r="I18" s="118"/>
      <c r="J18" s="116"/>
      <c r="K18" s="118"/>
      <c r="L18" s="116"/>
      <c r="M18" s="118"/>
    </row>
    <row r="19" spans="1:13" ht="14.4">
      <c r="A19" s="116" t="s">
        <v>57</v>
      </c>
      <c r="B19" s="116" t="s">
        <v>83</v>
      </c>
      <c r="C19" s="117">
        <v>45776</v>
      </c>
      <c r="D19" s="116">
        <v>0</v>
      </c>
      <c r="E19" s="116">
        <v>1</v>
      </c>
      <c r="F19" s="116">
        <v>1</v>
      </c>
      <c r="G19" s="116"/>
      <c r="H19" s="116"/>
      <c r="I19" s="118"/>
      <c r="J19" s="116"/>
      <c r="K19" s="118"/>
      <c r="L19" s="116"/>
      <c r="M19" s="118"/>
    </row>
    <row r="20" spans="1:13" ht="14.4">
      <c r="A20" s="116" t="s">
        <v>58</v>
      </c>
      <c r="B20" s="116" t="s">
        <v>83</v>
      </c>
      <c r="C20" s="117">
        <v>45776</v>
      </c>
      <c r="D20" s="116">
        <v>1</v>
      </c>
      <c r="E20" s="116">
        <v>0</v>
      </c>
      <c r="F20" s="116">
        <v>0</v>
      </c>
      <c r="G20" s="116"/>
      <c r="H20" s="116"/>
      <c r="I20" s="118"/>
      <c r="J20" s="116"/>
      <c r="K20" s="118"/>
      <c r="L20" s="116"/>
      <c r="M20" s="118"/>
    </row>
    <row r="21" spans="1:13" ht="14.4">
      <c r="A21" s="116" t="s">
        <v>59</v>
      </c>
      <c r="B21" s="116" t="s">
        <v>83</v>
      </c>
      <c r="C21" s="117">
        <v>45776</v>
      </c>
      <c r="D21" s="116">
        <v>1</v>
      </c>
      <c r="E21" s="116">
        <v>3</v>
      </c>
      <c r="F21" s="116">
        <v>1</v>
      </c>
      <c r="G21" s="116"/>
      <c r="H21" s="116"/>
      <c r="I21" s="118"/>
      <c r="J21" s="116"/>
      <c r="K21" s="118"/>
      <c r="L21" s="116"/>
      <c r="M21" s="118"/>
    </row>
    <row r="22" spans="1:13" ht="14.4">
      <c r="A22" s="116" t="s">
        <v>60</v>
      </c>
      <c r="B22" s="116" t="s">
        <v>83</v>
      </c>
      <c r="C22" s="117">
        <v>45776</v>
      </c>
      <c r="D22" s="116">
        <v>1</v>
      </c>
      <c r="E22" s="116">
        <v>5</v>
      </c>
      <c r="F22" s="116">
        <v>2</v>
      </c>
      <c r="G22" s="116"/>
      <c r="H22" s="116"/>
      <c r="I22" s="118"/>
      <c r="J22" s="116"/>
      <c r="K22" s="118"/>
      <c r="L22" s="116"/>
      <c r="M22" s="118"/>
    </row>
    <row r="23" spans="1:13" ht="14.4">
      <c r="A23" s="116" t="s">
        <v>55</v>
      </c>
      <c r="B23" s="116" t="s">
        <v>81</v>
      </c>
      <c r="C23" s="117">
        <v>45776</v>
      </c>
      <c r="D23" s="116">
        <v>10</v>
      </c>
      <c r="E23" s="116">
        <v>6</v>
      </c>
      <c r="F23" s="116">
        <v>3</v>
      </c>
      <c r="G23" s="116"/>
      <c r="H23" s="116"/>
      <c r="I23" s="118"/>
      <c r="J23" s="116"/>
      <c r="K23" s="118"/>
      <c r="L23" s="116"/>
      <c r="M23" s="118"/>
    </row>
    <row r="24" spans="1:13" ht="14.4">
      <c r="A24" s="116" t="s">
        <v>61</v>
      </c>
      <c r="B24" s="116" t="s">
        <v>81</v>
      </c>
      <c r="C24" s="117">
        <v>45786</v>
      </c>
      <c r="D24" s="116">
        <v>0</v>
      </c>
      <c r="E24" s="116"/>
      <c r="F24" s="116"/>
      <c r="G24" s="116"/>
      <c r="H24" s="116"/>
      <c r="I24" s="118"/>
      <c r="J24" s="116"/>
      <c r="K24" s="118"/>
      <c r="L24" s="116"/>
      <c r="M24" s="118"/>
    </row>
    <row r="25" spans="1:13" ht="14.4">
      <c r="A25" s="116" t="s">
        <v>62</v>
      </c>
      <c r="B25" s="116" t="s">
        <v>81</v>
      </c>
      <c r="C25" s="117">
        <v>45786</v>
      </c>
      <c r="D25" s="116">
        <v>0</v>
      </c>
      <c r="E25" s="116"/>
      <c r="F25" s="116"/>
      <c r="G25" s="116"/>
      <c r="H25" s="116"/>
      <c r="I25" s="118"/>
      <c r="J25" s="116"/>
      <c r="K25" s="118"/>
      <c r="L25" s="116"/>
      <c r="M25" s="118"/>
    </row>
    <row r="26" spans="1:13" ht="14.4">
      <c r="A26" s="116" t="s">
        <v>64</v>
      </c>
      <c r="B26" s="116" t="s">
        <v>81</v>
      </c>
      <c r="C26" s="117">
        <v>45790</v>
      </c>
      <c r="D26" s="116">
        <v>0</v>
      </c>
      <c r="E26" s="116"/>
      <c r="F26" s="116"/>
      <c r="G26" s="116"/>
      <c r="H26" s="116"/>
      <c r="I26" s="118"/>
      <c r="J26" s="116"/>
      <c r="K26" s="118"/>
      <c r="L26" s="116"/>
      <c r="M26" s="118"/>
    </row>
    <row r="27" spans="1:13" ht="14.4">
      <c r="A27" s="116" t="s">
        <v>63</v>
      </c>
      <c r="B27" s="116" t="s">
        <v>81</v>
      </c>
      <c r="C27" s="117">
        <v>45790</v>
      </c>
      <c r="D27" s="116">
        <v>6</v>
      </c>
      <c r="E27" s="116"/>
      <c r="F27" s="116"/>
      <c r="G27" s="116"/>
      <c r="H27" s="116"/>
      <c r="I27" s="118"/>
      <c r="J27" s="116"/>
      <c r="K27" s="118"/>
      <c r="L27" s="116"/>
      <c r="M27" s="118"/>
    </row>
    <row r="30" spans="1:13" ht="15.6">
      <c r="A30" s="113" t="s">
        <v>84</v>
      </c>
      <c r="H30" s="113" t="s">
        <v>85</v>
      </c>
    </row>
    <row r="31" spans="1:13" ht="14.4">
      <c r="A31" s="115" t="s">
        <v>86</v>
      </c>
      <c r="B31" s="115" t="s">
        <v>4</v>
      </c>
      <c r="C31" s="115" t="s">
        <v>5</v>
      </c>
      <c r="D31" s="115" t="s">
        <v>6</v>
      </c>
      <c r="E31" s="115" t="s">
        <v>7</v>
      </c>
      <c r="H31" s="115" t="s">
        <v>87</v>
      </c>
      <c r="I31" s="115" t="s">
        <v>88</v>
      </c>
      <c r="J31" s="115" t="s">
        <v>89</v>
      </c>
    </row>
    <row r="32" spans="1:13" ht="14.4">
      <c r="A32" s="119" t="s">
        <v>90</v>
      </c>
      <c r="B32" s="119">
        <v>1</v>
      </c>
      <c r="C32" s="119">
        <v>0</v>
      </c>
      <c r="D32" s="119">
        <v>1</v>
      </c>
      <c r="E32" s="119">
        <v>1</v>
      </c>
      <c r="H32" s="119" t="s">
        <v>91</v>
      </c>
      <c r="I32" s="119">
        <v>3</v>
      </c>
      <c r="J32" s="119" t="s">
        <v>92</v>
      </c>
    </row>
    <row r="33" spans="1:10" ht="14.4">
      <c r="A33" s="116" t="s">
        <v>16</v>
      </c>
      <c r="B33" s="116">
        <v>1</v>
      </c>
      <c r="C33" s="116">
        <v>0</v>
      </c>
      <c r="D33" s="116">
        <v>0</v>
      </c>
      <c r="E33" s="116">
        <v>1</v>
      </c>
      <c r="H33" s="120" t="s">
        <v>97</v>
      </c>
      <c r="I33" s="116">
        <v>1</v>
      </c>
      <c r="J33" s="116" t="s">
        <v>108</v>
      </c>
    </row>
    <row r="34" spans="1:10" ht="14.4">
      <c r="A34" s="116" t="s">
        <v>19</v>
      </c>
      <c r="B34" s="116">
        <v>0</v>
      </c>
      <c r="C34" s="116">
        <v>0</v>
      </c>
      <c r="D34" s="116">
        <v>1</v>
      </c>
      <c r="E34" s="116">
        <v>0</v>
      </c>
      <c r="H34" s="121" t="s">
        <v>93</v>
      </c>
      <c r="I34" s="116">
        <v>1</v>
      </c>
      <c r="J34" s="116" t="s">
        <v>108</v>
      </c>
    </row>
    <row r="35" spans="1:10" ht="14.4">
      <c r="A35" s="116" t="s">
        <v>15</v>
      </c>
      <c r="B35" s="116">
        <v>0</v>
      </c>
      <c r="C35" s="116">
        <v>0</v>
      </c>
      <c r="D35" s="116">
        <v>0</v>
      </c>
      <c r="E35" s="116">
        <v>0</v>
      </c>
      <c r="H35" s="122" t="s">
        <v>95</v>
      </c>
      <c r="I35" s="116">
        <v>1</v>
      </c>
      <c r="J35" s="116" t="s">
        <v>108</v>
      </c>
    </row>
    <row r="36" spans="1:10" ht="14.4">
      <c r="A36" s="116" t="s">
        <v>17</v>
      </c>
      <c r="B36" s="116">
        <v>0</v>
      </c>
      <c r="C36" s="116">
        <v>0</v>
      </c>
      <c r="D36" s="116">
        <v>0</v>
      </c>
      <c r="E36" s="116">
        <v>0</v>
      </c>
    </row>
    <row r="37" spans="1:10" ht="14.4">
      <c r="A37" s="116" t="s">
        <v>18</v>
      </c>
      <c r="B37" s="116">
        <v>0</v>
      </c>
      <c r="C37" s="116">
        <v>0</v>
      </c>
      <c r="D37" s="116">
        <v>0</v>
      </c>
      <c r="E37" s="116">
        <v>0</v>
      </c>
    </row>
    <row r="38" spans="1:10" ht="14.4">
      <c r="A38" s="116" t="s">
        <v>20</v>
      </c>
      <c r="B38" s="116">
        <v>0</v>
      </c>
      <c r="C38" s="116">
        <v>0</v>
      </c>
      <c r="D38" s="116">
        <v>0</v>
      </c>
      <c r="E38" s="116">
        <v>0</v>
      </c>
    </row>
    <row r="41" spans="1:10" ht="15.6">
      <c r="A41" s="113" t="s">
        <v>207</v>
      </c>
      <c r="H41" s="113" t="s">
        <v>85</v>
      </c>
    </row>
    <row r="42" spans="1:10" ht="14.4">
      <c r="A42" s="115" t="s">
        <v>86</v>
      </c>
      <c r="B42" s="115" t="s">
        <v>4</v>
      </c>
      <c r="C42" s="115" t="s">
        <v>5</v>
      </c>
      <c r="D42" s="115" t="s">
        <v>6</v>
      </c>
      <c r="E42" s="115" t="s">
        <v>7</v>
      </c>
      <c r="H42" s="115" t="s">
        <v>87</v>
      </c>
      <c r="I42" s="115" t="s">
        <v>88</v>
      </c>
      <c r="J42" s="115" t="s">
        <v>89</v>
      </c>
    </row>
    <row r="43" spans="1:10" ht="14.4">
      <c r="A43" s="119" t="s">
        <v>90</v>
      </c>
      <c r="B43" s="119">
        <v>6</v>
      </c>
      <c r="C43" s="119"/>
      <c r="D43" s="119"/>
      <c r="E43" s="119"/>
      <c r="H43" s="119" t="s">
        <v>91</v>
      </c>
      <c r="I43" s="119">
        <v>6</v>
      </c>
      <c r="J43" s="119" t="s">
        <v>92</v>
      </c>
    </row>
    <row r="44" spans="1:10" ht="14.4">
      <c r="A44" s="116" t="s">
        <v>16</v>
      </c>
      <c r="B44" s="116">
        <v>2</v>
      </c>
      <c r="C44" s="116"/>
      <c r="D44" s="116"/>
      <c r="E44" s="116"/>
      <c r="H44" s="120" t="s">
        <v>97</v>
      </c>
      <c r="I44" s="116">
        <v>1</v>
      </c>
      <c r="J44" s="116" t="s">
        <v>110</v>
      </c>
    </row>
    <row r="45" spans="1:10" ht="14.4">
      <c r="A45" s="116" t="s">
        <v>18</v>
      </c>
      <c r="B45" s="116">
        <v>1</v>
      </c>
      <c r="C45" s="116"/>
      <c r="D45" s="116"/>
      <c r="E45" s="116"/>
      <c r="H45" s="123" t="s">
        <v>105</v>
      </c>
      <c r="I45" s="116">
        <v>1</v>
      </c>
      <c r="J45" s="116" t="s">
        <v>110</v>
      </c>
    </row>
    <row r="46" spans="1:10" ht="14.4">
      <c r="A46" s="116" t="s">
        <v>20</v>
      </c>
      <c r="B46" s="116">
        <v>3</v>
      </c>
      <c r="C46" s="116"/>
      <c r="D46" s="116"/>
      <c r="E46" s="116"/>
      <c r="H46" s="124" t="s">
        <v>109</v>
      </c>
      <c r="I46" s="116">
        <v>1</v>
      </c>
      <c r="J46" s="116" t="s">
        <v>110</v>
      </c>
    </row>
    <row r="47" spans="1:10" ht="14.4">
      <c r="A47" s="116" t="s">
        <v>15</v>
      </c>
      <c r="B47" s="116">
        <v>0</v>
      </c>
      <c r="C47" s="116"/>
      <c r="D47" s="116"/>
      <c r="E47" s="116"/>
      <c r="H47" s="125" t="s">
        <v>208</v>
      </c>
      <c r="I47" s="116">
        <v>2</v>
      </c>
      <c r="J47" s="116" t="s">
        <v>108</v>
      </c>
    </row>
    <row r="48" spans="1:10" ht="14.4">
      <c r="H48" s="126" t="s">
        <v>209</v>
      </c>
      <c r="I48" s="116">
        <v>1</v>
      </c>
      <c r="J48" s="116" t="s">
        <v>110</v>
      </c>
    </row>
    <row r="51" spans="1:10" ht="15.6">
      <c r="A51" s="113" t="s">
        <v>96</v>
      </c>
      <c r="H51" s="113" t="s">
        <v>85</v>
      </c>
    </row>
    <row r="52" spans="1:10" ht="14.4">
      <c r="A52" s="115" t="s">
        <v>86</v>
      </c>
      <c r="B52" s="115" t="s">
        <v>4</v>
      </c>
      <c r="C52" s="115" t="s">
        <v>5</v>
      </c>
      <c r="D52" s="115" t="s">
        <v>6</v>
      </c>
      <c r="E52" s="115" t="s">
        <v>7</v>
      </c>
      <c r="H52" s="115" t="s">
        <v>87</v>
      </c>
      <c r="I52" s="115" t="s">
        <v>88</v>
      </c>
      <c r="J52" s="115" t="s">
        <v>89</v>
      </c>
    </row>
    <row r="53" spans="1:10" ht="14.4">
      <c r="A53" s="119" t="s">
        <v>90</v>
      </c>
      <c r="B53" s="119">
        <v>3</v>
      </c>
      <c r="C53" s="119">
        <v>4</v>
      </c>
      <c r="D53" s="119">
        <v>0</v>
      </c>
      <c r="E53" s="119"/>
      <c r="H53" s="119" t="s">
        <v>91</v>
      </c>
      <c r="I53" s="119">
        <v>7</v>
      </c>
      <c r="J53" s="119" t="s">
        <v>92</v>
      </c>
    </row>
    <row r="54" spans="1:10" ht="14.4">
      <c r="A54" s="116" t="s">
        <v>18</v>
      </c>
      <c r="B54" s="116">
        <v>3</v>
      </c>
      <c r="C54" s="116">
        <v>1</v>
      </c>
      <c r="D54" s="116">
        <v>0</v>
      </c>
      <c r="E54" s="116"/>
      <c r="H54" s="120" t="s">
        <v>97</v>
      </c>
      <c r="I54" s="116">
        <v>7</v>
      </c>
      <c r="J54" s="116" t="s">
        <v>92</v>
      </c>
    </row>
    <row r="55" spans="1:10" ht="14.4">
      <c r="A55" s="116" t="s">
        <v>20</v>
      </c>
      <c r="B55" s="116">
        <v>0</v>
      </c>
      <c r="C55" s="116">
        <v>3</v>
      </c>
      <c r="D55" s="116">
        <v>0</v>
      </c>
      <c r="E55" s="116"/>
    </row>
    <row r="56" spans="1:10" ht="14.4">
      <c r="A56" s="116" t="s">
        <v>15</v>
      </c>
      <c r="B56" s="116">
        <v>0</v>
      </c>
      <c r="C56" s="116">
        <v>0</v>
      </c>
      <c r="D56" s="116">
        <v>0</v>
      </c>
      <c r="E56" s="116"/>
    </row>
    <row r="57" spans="1:10" ht="14.4">
      <c r="A57" s="116" t="s">
        <v>16</v>
      </c>
      <c r="B57" s="116">
        <v>0</v>
      </c>
      <c r="C57" s="116">
        <v>0</v>
      </c>
      <c r="D57" s="116">
        <v>0</v>
      </c>
      <c r="E57" s="116"/>
    </row>
    <row r="58" spans="1:10" ht="14.4">
      <c r="A58" s="116" t="s">
        <v>17</v>
      </c>
      <c r="B58" s="116">
        <v>0</v>
      </c>
      <c r="C58" s="116">
        <v>0</v>
      </c>
      <c r="D58" s="116">
        <v>0</v>
      </c>
      <c r="E58" s="116"/>
    </row>
    <row r="61" spans="1:10" ht="15.6">
      <c r="A61" s="113" t="s">
        <v>98</v>
      </c>
      <c r="H61" s="113" t="s">
        <v>85</v>
      </c>
    </row>
    <row r="62" spans="1:10" ht="14.4">
      <c r="A62" s="115" t="s">
        <v>86</v>
      </c>
      <c r="B62" s="115" t="s">
        <v>4</v>
      </c>
      <c r="C62" s="115" t="s">
        <v>5</v>
      </c>
      <c r="D62" s="115" t="s">
        <v>6</v>
      </c>
      <c r="E62" s="115" t="s">
        <v>7</v>
      </c>
      <c r="H62" s="115" t="s">
        <v>87</v>
      </c>
      <c r="I62" s="115" t="s">
        <v>88</v>
      </c>
      <c r="J62" s="115" t="s">
        <v>89</v>
      </c>
    </row>
    <row r="63" spans="1:10" ht="14.4">
      <c r="A63" s="119" t="s">
        <v>90</v>
      </c>
      <c r="B63" s="119">
        <v>2</v>
      </c>
      <c r="C63" s="119">
        <v>2</v>
      </c>
      <c r="D63" s="119">
        <v>1</v>
      </c>
      <c r="E63" s="119"/>
      <c r="H63" s="119" t="s">
        <v>91</v>
      </c>
      <c r="I63" s="119">
        <v>5</v>
      </c>
      <c r="J63" s="119" t="s">
        <v>92</v>
      </c>
    </row>
    <row r="64" spans="1:10" ht="14.4">
      <c r="A64" s="116" t="s">
        <v>16</v>
      </c>
      <c r="B64" s="116">
        <v>1</v>
      </c>
      <c r="C64" s="116">
        <v>0</v>
      </c>
      <c r="D64" s="116">
        <v>1</v>
      </c>
      <c r="E64" s="116"/>
      <c r="H64" s="120" t="s">
        <v>97</v>
      </c>
      <c r="I64" s="116">
        <v>4</v>
      </c>
      <c r="J64" s="116" t="s">
        <v>210</v>
      </c>
    </row>
    <row r="65" spans="1:10" ht="14.4">
      <c r="A65" s="116" t="s">
        <v>18</v>
      </c>
      <c r="B65" s="116">
        <v>1</v>
      </c>
      <c r="C65" s="116">
        <v>2</v>
      </c>
      <c r="D65" s="116">
        <v>0</v>
      </c>
      <c r="E65" s="116"/>
      <c r="H65" s="124" t="s">
        <v>100</v>
      </c>
      <c r="I65" s="116">
        <v>1</v>
      </c>
      <c r="J65" s="116" t="s">
        <v>112</v>
      </c>
    </row>
    <row r="66" spans="1:10" ht="14.4">
      <c r="A66" s="116" t="s">
        <v>15</v>
      </c>
      <c r="B66" s="116">
        <v>0</v>
      </c>
      <c r="C66" s="116">
        <v>0</v>
      </c>
      <c r="D66" s="116">
        <v>0</v>
      </c>
      <c r="E66" s="116"/>
    </row>
    <row r="67" spans="1:10" ht="14.4">
      <c r="A67" s="116" t="s">
        <v>17</v>
      </c>
      <c r="B67" s="116">
        <v>0</v>
      </c>
      <c r="C67" s="116">
        <v>0</v>
      </c>
      <c r="D67" s="116">
        <v>0</v>
      </c>
      <c r="E67" s="116"/>
    </row>
    <row r="68" spans="1:10" ht="14.4">
      <c r="A68" s="116" t="s">
        <v>20</v>
      </c>
      <c r="B68" s="116">
        <v>0</v>
      </c>
      <c r="C68" s="116">
        <v>0</v>
      </c>
      <c r="D68" s="116">
        <v>0</v>
      </c>
      <c r="E68" s="116"/>
    </row>
    <row r="71" spans="1:10" ht="15.6">
      <c r="A71" s="113" t="s">
        <v>102</v>
      </c>
      <c r="H71" s="113" t="s">
        <v>85</v>
      </c>
    </row>
    <row r="72" spans="1:10" ht="14.4">
      <c r="A72" s="115" t="s">
        <v>86</v>
      </c>
      <c r="B72" s="115" t="s">
        <v>4</v>
      </c>
      <c r="C72" s="115" t="s">
        <v>5</v>
      </c>
      <c r="D72" s="115" t="s">
        <v>6</v>
      </c>
      <c r="E72" s="115" t="s">
        <v>7</v>
      </c>
      <c r="H72" s="115" t="s">
        <v>87</v>
      </c>
      <c r="I72" s="115" t="s">
        <v>88</v>
      </c>
      <c r="J72" s="115" t="s">
        <v>89</v>
      </c>
    </row>
    <row r="73" spans="1:10" ht="14.4">
      <c r="A73" s="119" t="s">
        <v>90</v>
      </c>
      <c r="B73" s="119">
        <v>0</v>
      </c>
      <c r="C73" s="119">
        <v>1</v>
      </c>
      <c r="D73" s="119">
        <v>1</v>
      </c>
      <c r="E73" s="119"/>
      <c r="H73" s="119" t="s">
        <v>91</v>
      </c>
      <c r="I73" s="119">
        <v>2</v>
      </c>
      <c r="J73" s="119" t="s">
        <v>92</v>
      </c>
    </row>
    <row r="74" spans="1:10" ht="14.4">
      <c r="A74" s="116" t="s">
        <v>16</v>
      </c>
      <c r="B74" s="116">
        <v>0</v>
      </c>
      <c r="C74" s="116">
        <v>1</v>
      </c>
      <c r="D74" s="116">
        <v>0</v>
      </c>
      <c r="E74" s="116"/>
      <c r="H74" s="120" t="s">
        <v>97</v>
      </c>
      <c r="I74" s="116">
        <v>2</v>
      </c>
      <c r="J74" s="116" t="s">
        <v>92</v>
      </c>
    </row>
    <row r="75" spans="1:10" ht="14.4">
      <c r="A75" s="116" t="s">
        <v>20</v>
      </c>
      <c r="B75" s="116">
        <v>0</v>
      </c>
      <c r="C75" s="116">
        <v>0</v>
      </c>
      <c r="D75" s="116">
        <v>1</v>
      </c>
      <c r="E75" s="116"/>
    </row>
    <row r="76" spans="1:10" ht="14.4">
      <c r="A76" s="116" t="s">
        <v>15</v>
      </c>
      <c r="B76" s="116">
        <v>0</v>
      </c>
      <c r="C76" s="116">
        <v>0</v>
      </c>
      <c r="D76" s="116">
        <v>0</v>
      </c>
      <c r="E76" s="116"/>
    </row>
    <row r="77" spans="1:10" ht="14.4">
      <c r="A77" s="116" t="s">
        <v>17</v>
      </c>
      <c r="B77" s="116">
        <v>0</v>
      </c>
      <c r="C77" s="116">
        <v>0</v>
      </c>
      <c r="D77" s="116">
        <v>0</v>
      </c>
      <c r="E77" s="116"/>
    </row>
    <row r="78" spans="1:10" ht="14.4">
      <c r="A78" s="116" t="s">
        <v>18</v>
      </c>
      <c r="B78" s="116">
        <v>0</v>
      </c>
      <c r="C78" s="116">
        <v>0</v>
      </c>
      <c r="D78" s="116">
        <v>0</v>
      </c>
      <c r="E78" s="116"/>
    </row>
    <row r="81" spans="1:10" ht="15.6">
      <c r="A81" s="113" t="s">
        <v>103</v>
      </c>
      <c r="H81" s="113" t="s">
        <v>85</v>
      </c>
    </row>
    <row r="82" spans="1:10" ht="14.4">
      <c r="A82" s="115" t="s">
        <v>86</v>
      </c>
      <c r="B82" s="115" t="s">
        <v>4</v>
      </c>
      <c r="C82" s="115" t="s">
        <v>5</v>
      </c>
      <c r="D82" s="115" t="s">
        <v>6</v>
      </c>
      <c r="E82" s="115" t="s">
        <v>7</v>
      </c>
      <c r="H82" s="115" t="s">
        <v>87</v>
      </c>
      <c r="I82" s="115" t="s">
        <v>88</v>
      </c>
      <c r="J82" s="115" t="s">
        <v>89</v>
      </c>
    </row>
    <row r="83" spans="1:10" ht="14.4">
      <c r="A83" s="119" t="s">
        <v>90</v>
      </c>
      <c r="B83" s="119">
        <v>1</v>
      </c>
      <c r="C83" s="119">
        <v>0</v>
      </c>
      <c r="D83" s="119">
        <v>0</v>
      </c>
      <c r="E83" s="119"/>
      <c r="H83" s="119" t="s">
        <v>91</v>
      </c>
      <c r="I83" s="119">
        <v>1</v>
      </c>
      <c r="J83" s="119" t="s">
        <v>92</v>
      </c>
    </row>
    <row r="84" spans="1:10" ht="14.4">
      <c r="A84" s="116" t="s">
        <v>16</v>
      </c>
      <c r="B84" s="116">
        <v>1</v>
      </c>
      <c r="C84" s="116">
        <v>0</v>
      </c>
      <c r="D84" s="116">
        <v>0</v>
      </c>
      <c r="E84" s="116"/>
      <c r="H84" s="120" t="s">
        <v>97</v>
      </c>
      <c r="I84" s="116">
        <v>1</v>
      </c>
      <c r="J84" s="116" t="s">
        <v>92</v>
      </c>
    </row>
    <row r="85" spans="1:10" ht="14.4">
      <c r="A85" s="116" t="s">
        <v>15</v>
      </c>
      <c r="B85" s="116">
        <v>0</v>
      </c>
      <c r="C85" s="116">
        <v>0</v>
      </c>
      <c r="D85" s="116">
        <v>0</v>
      </c>
      <c r="E85" s="116"/>
    </row>
    <row r="86" spans="1:10" ht="14.4">
      <c r="A86" s="116" t="s">
        <v>17</v>
      </c>
      <c r="B86" s="116">
        <v>0</v>
      </c>
      <c r="C86" s="116">
        <v>0</v>
      </c>
      <c r="D86" s="116">
        <v>0</v>
      </c>
      <c r="E86" s="116"/>
    </row>
    <row r="87" spans="1:10" ht="14.4">
      <c r="A87" s="116" t="s">
        <v>18</v>
      </c>
      <c r="B87" s="116">
        <v>0</v>
      </c>
      <c r="C87" s="116">
        <v>0</v>
      </c>
      <c r="D87" s="116">
        <v>0</v>
      </c>
      <c r="E87" s="116"/>
    </row>
    <row r="88" spans="1:10" ht="14.4">
      <c r="A88" s="116" t="s">
        <v>20</v>
      </c>
      <c r="B88" s="116">
        <v>0</v>
      </c>
      <c r="C88" s="116">
        <v>0</v>
      </c>
      <c r="D88" s="116">
        <v>0</v>
      </c>
      <c r="E88" s="116"/>
    </row>
    <row r="91" spans="1:10" ht="15.6">
      <c r="A91" s="113" t="s">
        <v>104</v>
      </c>
      <c r="H91" s="113" t="s">
        <v>85</v>
      </c>
    </row>
    <row r="92" spans="1:10" ht="14.4">
      <c r="A92" s="115" t="s">
        <v>86</v>
      </c>
      <c r="B92" s="115" t="s">
        <v>4</v>
      </c>
      <c r="C92" s="115" t="s">
        <v>5</v>
      </c>
      <c r="D92" s="115" t="s">
        <v>6</v>
      </c>
      <c r="E92" s="115" t="s">
        <v>7</v>
      </c>
      <c r="H92" s="115" t="s">
        <v>87</v>
      </c>
      <c r="I92" s="115" t="s">
        <v>88</v>
      </c>
      <c r="J92" s="115" t="s">
        <v>89</v>
      </c>
    </row>
    <row r="93" spans="1:10" ht="14.4">
      <c r="A93" s="119" t="s">
        <v>90</v>
      </c>
      <c r="B93" s="119">
        <v>1</v>
      </c>
      <c r="C93" s="119">
        <v>3</v>
      </c>
      <c r="D93" s="119">
        <v>1</v>
      </c>
      <c r="E93" s="119"/>
      <c r="H93" s="119" t="s">
        <v>91</v>
      </c>
      <c r="I93" s="119">
        <v>5</v>
      </c>
      <c r="J93" s="119" t="s">
        <v>92</v>
      </c>
    </row>
    <row r="94" spans="1:10" ht="14.4">
      <c r="A94" s="116" t="s">
        <v>16</v>
      </c>
      <c r="B94" s="116">
        <v>0</v>
      </c>
      <c r="C94" s="116">
        <v>2</v>
      </c>
      <c r="D94" s="116">
        <v>0</v>
      </c>
      <c r="E94" s="116"/>
      <c r="H94" s="120" t="s">
        <v>97</v>
      </c>
      <c r="I94" s="116">
        <v>3</v>
      </c>
      <c r="J94" s="116" t="s">
        <v>211</v>
      </c>
    </row>
    <row r="95" spans="1:10" ht="14.4">
      <c r="A95" s="116" t="s">
        <v>17</v>
      </c>
      <c r="B95" s="116">
        <v>0</v>
      </c>
      <c r="C95" s="116">
        <v>0</v>
      </c>
      <c r="D95" s="116">
        <v>1</v>
      </c>
      <c r="E95" s="116"/>
      <c r="H95" s="123" t="s">
        <v>105</v>
      </c>
      <c r="I95" s="116">
        <v>1</v>
      </c>
      <c r="J95" s="116" t="s">
        <v>112</v>
      </c>
    </row>
    <row r="96" spans="1:10" ht="14.4">
      <c r="A96" s="116" t="s">
        <v>18</v>
      </c>
      <c r="B96" s="116">
        <v>0</v>
      </c>
      <c r="C96" s="116">
        <v>1</v>
      </c>
      <c r="D96" s="116">
        <v>0</v>
      </c>
      <c r="E96" s="116"/>
      <c r="H96" s="127" t="s">
        <v>106</v>
      </c>
      <c r="I96" s="116">
        <v>1</v>
      </c>
      <c r="J96" s="116" t="s">
        <v>112</v>
      </c>
    </row>
    <row r="97" spans="1:10" ht="14.4">
      <c r="A97" s="116" t="s">
        <v>20</v>
      </c>
      <c r="B97" s="116">
        <v>1</v>
      </c>
      <c r="C97" s="116">
        <v>0</v>
      </c>
      <c r="D97" s="116">
        <v>0</v>
      </c>
      <c r="E97" s="116"/>
    </row>
    <row r="98" spans="1:10" ht="14.4">
      <c r="A98" s="116" t="s">
        <v>15</v>
      </c>
      <c r="B98" s="116">
        <v>0</v>
      </c>
      <c r="C98" s="116">
        <v>0</v>
      </c>
      <c r="D98" s="116">
        <v>0</v>
      </c>
      <c r="E98" s="116"/>
    </row>
    <row r="101" spans="1:10" ht="15.6">
      <c r="A101" s="113" t="s">
        <v>107</v>
      </c>
      <c r="H101" s="113" t="s">
        <v>85</v>
      </c>
    </row>
    <row r="102" spans="1:10" ht="14.4">
      <c r="A102" s="115" t="s">
        <v>86</v>
      </c>
      <c r="B102" s="115" t="s">
        <v>4</v>
      </c>
      <c r="C102" s="115" t="s">
        <v>5</v>
      </c>
      <c r="D102" s="115" t="s">
        <v>6</v>
      </c>
      <c r="E102" s="115" t="s">
        <v>7</v>
      </c>
      <c r="H102" s="115" t="s">
        <v>87</v>
      </c>
      <c r="I102" s="115" t="s">
        <v>88</v>
      </c>
      <c r="J102" s="115" t="s">
        <v>89</v>
      </c>
    </row>
    <row r="103" spans="1:10" ht="14.4">
      <c r="A103" s="119" t="s">
        <v>90</v>
      </c>
      <c r="B103" s="119">
        <v>1</v>
      </c>
      <c r="C103" s="119">
        <v>5</v>
      </c>
      <c r="D103" s="119">
        <v>2</v>
      </c>
      <c r="E103" s="119"/>
      <c r="H103" s="119" t="s">
        <v>91</v>
      </c>
      <c r="I103" s="119">
        <v>8</v>
      </c>
      <c r="J103" s="119" t="s">
        <v>92</v>
      </c>
    </row>
    <row r="104" spans="1:10" ht="14.4">
      <c r="A104" s="116" t="s">
        <v>15</v>
      </c>
      <c r="B104" s="116">
        <v>0</v>
      </c>
      <c r="C104" s="116">
        <v>1</v>
      </c>
      <c r="D104" s="116">
        <v>0</v>
      </c>
      <c r="E104" s="116"/>
      <c r="H104" s="120" t="s">
        <v>97</v>
      </c>
      <c r="I104" s="116">
        <v>4</v>
      </c>
      <c r="J104" s="116" t="s">
        <v>94</v>
      </c>
    </row>
    <row r="105" spans="1:10" ht="14.4">
      <c r="A105" s="116" t="s">
        <v>16</v>
      </c>
      <c r="B105" s="116">
        <v>0</v>
      </c>
      <c r="C105" s="116">
        <v>0</v>
      </c>
      <c r="D105" s="116">
        <v>1</v>
      </c>
      <c r="E105" s="116"/>
      <c r="H105" s="123" t="s">
        <v>105</v>
      </c>
      <c r="I105" s="116">
        <v>2</v>
      </c>
      <c r="J105" s="116" t="s">
        <v>101</v>
      </c>
    </row>
    <row r="106" spans="1:10" ht="14.4">
      <c r="A106" s="116" t="s">
        <v>18</v>
      </c>
      <c r="B106" s="116">
        <v>0</v>
      </c>
      <c r="C106" s="116">
        <v>1</v>
      </c>
      <c r="D106" s="116">
        <v>1</v>
      </c>
      <c r="E106" s="116"/>
      <c r="H106" s="124" t="s">
        <v>109</v>
      </c>
      <c r="I106" s="116">
        <v>1</v>
      </c>
      <c r="J106" s="116" t="s">
        <v>120</v>
      </c>
    </row>
    <row r="107" spans="1:10" ht="14.4">
      <c r="A107" s="116" t="s">
        <v>20</v>
      </c>
      <c r="B107" s="116">
        <v>1</v>
      </c>
      <c r="C107" s="116">
        <v>3</v>
      </c>
      <c r="D107" s="116">
        <v>0</v>
      </c>
      <c r="E107" s="116"/>
      <c r="H107" s="122" t="s">
        <v>95</v>
      </c>
      <c r="I107" s="116">
        <v>1</v>
      </c>
      <c r="J107" s="116" t="s">
        <v>120</v>
      </c>
    </row>
    <row r="108" spans="1:10" ht="14.4">
      <c r="A108" s="116" t="s">
        <v>17</v>
      </c>
      <c r="B108" s="116">
        <v>0</v>
      </c>
      <c r="C108" s="116">
        <v>0</v>
      </c>
      <c r="D108" s="116">
        <v>0</v>
      </c>
      <c r="E108" s="116"/>
    </row>
    <row r="111" spans="1:10" ht="15.6">
      <c r="A111" s="113" t="s">
        <v>119</v>
      </c>
      <c r="H111" s="113" t="s">
        <v>85</v>
      </c>
    </row>
    <row r="112" spans="1:10" ht="14.4">
      <c r="A112" s="115" t="s">
        <v>86</v>
      </c>
      <c r="B112" s="115" t="s">
        <v>4</v>
      </c>
      <c r="C112" s="115" t="s">
        <v>5</v>
      </c>
      <c r="D112" s="115" t="s">
        <v>6</v>
      </c>
      <c r="E112" s="115" t="s">
        <v>7</v>
      </c>
      <c r="H112" s="115" t="s">
        <v>87</v>
      </c>
      <c r="I112" s="115" t="s">
        <v>88</v>
      </c>
      <c r="J112" s="115" t="s">
        <v>89</v>
      </c>
    </row>
    <row r="113" spans="1:10" ht="14.4">
      <c r="A113" s="119" t="s">
        <v>90</v>
      </c>
      <c r="B113" s="119">
        <v>10</v>
      </c>
      <c r="C113" s="119">
        <v>6</v>
      </c>
      <c r="D113" s="119">
        <v>3</v>
      </c>
      <c r="E113" s="119"/>
      <c r="H113" s="119" t="s">
        <v>91</v>
      </c>
      <c r="I113" s="119">
        <v>19</v>
      </c>
      <c r="J113" s="119" t="s">
        <v>92</v>
      </c>
    </row>
    <row r="114" spans="1:10" ht="14.4">
      <c r="A114" s="116" t="s">
        <v>15</v>
      </c>
      <c r="B114" s="116">
        <v>2</v>
      </c>
      <c r="C114" s="116">
        <v>3</v>
      </c>
      <c r="D114" s="116">
        <v>0</v>
      </c>
      <c r="E114" s="116"/>
      <c r="H114" s="120" t="s">
        <v>97</v>
      </c>
      <c r="I114" s="116">
        <v>7</v>
      </c>
      <c r="J114" s="116" t="s">
        <v>212</v>
      </c>
    </row>
    <row r="115" spans="1:10" ht="14.4">
      <c r="A115" s="116" t="s">
        <v>16</v>
      </c>
      <c r="B115" s="116">
        <v>5</v>
      </c>
      <c r="C115" s="116">
        <v>1</v>
      </c>
      <c r="D115" s="116">
        <v>1</v>
      </c>
      <c r="E115" s="116"/>
      <c r="H115" s="123" t="s">
        <v>105</v>
      </c>
      <c r="I115" s="116">
        <v>2</v>
      </c>
      <c r="J115" s="116" t="s">
        <v>213</v>
      </c>
    </row>
    <row r="116" spans="1:10" ht="14.4">
      <c r="A116" s="116" t="s">
        <v>17</v>
      </c>
      <c r="B116" s="116">
        <v>0</v>
      </c>
      <c r="C116" s="116">
        <v>0</v>
      </c>
      <c r="D116" s="116">
        <v>1</v>
      </c>
      <c r="E116" s="116"/>
      <c r="H116" s="128" t="s">
        <v>121</v>
      </c>
      <c r="I116" s="116">
        <v>2</v>
      </c>
      <c r="J116" s="116" t="s">
        <v>213</v>
      </c>
    </row>
    <row r="117" spans="1:10" ht="14.4">
      <c r="A117" s="116" t="s">
        <v>18</v>
      </c>
      <c r="B117" s="116">
        <v>0</v>
      </c>
      <c r="C117" s="116">
        <v>0</v>
      </c>
      <c r="D117" s="116">
        <v>1</v>
      </c>
      <c r="E117" s="116"/>
      <c r="H117" s="124" t="s">
        <v>122</v>
      </c>
      <c r="I117" s="116">
        <v>1</v>
      </c>
      <c r="J117" s="116" t="s">
        <v>214</v>
      </c>
    </row>
    <row r="118" spans="1:10" ht="14.4">
      <c r="A118" s="116" t="s">
        <v>19</v>
      </c>
      <c r="B118" s="116">
        <v>3</v>
      </c>
      <c r="C118" s="116">
        <v>2</v>
      </c>
      <c r="D118" s="116">
        <v>0</v>
      </c>
      <c r="E118" s="116"/>
      <c r="H118" s="125" t="s">
        <v>124</v>
      </c>
      <c r="I118" s="116">
        <v>1</v>
      </c>
      <c r="J118" s="116" t="s">
        <v>214</v>
      </c>
    </row>
    <row r="119" spans="1:10" ht="14.4">
      <c r="H119" s="127" t="s">
        <v>106</v>
      </c>
      <c r="I119" s="116">
        <v>2</v>
      </c>
      <c r="J119" s="116" t="s">
        <v>213</v>
      </c>
    </row>
    <row r="120" spans="1:10" ht="14.4">
      <c r="H120" s="126" t="s">
        <v>125</v>
      </c>
      <c r="I120" s="116">
        <v>1</v>
      </c>
      <c r="J120" s="116" t="s">
        <v>214</v>
      </c>
    </row>
    <row r="121" spans="1:10" ht="14.4">
      <c r="H121" s="129" t="s">
        <v>126</v>
      </c>
      <c r="I121" s="116">
        <v>1</v>
      </c>
      <c r="J121" s="116" t="s">
        <v>214</v>
      </c>
    </row>
    <row r="122" spans="1:10" ht="14.4">
      <c r="H122" s="122" t="s">
        <v>95</v>
      </c>
      <c r="I122" s="116">
        <v>2</v>
      </c>
      <c r="J122" s="116" t="s">
        <v>213</v>
      </c>
    </row>
  </sheetData>
  <pageMargins left="0.70866141732283472" right="0.70866141732283472" top="0.74803149606299213" bottom="0.74803149606299213" header="0.31496062992125984" footer="0.31496062992125984"/>
  <pageSetup paperSize="9" scale="75" fitToHeight="3" orientation="landscape" horizontalDpi="300" verticalDpi="300" r:id="rId1"/>
  <rowBreaks count="2" manualBreakCount="2">
    <brk id="40" max="16383" man="1"/>
    <brk id="8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59765625" defaultRowHeight="15" customHeight="1"/>
  <cols>
    <col min="1" max="1" width="30.59765625" customWidth="1"/>
    <col min="2" max="13" width="11.19921875" customWidth="1"/>
    <col min="14" max="26" width="10.59765625" customWidth="1"/>
  </cols>
  <sheetData>
    <row r="1" spans="1:26" ht="13.5" customHeight="1">
      <c r="A1" s="2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2" t="s">
        <v>42</v>
      </c>
      <c r="B4" s="22" t="s">
        <v>80</v>
      </c>
      <c r="C4" s="23">
        <v>45728</v>
      </c>
      <c r="D4" s="22">
        <v>1</v>
      </c>
      <c r="E4" s="22">
        <v>0</v>
      </c>
      <c r="F4" s="22">
        <v>1</v>
      </c>
      <c r="G4" s="22">
        <v>0</v>
      </c>
      <c r="H4" s="22">
        <v>2</v>
      </c>
      <c r="I4" s="24">
        <v>3.7000000000000002E-3</v>
      </c>
      <c r="J4" s="22">
        <v>3</v>
      </c>
      <c r="K4" s="24">
        <v>6.4999999999999997E-3</v>
      </c>
      <c r="L4" s="22"/>
      <c r="M4" s="2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22" t="s">
        <v>39</v>
      </c>
      <c r="B5" s="22" t="s">
        <v>81</v>
      </c>
      <c r="C5" s="23">
        <v>45728</v>
      </c>
      <c r="D5" s="22">
        <v>5</v>
      </c>
      <c r="E5" s="22">
        <v>8</v>
      </c>
      <c r="F5" s="22">
        <v>2</v>
      </c>
      <c r="G5" s="22">
        <v>1</v>
      </c>
      <c r="H5" s="22">
        <v>16</v>
      </c>
      <c r="I5" s="24">
        <v>8.8999999999999999E-3</v>
      </c>
      <c r="J5" s="22">
        <v>11</v>
      </c>
      <c r="K5" s="24">
        <v>7.1999999999999998E-3</v>
      </c>
      <c r="L5" s="22"/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22" t="s">
        <v>43</v>
      </c>
      <c r="B6" s="22" t="s">
        <v>81</v>
      </c>
      <c r="C6" s="23">
        <v>45730</v>
      </c>
      <c r="D6" s="22">
        <v>4</v>
      </c>
      <c r="E6" s="22">
        <v>2</v>
      </c>
      <c r="F6" s="22">
        <v>3</v>
      </c>
      <c r="G6" s="22">
        <v>1</v>
      </c>
      <c r="H6" s="22">
        <v>10</v>
      </c>
      <c r="I6" s="24">
        <v>7.1999999999999998E-3</v>
      </c>
      <c r="J6" s="22">
        <v>9</v>
      </c>
      <c r="K6" s="24">
        <v>7.9000000000000008E-3</v>
      </c>
      <c r="L6" s="22"/>
      <c r="M6" s="2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2" t="s">
        <v>44</v>
      </c>
      <c r="B7" s="22" t="s">
        <v>81</v>
      </c>
      <c r="C7" s="23">
        <v>45748</v>
      </c>
      <c r="D7" s="22">
        <v>0</v>
      </c>
      <c r="E7" s="22">
        <v>3</v>
      </c>
      <c r="F7" s="22">
        <v>1</v>
      </c>
      <c r="G7" s="22">
        <v>0</v>
      </c>
      <c r="H7" s="22">
        <v>4</v>
      </c>
      <c r="I7" s="24">
        <v>5.4000000000000003E-3</v>
      </c>
      <c r="J7" s="22"/>
      <c r="K7" s="24"/>
      <c r="L7" s="22"/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22" t="s">
        <v>47</v>
      </c>
      <c r="B8" s="22" t="s">
        <v>81</v>
      </c>
      <c r="C8" s="23">
        <v>45751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4">
        <v>0</v>
      </c>
      <c r="J8" s="22"/>
      <c r="K8" s="24"/>
      <c r="L8" s="22"/>
      <c r="M8" s="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22" t="s">
        <v>45</v>
      </c>
      <c r="B9" s="22" t="s">
        <v>81</v>
      </c>
      <c r="C9" s="23">
        <v>45751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4">
        <v>0</v>
      </c>
      <c r="J9" s="22"/>
      <c r="K9" s="24"/>
      <c r="L9" s="22"/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22" t="s">
        <v>46</v>
      </c>
      <c r="B10" s="22" t="s">
        <v>81</v>
      </c>
      <c r="C10" s="23">
        <v>45751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4">
        <v>0</v>
      </c>
      <c r="J10" s="22"/>
      <c r="K10" s="24"/>
      <c r="L10" s="22"/>
      <c r="M10" s="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22" t="s">
        <v>50</v>
      </c>
      <c r="B11" s="22" t="s">
        <v>81</v>
      </c>
      <c r="C11" s="23">
        <v>45751</v>
      </c>
      <c r="D11" s="22">
        <v>2</v>
      </c>
      <c r="E11" s="22">
        <v>1</v>
      </c>
      <c r="F11" s="22">
        <v>3</v>
      </c>
      <c r="G11" s="22">
        <v>1</v>
      </c>
      <c r="H11" s="22">
        <v>7</v>
      </c>
      <c r="I11" s="24">
        <v>1E-3</v>
      </c>
      <c r="J11" s="22"/>
      <c r="K11" s="24"/>
      <c r="L11" s="22"/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2" t="s">
        <v>49</v>
      </c>
      <c r="B12" s="22" t="s">
        <v>81</v>
      </c>
      <c r="C12" s="23">
        <v>45751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4">
        <v>0</v>
      </c>
      <c r="J12" s="22"/>
      <c r="K12" s="24"/>
      <c r="L12" s="22"/>
      <c r="M12" s="2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>
      <c r="A13" s="22" t="s">
        <v>48</v>
      </c>
      <c r="B13" s="22" t="s">
        <v>81</v>
      </c>
      <c r="C13" s="23">
        <v>45751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4">
        <v>0</v>
      </c>
      <c r="J13" s="22"/>
      <c r="K13" s="24"/>
      <c r="L13" s="22"/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22" t="s">
        <v>51</v>
      </c>
      <c r="B14" s="22" t="s">
        <v>81</v>
      </c>
      <c r="C14" s="23">
        <v>45762</v>
      </c>
      <c r="D14" s="22">
        <v>2</v>
      </c>
      <c r="E14" s="22">
        <v>5</v>
      </c>
      <c r="F14" s="22">
        <v>1</v>
      </c>
      <c r="G14" s="22">
        <v>2</v>
      </c>
      <c r="H14" s="22">
        <v>10</v>
      </c>
      <c r="I14" s="24">
        <v>1.6000000000000001E-3</v>
      </c>
      <c r="J14" s="22"/>
      <c r="K14" s="24"/>
      <c r="L14" s="22"/>
      <c r="M14" s="2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22" t="s">
        <v>52</v>
      </c>
      <c r="B15" s="22" t="s">
        <v>81</v>
      </c>
      <c r="C15" s="23">
        <v>45762</v>
      </c>
      <c r="D15" s="22">
        <v>1</v>
      </c>
      <c r="E15" s="22">
        <v>0</v>
      </c>
      <c r="F15" s="22">
        <v>1</v>
      </c>
      <c r="G15" s="22">
        <v>1</v>
      </c>
      <c r="H15" s="22">
        <v>3</v>
      </c>
      <c r="I15" s="24">
        <v>2.9999999999999997E-4</v>
      </c>
      <c r="J15" s="22"/>
      <c r="K15" s="24"/>
      <c r="L15" s="22"/>
      <c r="M15" s="2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2" t="s">
        <v>53</v>
      </c>
      <c r="B16" s="22" t="s">
        <v>81</v>
      </c>
      <c r="C16" s="23">
        <v>45763</v>
      </c>
      <c r="D16" s="22">
        <v>1</v>
      </c>
      <c r="E16" s="22">
        <v>0</v>
      </c>
      <c r="F16" s="22">
        <v>1</v>
      </c>
      <c r="G16" s="22"/>
      <c r="H16" s="22"/>
      <c r="I16" s="24"/>
      <c r="J16" s="22"/>
      <c r="K16" s="24"/>
      <c r="L16" s="22"/>
      <c r="M16" s="2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22" t="s">
        <v>54</v>
      </c>
      <c r="B17" s="22" t="s">
        <v>82</v>
      </c>
      <c r="C17" s="23">
        <v>45772</v>
      </c>
      <c r="D17" s="22">
        <v>3</v>
      </c>
      <c r="E17" s="22">
        <v>4</v>
      </c>
      <c r="F17" s="22"/>
      <c r="G17" s="22"/>
      <c r="H17" s="22"/>
      <c r="I17" s="24"/>
      <c r="J17" s="22"/>
      <c r="K17" s="24"/>
      <c r="L17" s="22"/>
      <c r="M17" s="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2" t="s">
        <v>56</v>
      </c>
      <c r="B18" s="22" t="s">
        <v>83</v>
      </c>
      <c r="C18" s="23">
        <v>45776</v>
      </c>
      <c r="D18" s="22">
        <v>2</v>
      </c>
      <c r="E18" s="22">
        <v>2</v>
      </c>
      <c r="F18" s="22"/>
      <c r="G18" s="22"/>
      <c r="H18" s="22"/>
      <c r="I18" s="24"/>
      <c r="J18" s="22"/>
      <c r="K18" s="24"/>
      <c r="L18" s="22"/>
      <c r="M18" s="2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22" t="s">
        <v>57</v>
      </c>
      <c r="B19" s="22" t="s">
        <v>83</v>
      </c>
      <c r="C19" s="23">
        <v>45776</v>
      </c>
      <c r="D19" s="22">
        <v>0</v>
      </c>
      <c r="E19" s="22">
        <v>1</v>
      </c>
      <c r="F19" s="22"/>
      <c r="G19" s="22"/>
      <c r="H19" s="22"/>
      <c r="I19" s="24"/>
      <c r="J19" s="22"/>
      <c r="K19" s="24"/>
      <c r="L19" s="22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22" t="s">
        <v>58</v>
      </c>
      <c r="B20" s="22" t="s">
        <v>83</v>
      </c>
      <c r="C20" s="23">
        <v>45776</v>
      </c>
      <c r="D20" s="22">
        <v>1</v>
      </c>
      <c r="E20" s="22">
        <v>0</v>
      </c>
      <c r="F20" s="22"/>
      <c r="G20" s="22"/>
      <c r="H20" s="22"/>
      <c r="I20" s="24"/>
      <c r="J20" s="22"/>
      <c r="K20" s="24"/>
      <c r="L20" s="22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22" t="s">
        <v>59</v>
      </c>
      <c r="B21" s="22" t="s">
        <v>83</v>
      </c>
      <c r="C21" s="23">
        <v>45776</v>
      </c>
      <c r="D21" s="22">
        <v>1</v>
      </c>
      <c r="E21" s="22">
        <v>3</v>
      </c>
      <c r="F21" s="22"/>
      <c r="G21" s="22"/>
      <c r="H21" s="22"/>
      <c r="I21" s="24"/>
      <c r="J21" s="22"/>
      <c r="K21" s="24"/>
      <c r="L21" s="22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22" t="s">
        <v>60</v>
      </c>
      <c r="B22" s="22" t="s">
        <v>83</v>
      </c>
      <c r="C22" s="23">
        <v>45776</v>
      </c>
      <c r="D22" s="22">
        <v>1</v>
      </c>
      <c r="E22" s="22">
        <v>5</v>
      </c>
      <c r="F22" s="22"/>
      <c r="G22" s="22"/>
      <c r="H22" s="22"/>
      <c r="I22" s="24"/>
      <c r="J22" s="22"/>
      <c r="K22" s="24"/>
      <c r="L22" s="22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22" t="s">
        <v>55</v>
      </c>
      <c r="B23" s="22" t="s">
        <v>81</v>
      </c>
      <c r="C23" s="23">
        <v>45776</v>
      </c>
      <c r="D23" s="22">
        <v>10</v>
      </c>
      <c r="E23" s="22">
        <v>6</v>
      </c>
      <c r="F23" s="22"/>
      <c r="G23" s="22"/>
      <c r="H23" s="22"/>
      <c r="I23" s="24"/>
      <c r="J23" s="22"/>
      <c r="K23" s="24"/>
      <c r="L23" s="22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21" t="s">
        <v>84</v>
      </c>
      <c r="B26" s="2"/>
      <c r="C26" s="2"/>
      <c r="D26" s="2"/>
      <c r="E26" s="2"/>
      <c r="F26" s="2"/>
      <c r="G26" s="2"/>
      <c r="H26" s="21" t="s">
        <v>85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1" t="s">
        <v>86</v>
      </c>
      <c r="B27" s="1" t="s">
        <v>4</v>
      </c>
      <c r="C27" s="1" t="s">
        <v>5</v>
      </c>
      <c r="D27" s="1" t="s">
        <v>6</v>
      </c>
      <c r="E27" s="1" t="s">
        <v>7</v>
      </c>
      <c r="F27" s="2"/>
      <c r="G27" s="2"/>
      <c r="H27" s="1" t="s">
        <v>87</v>
      </c>
      <c r="I27" s="1" t="s">
        <v>88</v>
      </c>
      <c r="J27" s="1" t="s">
        <v>89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25" t="s">
        <v>90</v>
      </c>
      <c r="B28" s="25">
        <v>1</v>
      </c>
      <c r="C28" s="25">
        <v>0</v>
      </c>
      <c r="D28" s="25">
        <v>1</v>
      </c>
      <c r="E28" s="25"/>
      <c r="F28" s="2"/>
      <c r="G28" s="2"/>
      <c r="H28" s="25" t="s">
        <v>91</v>
      </c>
      <c r="I28" s="25">
        <v>2</v>
      </c>
      <c r="J28" s="25" t="s">
        <v>92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2" t="s">
        <v>16</v>
      </c>
      <c r="B29" s="22">
        <v>1</v>
      </c>
      <c r="C29" s="22">
        <v>0</v>
      </c>
      <c r="D29" s="22">
        <v>0</v>
      </c>
      <c r="E29" s="22"/>
      <c r="F29" s="2"/>
      <c r="G29" s="2"/>
      <c r="H29" s="26" t="s">
        <v>93</v>
      </c>
      <c r="I29" s="22">
        <v>1</v>
      </c>
      <c r="J29" s="22" t="s">
        <v>94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2" t="s">
        <v>19</v>
      </c>
      <c r="B30" s="22">
        <v>0</v>
      </c>
      <c r="C30" s="22">
        <v>0</v>
      </c>
      <c r="D30" s="22">
        <v>1</v>
      </c>
      <c r="E30" s="22"/>
      <c r="F30" s="2"/>
      <c r="G30" s="2"/>
      <c r="H30" s="27" t="s">
        <v>95</v>
      </c>
      <c r="I30" s="22">
        <v>1</v>
      </c>
      <c r="J30" s="22" t="s">
        <v>94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22" t="s">
        <v>15</v>
      </c>
      <c r="B31" s="22">
        <v>0</v>
      </c>
      <c r="C31" s="22">
        <v>0</v>
      </c>
      <c r="D31" s="22">
        <v>0</v>
      </c>
      <c r="E31" s="2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2" t="s">
        <v>17</v>
      </c>
      <c r="B32" s="22">
        <v>0</v>
      </c>
      <c r="C32" s="22">
        <v>0</v>
      </c>
      <c r="D32" s="22">
        <v>0</v>
      </c>
      <c r="E32" s="2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22" t="s">
        <v>18</v>
      </c>
      <c r="B33" s="22">
        <v>0</v>
      </c>
      <c r="C33" s="22">
        <v>0</v>
      </c>
      <c r="D33" s="22">
        <v>0</v>
      </c>
      <c r="E33" s="2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2" t="s">
        <v>20</v>
      </c>
      <c r="B34" s="22">
        <v>0</v>
      </c>
      <c r="C34" s="22">
        <v>0</v>
      </c>
      <c r="D34" s="22">
        <v>0</v>
      </c>
      <c r="E34" s="2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1" t="s">
        <v>96</v>
      </c>
      <c r="B37" s="2"/>
      <c r="C37" s="2"/>
      <c r="D37" s="2"/>
      <c r="E37" s="2"/>
      <c r="F37" s="2"/>
      <c r="G37" s="2"/>
      <c r="H37" s="21" t="s">
        <v>85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1" t="s">
        <v>86</v>
      </c>
      <c r="B38" s="1" t="s">
        <v>4</v>
      </c>
      <c r="C38" s="1" t="s">
        <v>5</v>
      </c>
      <c r="D38" s="1" t="s">
        <v>6</v>
      </c>
      <c r="E38" s="1" t="s">
        <v>7</v>
      </c>
      <c r="F38" s="2"/>
      <c r="G38" s="2"/>
      <c r="H38" s="1" t="s">
        <v>87</v>
      </c>
      <c r="I38" s="1" t="s">
        <v>88</v>
      </c>
      <c r="J38" s="1" t="s">
        <v>89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5" t="s">
        <v>90</v>
      </c>
      <c r="B39" s="25">
        <v>3</v>
      </c>
      <c r="C39" s="25">
        <v>4</v>
      </c>
      <c r="D39" s="25"/>
      <c r="E39" s="25"/>
      <c r="F39" s="2"/>
      <c r="G39" s="2"/>
      <c r="H39" s="25" t="s">
        <v>91</v>
      </c>
      <c r="I39" s="25">
        <v>7</v>
      </c>
      <c r="J39" s="25" t="s">
        <v>92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2" t="s">
        <v>18</v>
      </c>
      <c r="B40" s="22">
        <v>3</v>
      </c>
      <c r="C40" s="22">
        <v>1</v>
      </c>
      <c r="D40" s="22"/>
      <c r="E40" s="22"/>
      <c r="F40" s="2"/>
      <c r="G40" s="2"/>
      <c r="H40" s="28" t="s">
        <v>97</v>
      </c>
      <c r="I40" s="22">
        <v>7</v>
      </c>
      <c r="J40" s="22" t="s">
        <v>92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2" t="s">
        <v>20</v>
      </c>
      <c r="B41" s="22">
        <v>0</v>
      </c>
      <c r="C41" s="22">
        <v>3</v>
      </c>
      <c r="D41" s="22"/>
      <c r="E41" s="2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2" t="s">
        <v>15</v>
      </c>
      <c r="B42" s="22">
        <v>0</v>
      </c>
      <c r="C42" s="22">
        <v>0</v>
      </c>
      <c r="D42" s="22"/>
      <c r="E42" s="2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2" t="s">
        <v>16</v>
      </c>
      <c r="B43" s="22">
        <v>0</v>
      </c>
      <c r="C43" s="22">
        <v>0</v>
      </c>
      <c r="D43" s="22"/>
      <c r="E43" s="2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2" t="s">
        <v>17</v>
      </c>
      <c r="B44" s="22">
        <v>0</v>
      </c>
      <c r="C44" s="22">
        <v>0</v>
      </c>
      <c r="D44" s="22"/>
      <c r="E44" s="2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1" t="s">
        <v>98</v>
      </c>
      <c r="B47" s="2"/>
      <c r="C47" s="2"/>
      <c r="D47" s="2"/>
      <c r="E47" s="2"/>
      <c r="F47" s="2"/>
      <c r="G47" s="2"/>
      <c r="H47" s="21" t="s">
        <v>85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1" t="s">
        <v>86</v>
      </c>
      <c r="B48" s="1" t="s">
        <v>4</v>
      </c>
      <c r="C48" s="1" t="s">
        <v>5</v>
      </c>
      <c r="D48" s="1" t="s">
        <v>6</v>
      </c>
      <c r="E48" s="1" t="s">
        <v>7</v>
      </c>
      <c r="F48" s="2"/>
      <c r="G48" s="2"/>
      <c r="H48" s="1" t="s">
        <v>87</v>
      </c>
      <c r="I48" s="1" t="s">
        <v>88</v>
      </c>
      <c r="J48" s="1" t="s">
        <v>89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5" t="s">
        <v>90</v>
      </c>
      <c r="B49" s="25">
        <v>2</v>
      </c>
      <c r="C49" s="25">
        <v>2</v>
      </c>
      <c r="D49" s="25"/>
      <c r="E49" s="25"/>
      <c r="F49" s="2"/>
      <c r="G49" s="2"/>
      <c r="H49" s="25" t="s">
        <v>91</v>
      </c>
      <c r="I49" s="25">
        <v>4</v>
      </c>
      <c r="J49" s="25" t="s">
        <v>92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2" t="s">
        <v>16</v>
      </c>
      <c r="B50" s="22">
        <v>1</v>
      </c>
      <c r="C50" s="22">
        <v>0</v>
      </c>
      <c r="D50" s="22"/>
      <c r="E50" s="22"/>
      <c r="F50" s="2"/>
      <c r="G50" s="2"/>
      <c r="H50" s="28" t="s">
        <v>97</v>
      </c>
      <c r="I50" s="22">
        <v>3</v>
      </c>
      <c r="J50" s="22" t="s">
        <v>99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2" t="s">
        <v>18</v>
      </c>
      <c r="B51" s="22">
        <v>1</v>
      </c>
      <c r="C51" s="22">
        <v>2</v>
      </c>
      <c r="D51" s="22"/>
      <c r="E51" s="22"/>
      <c r="F51" s="2"/>
      <c r="G51" s="2"/>
      <c r="H51" s="29" t="s">
        <v>100</v>
      </c>
      <c r="I51" s="22">
        <v>1</v>
      </c>
      <c r="J51" s="22" t="s">
        <v>101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2" t="s">
        <v>15</v>
      </c>
      <c r="B52" s="22">
        <v>0</v>
      </c>
      <c r="C52" s="22">
        <v>0</v>
      </c>
      <c r="D52" s="22"/>
      <c r="E52" s="2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2" t="s">
        <v>17</v>
      </c>
      <c r="B53" s="22">
        <v>0</v>
      </c>
      <c r="C53" s="22">
        <v>0</v>
      </c>
      <c r="D53" s="22"/>
      <c r="E53" s="2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2" t="s">
        <v>20</v>
      </c>
      <c r="B54" s="22">
        <v>0</v>
      </c>
      <c r="C54" s="22">
        <v>0</v>
      </c>
      <c r="D54" s="22"/>
      <c r="E54" s="2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1" t="s">
        <v>102</v>
      </c>
      <c r="B57" s="2"/>
      <c r="C57" s="2"/>
      <c r="D57" s="2"/>
      <c r="E57" s="2"/>
      <c r="F57" s="2"/>
      <c r="G57" s="2"/>
      <c r="H57" s="21" t="s">
        <v>85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1" t="s">
        <v>86</v>
      </c>
      <c r="B58" s="1" t="s">
        <v>4</v>
      </c>
      <c r="C58" s="1" t="s">
        <v>5</v>
      </c>
      <c r="D58" s="1" t="s">
        <v>6</v>
      </c>
      <c r="E58" s="1" t="s">
        <v>7</v>
      </c>
      <c r="F58" s="2"/>
      <c r="G58" s="2"/>
      <c r="H58" s="1" t="s">
        <v>87</v>
      </c>
      <c r="I58" s="1" t="s">
        <v>88</v>
      </c>
      <c r="J58" s="1" t="s">
        <v>89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5" t="s">
        <v>90</v>
      </c>
      <c r="B59" s="25">
        <v>0</v>
      </c>
      <c r="C59" s="25">
        <v>1</v>
      </c>
      <c r="D59" s="25"/>
      <c r="E59" s="25"/>
      <c r="F59" s="2"/>
      <c r="G59" s="2"/>
      <c r="H59" s="25" t="s">
        <v>91</v>
      </c>
      <c r="I59" s="25">
        <v>1</v>
      </c>
      <c r="J59" s="25" t="s">
        <v>92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2" t="s">
        <v>16</v>
      </c>
      <c r="B60" s="22">
        <v>0</v>
      </c>
      <c r="C60" s="22">
        <v>1</v>
      </c>
      <c r="D60" s="22"/>
      <c r="E60" s="22"/>
      <c r="F60" s="2"/>
      <c r="G60" s="2"/>
      <c r="H60" s="28" t="s">
        <v>97</v>
      </c>
      <c r="I60" s="22">
        <v>1</v>
      </c>
      <c r="J60" s="22" t="s">
        <v>92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2" t="s">
        <v>15</v>
      </c>
      <c r="B61" s="22">
        <v>0</v>
      </c>
      <c r="C61" s="22">
        <v>0</v>
      </c>
      <c r="D61" s="22"/>
      <c r="E61" s="2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2" t="s">
        <v>17</v>
      </c>
      <c r="B62" s="22">
        <v>0</v>
      </c>
      <c r="C62" s="22">
        <v>0</v>
      </c>
      <c r="D62" s="22"/>
      <c r="E62" s="2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2" t="s">
        <v>18</v>
      </c>
      <c r="B63" s="22">
        <v>0</v>
      </c>
      <c r="C63" s="22">
        <v>0</v>
      </c>
      <c r="D63" s="22"/>
      <c r="E63" s="2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2" t="s">
        <v>20</v>
      </c>
      <c r="B64" s="22">
        <v>0</v>
      </c>
      <c r="C64" s="22">
        <v>0</v>
      </c>
      <c r="D64" s="22"/>
      <c r="E64" s="2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1" t="s">
        <v>103</v>
      </c>
      <c r="B67" s="2"/>
      <c r="C67" s="2"/>
      <c r="D67" s="2"/>
      <c r="E67" s="2"/>
      <c r="F67" s="2"/>
      <c r="G67" s="2"/>
      <c r="H67" s="21" t="s">
        <v>85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1" t="s">
        <v>86</v>
      </c>
      <c r="B68" s="1" t="s">
        <v>4</v>
      </c>
      <c r="C68" s="1" t="s">
        <v>5</v>
      </c>
      <c r="D68" s="1" t="s">
        <v>6</v>
      </c>
      <c r="E68" s="1" t="s">
        <v>7</v>
      </c>
      <c r="F68" s="2"/>
      <c r="G68" s="2"/>
      <c r="H68" s="1" t="s">
        <v>87</v>
      </c>
      <c r="I68" s="1" t="s">
        <v>88</v>
      </c>
      <c r="J68" s="1" t="s">
        <v>89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5" t="s">
        <v>90</v>
      </c>
      <c r="B69" s="25">
        <v>1</v>
      </c>
      <c r="C69" s="25">
        <v>0</v>
      </c>
      <c r="D69" s="25"/>
      <c r="E69" s="25"/>
      <c r="F69" s="2"/>
      <c r="G69" s="2"/>
      <c r="H69" s="25" t="s">
        <v>91</v>
      </c>
      <c r="I69" s="25">
        <v>1</v>
      </c>
      <c r="J69" s="25" t="s">
        <v>92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2" t="s">
        <v>16</v>
      </c>
      <c r="B70" s="22">
        <v>1</v>
      </c>
      <c r="C70" s="22">
        <v>0</v>
      </c>
      <c r="D70" s="22"/>
      <c r="E70" s="22"/>
      <c r="F70" s="2"/>
      <c r="G70" s="2"/>
      <c r="H70" s="28" t="s">
        <v>97</v>
      </c>
      <c r="I70" s="22">
        <v>1</v>
      </c>
      <c r="J70" s="22" t="s">
        <v>92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2" t="s">
        <v>15</v>
      </c>
      <c r="B71" s="22">
        <v>0</v>
      </c>
      <c r="C71" s="22">
        <v>0</v>
      </c>
      <c r="D71" s="22"/>
      <c r="E71" s="2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2" t="s">
        <v>17</v>
      </c>
      <c r="B72" s="22">
        <v>0</v>
      </c>
      <c r="C72" s="22">
        <v>0</v>
      </c>
      <c r="D72" s="22"/>
      <c r="E72" s="2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2" t="s">
        <v>18</v>
      </c>
      <c r="B73" s="22">
        <v>0</v>
      </c>
      <c r="C73" s="22">
        <v>0</v>
      </c>
      <c r="D73" s="22"/>
      <c r="E73" s="2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2" t="s">
        <v>20</v>
      </c>
      <c r="B74" s="22">
        <v>0</v>
      </c>
      <c r="C74" s="22">
        <v>0</v>
      </c>
      <c r="D74" s="22"/>
      <c r="E74" s="2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1" t="s">
        <v>104</v>
      </c>
      <c r="B77" s="2"/>
      <c r="C77" s="2"/>
      <c r="D77" s="2"/>
      <c r="E77" s="2"/>
      <c r="F77" s="2"/>
      <c r="G77" s="2"/>
      <c r="H77" s="21" t="s">
        <v>85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1" t="s">
        <v>86</v>
      </c>
      <c r="B78" s="1" t="s">
        <v>4</v>
      </c>
      <c r="C78" s="1" t="s">
        <v>5</v>
      </c>
      <c r="D78" s="1" t="s">
        <v>6</v>
      </c>
      <c r="E78" s="1" t="s">
        <v>7</v>
      </c>
      <c r="F78" s="2"/>
      <c r="G78" s="2"/>
      <c r="H78" s="1" t="s">
        <v>87</v>
      </c>
      <c r="I78" s="1" t="s">
        <v>88</v>
      </c>
      <c r="J78" s="1" t="s">
        <v>89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5" t="s">
        <v>90</v>
      </c>
      <c r="B79" s="25">
        <v>1</v>
      </c>
      <c r="C79" s="25">
        <v>3</v>
      </c>
      <c r="D79" s="25"/>
      <c r="E79" s="25"/>
      <c r="F79" s="2"/>
      <c r="G79" s="2"/>
      <c r="H79" s="25" t="s">
        <v>91</v>
      </c>
      <c r="I79" s="25">
        <v>4</v>
      </c>
      <c r="J79" s="25" t="s">
        <v>92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2" t="s">
        <v>16</v>
      </c>
      <c r="B80" s="22">
        <v>0</v>
      </c>
      <c r="C80" s="22">
        <v>2</v>
      </c>
      <c r="D80" s="22"/>
      <c r="E80" s="22"/>
      <c r="F80" s="2"/>
      <c r="G80" s="2"/>
      <c r="H80" s="28" t="s">
        <v>97</v>
      </c>
      <c r="I80" s="22">
        <v>2</v>
      </c>
      <c r="J80" s="22" t="s">
        <v>94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2" t="s">
        <v>18</v>
      </c>
      <c r="B81" s="22">
        <v>0</v>
      </c>
      <c r="C81" s="22">
        <v>1</v>
      </c>
      <c r="D81" s="22"/>
      <c r="E81" s="22"/>
      <c r="F81" s="2"/>
      <c r="G81" s="2"/>
      <c r="H81" s="30" t="s">
        <v>105</v>
      </c>
      <c r="I81" s="22">
        <v>1</v>
      </c>
      <c r="J81" s="22" t="s">
        <v>101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2" t="s">
        <v>20</v>
      </c>
      <c r="B82" s="22">
        <v>1</v>
      </c>
      <c r="C82" s="22">
        <v>0</v>
      </c>
      <c r="D82" s="22"/>
      <c r="E82" s="22"/>
      <c r="F82" s="2"/>
      <c r="G82" s="2"/>
      <c r="H82" s="31" t="s">
        <v>106</v>
      </c>
      <c r="I82" s="22">
        <v>1</v>
      </c>
      <c r="J82" s="22" t="s">
        <v>101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2" t="s">
        <v>15</v>
      </c>
      <c r="B83" s="22">
        <v>0</v>
      </c>
      <c r="C83" s="22">
        <v>0</v>
      </c>
      <c r="D83" s="22"/>
      <c r="E83" s="2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2" t="s">
        <v>17</v>
      </c>
      <c r="B84" s="22">
        <v>0</v>
      </c>
      <c r="C84" s="22">
        <v>0</v>
      </c>
      <c r="D84" s="22"/>
      <c r="E84" s="2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1" t="s">
        <v>107</v>
      </c>
      <c r="B87" s="2"/>
      <c r="C87" s="2"/>
      <c r="D87" s="2"/>
      <c r="E87" s="2"/>
      <c r="F87" s="2"/>
      <c r="G87" s="2"/>
      <c r="H87" s="21" t="s">
        <v>85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1" t="s">
        <v>86</v>
      </c>
      <c r="B88" s="1" t="s">
        <v>4</v>
      </c>
      <c r="C88" s="1" t="s">
        <v>5</v>
      </c>
      <c r="D88" s="1" t="s">
        <v>6</v>
      </c>
      <c r="E88" s="1" t="s">
        <v>7</v>
      </c>
      <c r="F88" s="2"/>
      <c r="G88" s="2"/>
      <c r="H88" s="1" t="s">
        <v>87</v>
      </c>
      <c r="I88" s="1" t="s">
        <v>88</v>
      </c>
      <c r="J88" s="1" t="s">
        <v>89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5" t="s">
        <v>90</v>
      </c>
      <c r="B89" s="25">
        <v>1</v>
      </c>
      <c r="C89" s="25">
        <v>5</v>
      </c>
      <c r="D89" s="25"/>
      <c r="E89" s="25"/>
      <c r="F89" s="2"/>
      <c r="G89" s="2"/>
      <c r="H89" s="25" t="s">
        <v>91</v>
      </c>
      <c r="I89" s="25">
        <v>6</v>
      </c>
      <c r="J89" s="25" t="s">
        <v>92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2" t="s">
        <v>15</v>
      </c>
      <c r="B90" s="22">
        <v>0</v>
      </c>
      <c r="C90" s="22">
        <v>1</v>
      </c>
      <c r="D90" s="22"/>
      <c r="E90" s="22"/>
      <c r="F90" s="2"/>
      <c r="G90" s="2"/>
      <c r="H90" s="28" t="s">
        <v>97</v>
      </c>
      <c r="I90" s="22">
        <v>2</v>
      </c>
      <c r="J90" s="22" t="s">
        <v>108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2" t="s">
        <v>18</v>
      </c>
      <c r="B91" s="22">
        <v>0</v>
      </c>
      <c r="C91" s="22">
        <v>1</v>
      </c>
      <c r="D91" s="22"/>
      <c r="E91" s="22"/>
      <c r="F91" s="2"/>
      <c r="G91" s="2"/>
      <c r="H91" s="30" t="s">
        <v>105</v>
      </c>
      <c r="I91" s="22">
        <v>2</v>
      </c>
      <c r="J91" s="22" t="s">
        <v>108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2" t="s">
        <v>20</v>
      </c>
      <c r="B92" s="22">
        <v>1</v>
      </c>
      <c r="C92" s="22">
        <v>3</v>
      </c>
      <c r="D92" s="22"/>
      <c r="E92" s="22"/>
      <c r="F92" s="2"/>
      <c r="G92" s="2"/>
      <c r="H92" s="29" t="s">
        <v>109</v>
      </c>
      <c r="I92" s="22">
        <v>1</v>
      </c>
      <c r="J92" s="22" t="s">
        <v>110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2" t="s">
        <v>16</v>
      </c>
      <c r="B93" s="22">
        <v>0</v>
      </c>
      <c r="C93" s="22">
        <v>0</v>
      </c>
      <c r="D93" s="22"/>
      <c r="E93" s="22"/>
      <c r="F93" s="2"/>
      <c r="G93" s="2"/>
      <c r="H93" s="27" t="s">
        <v>95</v>
      </c>
      <c r="I93" s="22">
        <v>1</v>
      </c>
      <c r="J93" s="22" t="s">
        <v>110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2" t="s">
        <v>17</v>
      </c>
      <c r="B94" s="22">
        <v>0</v>
      </c>
      <c r="C94" s="22">
        <v>0</v>
      </c>
      <c r="D94" s="22"/>
      <c r="E94" s="2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1" t="s">
        <v>111</v>
      </c>
      <c r="B97" s="2"/>
      <c r="C97" s="2"/>
      <c r="D97" s="2"/>
      <c r="E97" s="2"/>
      <c r="F97" s="2"/>
      <c r="G97" s="2"/>
      <c r="H97" s="21" t="s">
        <v>85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1" t="s">
        <v>86</v>
      </c>
      <c r="B98" s="1" t="s">
        <v>4</v>
      </c>
      <c r="C98" s="1" t="s">
        <v>5</v>
      </c>
      <c r="D98" s="1" t="s">
        <v>6</v>
      </c>
      <c r="E98" s="1" t="s">
        <v>7</v>
      </c>
      <c r="F98" s="2"/>
      <c r="G98" s="2"/>
      <c r="H98" s="1" t="s">
        <v>87</v>
      </c>
      <c r="I98" s="1" t="s">
        <v>88</v>
      </c>
      <c r="J98" s="1" t="s">
        <v>89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5" t="s">
        <v>90</v>
      </c>
      <c r="B99" s="25">
        <v>2</v>
      </c>
      <c r="C99" s="25">
        <v>5</v>
      </c>
      <c r="D99" s="25">
        <v>1</v>
      </c>
      <c r="E99" s="25">
        <v>2</v>
      </c>
      <c r="F99" s="2"/>
      <c r="G99" s="2"/>
      <c r="H99" s="25" t="s">
        <v>91</v>
      </c>
      <c r="I99" s="25">
        <v>10</v>
      </c>
      <c r="J99" s="25" t="s">
        <v>92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2" t="s">
        <v>15</v>
      </c>
      <c r="B100" s="22">
        <v>1</v>
      </c>
      <c r="C100" s="22">
        <v>0</v>
      </c>
      <c r="D100" s="22">
        <v>1</v>
      </c>
      <c r="E100" s="22">
        <v>0</v>
      </c>
      <c r="F100" s="2"/>
      <c r="G100" s="2"/>
      <c r="H100" s="28" t="s">
        <v>97</v>
      </c>
      <c r="I100" s="22">
        <v>2</v>
      </c>
      <c r="J100" s="22" t="s">
        <v>112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2" t="s">
        <v>16</v>
      </c>
      <c r="B101" s="22">
        <v>0</v>
      </c>
      <c r="C101" s="22">
        <v>3</v>
      </c>
      <c r="D101" s="22">
        <v>0</v>
      </c>
      <c r="E101" s="22">
        <v>1</v>
      </c>
      <c r="F101" s="2"/>
      <c r="G101" s="2"/>
      <c r="H101" s="32" t="s">
        <v>113</v>
      </c>
      <c r="I101" s="22">
        <v>1</v>
      </c>
      <c r="J101" s="22" t="s">
        <v>114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2" t="s">
        <v>18</v>
      </c>
      <c r="B102" s="22">
        <v>0</v>
      </c>
      <c r="C102" s="22">
        <v>1</v>
      </c>
      <c r="D102" s="22">
        <v>0</v>
      </c>
      <c r="E102" s="22">
        <v>0</v>
      </c>
      <c r="F102" s="2"/>
      <c r="G102" s="2"/>
      <c r="H102" s="31" t="s">
        <v>106</v>
      </c>
      <c r="I102" s="22">
        <v>1</v>
      </c>
      <c r="J102" s="22" t="s">
        <v>114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2" t="s">
        <v>19</v>
      </c>
      <c r="B103" s="22">
        <v>1</v>
      </c>
      <c r="C103" s="22">
        <v>1</v>
      </c>
      <c r="D103" s="22">
        <v>0</v>
      </c>
      <c r="E103" s="22">
        <v>1</v>
      </c>
      <c r="F103" s="2"/>
      <c r="G103" s="2"/>
      <c r="H103" s="33" t="s">
        <v>115</v>
      </c>
      <c r="I103" s="22">
        <v>1</v>
      </c>
      <c r="J103" s="22" t="s">
        <v>114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2" t="s">
        <v>17</v>
      </c>
      <c r="B104" s="22">
        <v>0</v>
      </c>
      <c r="C104" s="22">
        <v>0</v>
      </c>
      <c r="D104" s="22">
        <v>0</v>
      </c>
      <c r="E104" s="22">
        <v>0</v>
      </c>
      <c r="F104" s="2"/>
      <c r="G104" s="2"/>
      <c r="H104" s="27" t="s">
        <v>95</v>
      </c>
      <c r="I104" s="22">
        <v>5</v>
      </c>
      <c r="J104" s="22" t="s">
        <v>94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1" t="s">
        <v>116</v>
      </c>
      <c r="B107" s="2"/>
      <c r="C107" s="2"/>
      <c r="D107" s="2"/>
      <c r="E107" s="2"/>
      <c r="F107" s="2"/>
      <c r="G107" s="2"/>
      <c r="H107" s="21" t="s">
        <v>85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1" t="s">
        <v>86</v>
      </c>
      <c r="B108" s="1" t="s">
        <v>4</v>
      </c>
      <c r="C108" s="1" t="s">
        <v>5</v>
      </c>
      <c r="D108" s="1" t="s">
        <v>6</v>
      </c>
      <c r="E108" s="1" t="s">
        <v>7</v>
      </c>
      <c r="F108" s="2"/>
      <c r="G108" s="2"/>
      <c r="H108" s="1" t="s">
        <v>87</v>
      </c>
      <c r="I108" s="1" t="s">
        <v>88</v>
      </c>
      <c r="J108" s="1" t="s">
        <v>89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5" t="s">
        <v>90</v>
      </c>
      <c r="B109" s="25">
        <v>1</v>
      </c>
      <c r="C109" s="25">
        <v>0</v>
      </c>
      <c r="D109" s="25">
        <v>1</v>
      </c>
      <c r="E109" s="25">
        <v>1</v>
      </c>
      <c r="F109" s="2"/>
      <c r="G109" s="2"/>
      <c r="H109" s="25" t="s">
        <v>91</v>
      </c>
      <c r="I109" s="25">
        <v>3</v>
      </c>
      <c r="J109" s="25" t="s">
        <v>92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2" t="s">
        <v>15</v>
      </c>
      <c r="B110" s="22">
        <v>1</v>
      </c>
      <c r="C110" s="22">
        <v>0</v>
      </c>
      <c r="D110" s="22">
        <v>0</v>
      </c>
      <c r="E110" s="22">
        <v>0</v>
      </c>
      <c r="F110" s="2"/>
      <c r="G110" s="2"/>
      <c r="H110" s="34" t="s">
        <v>117</v>
      </c>
      <c r="I110" s="22">
        <v>1</v>
      </c>
      <c r="J110" s="22" t="s">
        <v>108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2" t="s">
        <v>18</v>
      </c>
      <c r="B111" s="22">
        <v>0</v>
      </c>
      <c r="C111" s="22">
        <v>0</v>
      </c>
      <c r="D111" s="22">
        <v>1</v>
      </c>
      <c r="E111" s="22">
        <v>1</v>
      </c>
      <c r="F111" s="2"/>
      <c r="G111" s="2"/>
      <c r="H111" s="27" t="s">
        <v>95</v>
      </c>
      <c r="I111" s="22">
        <v>2</v>
      </c>
      <c r="J111" s="22" t="s">
        <v>118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2" t="s">
        <v>16</v>
      </c>
      <c r="B112" s="22">
        <v>0</v>
      </c>
      <c r="C112" s="22">
        <v>0</v>
      </c>
      <c r="D112" s="22">
        <v>0</v>
      </c>
      <c r="E112" s="22">
        <v>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2" t="s">
        <v>17</v>
      </c>
      <c r="B113" s="22">
        <v>0</v>
      </c>
      <c r="C113" s="22">
        <v>0</v>
      </c>
      <c r="D113" s="22">
        <v>0</v>
      </c>
      <c r="E113" s="22">
        <v>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2" t="s">
        <v>19</v>
      </c>
      <c r="B114" s="22">
        <v>0</v>
      </c>
      <c r="C114" s="22">
        <v>0</v>
      </c>
      <c r="D114" s="22">
        <v>0</v>
      </c>
      <c r="E114" s="22">
        <v>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1" t="s">
        <v>119</v>
      </c>
      <c r="B117" s="2"/>
      <c r="C117" s="2"/>
      <c r="D117" s="2"/>
      <c r="E117" s="2"/>
      <c r="F117" s="2"/>
      <c r="G117" s="2"/>
      <c r="H117" s="21" t="s">
        <v>85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1" t="s">
        <v>86</v>
      </c>
      <c r="B118" s="1" t="s">
        <v>4</v>
      </c>
      <c r="C118" s="1" t="s">
        <v>5</v>
      </c>
      <c r="D118" s="1" t="s">
        <v>6</v>
      </c>
      <c r="E118" s="1" t="s">
        <v>7</v>
      </c>
      <c r="F118" s="2"/>
      <c r="G118" s="2"/>
      <c r="H118" s="1" t="s">
        <v>87</v>
      </c>
      <c r="I118" s="1" t="s">
        <v>88</v>
      </c>
      <c r="J118" s="1" t="s">
        <v>89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5" t="s">
        <v>90</v>
      </c>
      <c r="B119" s="25">
        <v>10</v>
      </c>
      <c r="C119" s="25">
        <v>6</v>
      </c>
      <c r="D119" s="25"/>
      <c r="E119" s="25"/>
      <c r="F119" s="2"/>
      <c r="G119" s="2"/>
      <c r="H119" s="25" t="s">
        <v>91</v>
      </c>
      <c r="I119" s="25">
        <v>16</v>
      </c>
      <c r="J119" s="25" t="s">
        <v>92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2" t="s">
        <v>15</v>
      </c>
      <c r="B120" s="22">
        <v>2</v>
      </c>
      <c r="C120" s="22">
        <v>3</v>
      </c>
      <c r="D120" s="22"/>
      <c r="E120" s="22"/>
      <c r="F120" s="2"/>
      <c r="G120" s="2"/>
      <c r="H120" s="28" t="s">
        <v>97</v>
      </c>
      <c r="I120" s="22">
        <v>4</v>
      </c>
      <c r="J120" s="22" t="s">
        <v>101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2" t="s">
        <v>16</v>
      </c>
      <c r="B121" s="22">
        <v>5</v>
      </c>
      <c r="C121" s="22">
        <v>1</v>
      </c>
      <c r="D121" s="22"/>
      <c r="E121" s="22"/>
      <c r="F121" s="2"/>
      <c r="G121" s="2"/>
      <c r="H121" s="30" t="s">
        <v>105</v>
      </c>
      <c r="I121" s="22">
        <v>2</v>
      </c>
      <c r="J121" s="22" t="s">
        <v>120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2" t="s">
        <v>19</v>
      </c>
      <c r="B122" s="22">
        <v>3</v>
      </c>
      <c r="C122" s="22">
        <v>2</v>
      </c>
      <c r="D122" s="22"/>
      <c r="E122" s="22"/>
      <c r="F122" s="2"/>
      <c r="G122" s="2"/>
      <c r="H122" s="35" t="s">
        <v>121</v>
      </c>
      <c r="I122" s="22">
        <v>2</v>
      </c>
      <c r="J122" s="22" t="s">
        <v>120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2" t="s">
        <v>17</v>
      </c>
      <c r="B123" s="22">
        <v>0</v>
      </c>
      <c r="C123" s="22">
        <v>0</v>
      </c>
      <c r="D123" s="22"/>
      <c r="E123" s="22"/>
      <c r="F123" s="2"/>
      <c r="G123" s="2"/>
      <c r="H123" s="29" t="s">
        <v>122</v>
      </c>
      <c r="I123" s="22">
        <v>1</v>
      </c>
      <c r="J123" s="22" t="s">
        <v>123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2" t="s">
        <v>18</v>
      </c>
      <c r="B124" s="22">
        <v>0</v>
      </c>
      <c r="C124" s="22">
        <v>0</v>
      </c>
      <c r="D124" s="22"/>
      <c r="E124" s="22"/>
      <c r="F124" s="2"/>
      <c r="G124" s="2"/>
      <c r="H124" s="36" t="s">
        <v>124</v>
      </c>
      <c r="I124" s="22">
        <v>1</v>
      </c>
      <c r="J124" s="22" t="s">
        <v>123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2"/>
      <c r="C125" s="2"/>
      <c r="D125" s="2"/>
      <c r="E125" s="2"/>
      <c r="F125" s="2"/>
      <c r="G125" s="2"/>
      <c r="H125" s="31" t="s">
        <v>106</v>
      </c>
      <c r="I125" s="22">
        <v>2</v>
      </c>
      <c r="J125" s="22" t="s">
        <v>120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2"/>
      <c r="C126" s="2"/>
      <c r="D126" s="2"/>
      <c r="E126" s="2"/>
      <c r="F126" s="2"/>
      <c r="G126" s="2"/>
      <c r="H126" s="37" t="s">
        <v>125</v>
      </c>
      <c r="I126" s="22">
        <v>1</v>
      </c>
      <c r="J126" s="22" t="s">
        <v>123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2"/>
      <c r="C127" s="2"/>
      <c r="D127" s="2"/>
      <c r="E127" s="2"/>
      <c r="F127" s="2"/>
      <c r="G127" s="2"/>
      <c r="H127" s="38" t="s">
        <v>126</v>
      </c>
      <c r="I127" s="22">
        <v>1</v>
      </c>
      <c r="J127" s="22" t="s">
        <v>123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2"/>
      <c r="C128" s="2"/>
      <c r="D128" s="2"/>
      <c r="E128" s="2"/>
      <c r="F128" s="2"/>
      <c r="G128" s="2"/>
      <c r="H128" s="27" t="s">
        <v>95</v>
      </c>
      <c r="I128" s="22">
        <v>2</v>
      </c>
      <c r="J128" s="22" t="s">
        <v>120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59765625" defaultRowHeight="15" customHeight="1"/>
  <cols>
    <col min="1" max="1" width="35.3984375" customWidth="1"/>
    <col min="2" max="13" width="11.19921875" customWidth="1"/>
    <col min="14" max="26" width="10.59765625" customWidth="1"/>
  </cols>
  <sheetData>
    <row r="1" spans="1:26" ht="13.5" customHeight="1">
      <c r="A1" s="21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39" t="s">
        <v>67</v>
      </c>
      <c r="B3" s="39" t="s">
        <v>68</v>
      </c>
      <c r="C3" s="39" t="s">
        <v>69</v>
      </c>
      <c r="D3" s="39" t="s">
        <v>70</v>
      </c>
      <c r="E3" s="39" t="s">
        <v>71</v>
      </c>
      <c r="F3" s="39" t="s">
        <v>72</v>
      </c>
      <c r="G3" s="39" t="s">
        <v>73</v>
      </c>
      <c r="H3" s="39" t="s">
        <v>74</v>
      </c>
      <c r="I3" s="39" t="s">
        <v>75</v>
      </c>
      <c r="J3" s="39" t="s">
        <v>76</v>
      </c>
      <c r="K3" s="39" t="s">
        <v>77</v>
      </c>
      <c r="L3" s="39" t="s">
        <v>78</v>
      </c>
      <c r="M3" s="39" t="s">
        <v>79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2" t="s">
        <v>34</v>
      </c>
      <c r="B4" s="22" t="s">
        <v>128</v>
      </c>
      <c r="C4" s="23">
        <v>45688</v>
      </c>
      <c r="D4" s="22">
        <v>0</v>
      </c>
      <c r="E4" s="22">
        <v>0</v>
      </c>
      <c r="F4" s="22">
        <v>1</v>
      </c>
      <c r="G4" s="22">
        <v>0</v>
      </c>
      <c r="H4" s="22">
        <v>1</v>
      </c>
      <c r="I4" s="24">
        <v>2.7000000000000001E-3</v>
      </c>
      <c r="J4" s="22">
        <v>0</v>
      </c>
      <c r="K4" s="24">
        <v>0</v>
      </c>
      <c r="L4" s="22">
        <v>0</v>
      </c>
      <c r="M4" s="24">
        <v>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22" t="s">
        <v>35</v>
      </c>
      <c r="B5" s="22" t="s">
        <v>128</v>
      </c>
      <c r="C5" s="23">
        <v>45688</v>
      </c>
      <c r="D5" s="22">
        <v>0</v>
      </c>
      <c r="E5" s="22">
        <v>1</v>
      </c>
      <c r="F5" s="22">
        <v>0</v>
      </c>
      <c r="G5" s="22">
        <v>1</v>
      </c>
      <c r="H5" s="22">
        <v>2</v>
      </c>
      <c r="I5" s="24">
        <v>8.5000000000000006E-3</v>
      </c>
      <c r="J5" s="22">
        <v>0</v>
      </c>
      <c r="K5" s="24">
        <v>0</v>
      </c>
      <c r="L5" s="22">
        <v>0</v>
      </c>
      <c r="M5" s="24"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22" t="s">
        <v>36</v>
      </c>
      <c r="B6" s="22" t="s">
        <v>128</v>
      </c>
      <c r="C6" s="23">
        <v>45688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4">
        <v>0</v>
      </c>
      <c r="J6" s="22">
        <v>0</v>
      </c>
      <c r="K6" s="24">
        <v>0</v>
      </c>
      <c r="L6" s="22">
        <v>0</v>
      </c>
      <c r="M6" s="24"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2" t="s">
        <v>37</v>
      </c>
      <c r="B7" s="22" t="s">
        <v>81</v>
      </c>
      <c r="C7" s="23">
        <v>45693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4">
        <v>0</v>
      </c>
      <c r="J7" s="22">
        <v>1</v>
      </c>
      <c r="K7" s="24">
        <v>8.0000000000000004E-4</v>
      </c>
      <c r="L7" s="22">
        <v>0</v>
      </c>
      <c r="M7" s="24"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22" t="s">
        <v>38</v>
      </c>
      <c r="B8" s="22" t="s">
        <v>81</v>
      </c>
      <c r="C8" s="23">
        <v>45693</v>
      </c>
      <c r="D8" s="22">
        <v>1</v>
      </c>
      <c r="E8" s="22">
        <v>0</v>
      </c>
      <c r="F8" s="22">
        <v>0</v>
      </c>
      <c r="G8" s="22">
        <v>0</v>
      </c>
      <c r="H8" s="22">
        <v>1</v>
      </c>
      <c r="I8" s="24">
        <v>1.1000000000000001E-3</v>
      </c>
      <c r="J8" s="22">
        <v>1</v>
      </c>
      <c r="K8" s="24">
        <v>8.0000000000000004E-4</v>
      </c>
      <c r="L8" s="22">
        <v>1</v>
      </c>
      <c r="M8" s="24">
        <v>1.1000000000000001E-3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22" t="s">
        <v>42</v>
      </c>
      <c r="B9" s="22" t="s">
        <v>80</v>
      </c>
      <c r="C9" s="23">
        <v>45728</v>
      </c>
      <c r="D9" s="22">
        <v>1</v>
      </c>
      <c r="E9" s="22">
        <v>0</v>
      </c>
      <c r="F9" s="22">
        <v>1</v>
      </c>
      <c r="G9" s="22">
        <v>0</v>
      </c>
      <c r="H9" s="22">
        <v>2</v>
      </c>
      <c r="I9" s="24">
        <v>3.7000000000000002E-3</v>
      </c>
      <c r="J9" s="22"/>
      <c r="K9" s="24"/>
      <c r="L9" s="22"/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22" t="s">
        <v>39</v>
      </c>
      <c r="B10" s="22" t="s">
        <v>81</v>
      </c>
      <c r="C10" s="23">
        <v>45728</v>
      </c>
      <c r="D10" s="22">
        <v>5</v>
      </c>
      <c r="E10" s="22">
        <v>8</v>
      </c>
      <c r="F10" s="22">
        <v>2</v>
      </c>
      <c r="G10" s="22">
        <v>1</v>
      </c>
      <c r="H10" s="22">
        <v>16</v>
      </c>
      <c r="I10" s="24">
        <v>8.8999999999999999E-3</v>
      </c>
      <c r="J10" s="22"/>
      <c r="K10" s="24"/>
      <c r="L10" s="22"/>
      <c r="M10" s="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22" t="s">
        <v>43</v>
      </c>
      <c r="B11" s="22" t="s">
        <v>81</v>
      </c>
      <c r="C11" s="23">
        <v>45730</v>
      </c>
      <c r="D11" s="22">
        <v>4</v>
      </c>
      <c r="E11" s="22">
        <v>2</v>
      </c>
      <c r="F11" s="22">
        <v>3</v>
      </c>
      <c r="G11" s="22">
        <v>1</v>
      </c>
      <c r="H11" s="22">
        <v>10</v>
      </c>
      <c r="I11" s="24">
        <v>7.1999999999999998E-3</v>
      </c>
      <c r="J11" s="22"/>
      <c r="K11" s="24"/>
      <c r="L11" s="22"/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2" t="s">
        <v>44</v>
      </c>
      <c r="B12" s="22" t="s">
        <v>81</v>
      </c>
      <c r="C12" s="23">
        <v>45748</v>
      </c>
      <c r="D12" s="22">
        <v>0</v>
      </c>
      <c r="E12" s="22">
        <v>3</v>
      </c>
      <c r="F12" s="22">
        <v>1</v>
      </c>
      <c r="G12" s="22">
        <v>0</v>
      </c>
      <c r="H12" s="22">
        <v>4</v>
      </c>
      <c r="I12" s="24">
        <v>5.4000000000000003E-3</v>
      </c>
      <c r="J12" s="22"/>
      <c r="K12" s="24"/>
      <c r="L12" s="22"/>
      <c r="M12" s="2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>
      <c r="A13" s="22" t="s">
        <v>47</v>
      </c>
      <c r="B13" s="22" t="s">
        <v>81</v>
      </c>
      <c r="C13" s="23">
        <v>45751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4">
        <v>0</v>
      </c>
      <c r="J13" s="22"/>
      <c r="K13" s="24"/>
      <c r="L13" s="22"/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22" t="s">
        <v>45</v>
      </c>
      <c r="B14" s="22" t="s">
        <v>81</v>
      </c>
      <c r="C14" s="23">
        <v>45751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4">
        <v>0</v>
      </c>
      <c r="J14" s="22"/>
      <c r="K14" s="24"/>
      <c r="L14" s="22"/>
      <c r="M14" s="2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22" t="s">
        <v>46</v>
      </c>
      <c r="B15" s="22" t="s">
        <v>81</v>
      </c>
      <c r="C15" s="23">
        <v>45751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4">
        <v>0</v>
      </c>
      <c r="J15" s="22"/>
      <c r="K15" s="24"/>
      <c r="L15" s="22"/>
      <c r="M15" s="2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2" t="s">
        <v>50</v>
      </c>
      <c r="B16" s="22" t="s">
        <v>81</v>
      </c>
      <c r="C16" s="23">
        <v>45751</v>
      </c>
      <c r="D16" s="22">
        <v>2</v>
      </c>
      <c r="E16" s="22">
        <v>1</v>
      </c>
      <c r="F16" s="22">
        <v>3</v>
      </c>
      <c r="G16" s="22">
        <v>1</v>
      </c>
      <c r="H16" s="22">
        <v>7</v>
      </c>
      <c r="I16" s="24">
        <v>1E-3</v>
      </c>
      <c r="J16" s="22"/>
      <c r="K16" s="24"/>
      <c r="L16" s="22"/>
      <c r="M16" s="2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22" t="s">
        <v>49</v>
      </c>
      <c r="B17" s="22" t="s">
        <v>81</v>
      </c>
      <c r="C17" s="23">
        <v>45751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4">
        <v>0</v>
      </c>
      <c r="J17" s="22"/>
      <c r="K17" s="24"/>
      <c r="L17" s="22"/>
      <c r="M17" s="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2" t="s">
        <v>48</v>
      </c>
      <c r="B18" s="22" t="s">
        <v>81</v>
      </c>
      <c r="C18" s="23">
        <v>45751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4">
        <v>0</v>
      </c>
      <c r="J18" s="22"/>
      <c r="K18" s="24"/>
      <c r="L18" s="22"/>
      <c r="M18" s="2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22" t="s">
        <v>51</v>
      </c>
      <c r="B19" s="22" t="s">
        <v>81</v>
      </c>
      <c r="C19" s="23">
        <v>45762</v>
      </c>
      <c r="D19" s="22">
        <v>2</v>
      </c>
      <c r="E19" s="22">
        <v>5</v>
      </c>
      <c r="F19" s="22">
        <v>1</v>
      </c>
      <c r="G19" s="22"/>
      <c r="H19" s="22"/>
      <c r="I19" s="24"/>
      <c r="J19" s="22"/>
      <c r="K19" s="24"/>
      <c r="L19" s="22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22" t="s">
        <v>52</v>
      </c>
      <c r="B20" s="22" t="s">
        <v>81</v>
      </c>
      <c r="C20" s="23">
        <v>45762</v>
      </c>
      <c r="D20" s="22">
        <v>1</v>
      </c>
      <c r="E20" s="22">
        <v>0</v>
      </c>
      <c r="F20" s="22">
        <v>1</v>
      </c>
      <c r="G20" s="22"/>
      <c r="H20" s="22"/>
      <c r="I20" s="24"/>
      <c r="J20" s="22"/>
      <c r="K20" s="24"/>
      <c r="L20" s="22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22" t="s">
        <v>53</v>
      </c>
      <c r="B21" s="22" t="s">
        <v>81</v>
      </c>
      <c r="C21" s="23">
        <v>45763</v>
      </c>
      <c r="D21" s="22">
        <v>1</v>
      </c>
      <c r="E21" s="22">
        <v>0</v>
      </c>
      <c r="F21" s="22"/>
      <c r="G21" s="22"/>
      <c r="H21" s="22"/>
      <c r="I21" s="24"/>
      <c r="J21" s="22"/>
      <c r="K21" s="24"/>
      <c r="L21" s="22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22" t="s">
        <v>54</v>
      </c>
      <c r="B22" s="22" t="s">
        <v>82</v>
      </c>
      <c r="C22" s="23">
        <v>45772</v>
      </c>
      <c r="D22" s="22">
        <v>3</v>
      </c>
      <c r="E22" s="22"/>
      <c r="F22" s="22"/>
      <c r="G22" s="22"/>
      <c r="H22" s="22"/>
      <c r="I22" s="24"/>
      <c r="J22" s="22"/>
      <c r="K22" s="24"/>
      <c r="L22" s="22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22" t="s">
        <v>56</v>
      </c>
      <c r="B23" s="22" t="s">
        <v>83</v>
      </c>
      <c r="C23" s="23">
        <v>45776</v>
      </c>
      <c r="D23" s="22">
        <v>2</v>
      </c>
      <c r="E23" s="22"/>
      <c r="F23" s="22"/>
      <c r="G23" s="22"/>
      <c r="H23" s="22"/>
      <c r="I23" s="24"/>
      <c r="J23" s="22"/>
      <c r="K23" s="24"/>
      <c r="L23" s="22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22" t="s">
        <v>57</v>
      </c>
      <c r="B24" s="22" t="s">
        <v>83</v>
      </c>
      <c r="C24" s="23">
        <v>45776</v>
      </c>
      <c r="D24" s="22">
        <v>0</v>
      </c>
      <c r="E24" s="22"/>
      <c r="F24" s="22"/>
      <c r="G24" s="22"/>
      <c r="H24" s="22"/>
      <c r="I24" s="24"/>
      <c r="J24" s="22"/>
      <c r="K24" s="24"/>
      <c r="L24" s="22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22" t="s">
        <v>58</v>
      </c>
      <c r="B25" s="22" t="s">
        <v>83</v>
      </c>
      <c r="C25" s="23">
        <v>45776</v>
      </c>
      <c r="D25" s="22">
        <v>1</v>
      </c>
      <c r="E25" s="22"/>
      <c r="F25" s="22"/>
      <c r="G25" s="22"/>
      <c r="H25" s="22"/>
      <c r="I25" s="24"/>
      <c r="J25" s="22"/>
      <c r="K25" s="24"/>
      <c r="L25" s="22"/>
      <c r="M25" s="2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22" t="s">
        <v>59</v>
      </c>
      <c r="B26" s="22" t="s">
        <v>83</v>
      </c>
      <c r="C26" s="23">
        <v>45776</v>
      </c>
      <c r="D26" s="22">
        <v>1</v>
      </c>
      <c r="E26" s="22"/>
      <c r="F26" s="22"/>
      <c r="G26" s="22"/>
      <c r="H26" s="22"/>
      <c r="I26" s="24"/>
      <c r="J26" s="22"/>
      <c r="K26" s="24"/>
      <c r="L26" s="22"/>
      <c r="M26" s="2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2" t="s">
        <v>60</v>
      </c>
      <c r="B27" s="22" t="s">
        <v>83</v>
      </c>
      <c r="C27" s="23">
        <v>45776</v>
      </c>
      <c r="D27" s="22">
        <v>1</v>
      </c>
      <c r="E27" s="22"/>
      <c r="F27" s="22"/>
      <c r="G27" s="22"/>
      <c r="H27" s="22"/>
      <c r="I27" s="24"/>
      <c r="J27" s="22"/>
      <c r="K27" s="24"/>
      <c r="L27" s="22"/>
      <c r="M27" s="2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22" t="s">
        <v>55</v>
      </c>
      <c r="B28" s="22" t="s">
        <v>81</v>
      </c>
      <c r="C28" s="23">
        <v>45776</v>
      </c>
      <c r="D28" s="22">
        <v>10</v>
      </c>
      <c r="E28" s="22"/>
      <c r="F28" s="22"/>
      <c r="G28" s="22"/>
      <c r="H28" s="22"/>
      <c r="I28" s="24"/>
      <c r="J28" s="22"/>
      <c r="K28" s="24"/>
      <c r="L28" s="22"/>
      <c r="M28" s="2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21" t="s">
        <v>84</v>
      </c>
      <c r="B31" s="2"/>
      <c r="C31" s="2"/>
      <c r="D31" s="2"/>
      <c r="E31" s="2"/>
      <c r="F31" s="2"/>
      <c r="G31" s="2"/>
      <c r="H31" s="21" t="s">
        <v>85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1" t="s">
        <v>86</v>
      </c>
      <c r="B32" s="1" t="s">
        <v>4</v>
      </c>
      <c r="C32" s="1" t="s">
        <v>5</v>
      </c>
      <c r="D32" s="1" t="s">
        <v>6</v>
      </c>
      <c r="E32" s="1" t="s">
        <v>7</v>
      </c>
      <c r="F32" s="2"/>
      <c r="G32" s="2"/>
      <c r="H32" s="1" t="s">
        <v>87</v>
      </c>
      <c r="I32" s="1" t="s">
        <v>88</v>
      </c>
      <c r="J32" s="1" t="s">
        <v>89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25" t="s">
        <v>90</v>
      </c>
      <c r="B33" s="25">
        <v>1</v>
      </c>
      <c r="C33" s="25">
        <v>0</v>
      </c>
      <c r="D33" s="25"/>
      <c r="E33" s="25"/>
      <c r="F33" s="2"/>
      <c r="G33" s="2"/>
      <c r="H33" s="25" t="s">
        <v>91</v>
      </c>
      <c r="I33" s="25">
        <v>1</v>
      </c>
      <c r="J33" s="25" t="s">
        <v>92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2" t="s">
        <v>16</v>
      </c>
      <c r="B34" s="22">
        <v>1</v>
      </c>
      <c r="C34" s="22">
        <v>0</v>
      </c>
      <c r="D34" s="22"/>
      <c r="E34" s="22"/>
      <c r="F34" s="2"/>
      <c r="G34" s="2"/>
      <c r="H34" s="26" t="s">
        <v>93</v>
      </c>
      <c r="I34" s="22">
        <v>1</v>
      </c>
      <c r="J34" s="22" t="s">
        <v>92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22" t="s">
        <v>19</v>
      </c>
      <c r="B35" s="22">
        <v>0</v>
      </c>
      <c r="C35" s="22">
        <v>0</v>
      </c>
      <c r="D35" s="22"/>
      <c r="E35" s="2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2" t="s">
        <v>15</v>
      </c>
      <c r="B36" s="22">
        <v>0</v>
      </c>
      <c r="C36" s="22">
        <v>0</v>
      </c>
      <c r="D36" s="22"/>
      <c r="E36" s="2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2" t="s">
        <v>17</v>
      </c>
      <c r="B37" s="22">
        <v>0</v>
      </c>
      <c r="C37" s="22">
        <v>0</v>
      </c>
      <c r="D37" s="22"/>
      <c r="E37" s="2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2" t="s">
        <v>18</v>
      </c>
      <c r="B38" s="22">
        <v>0</v>
      </c>
      <c r="C38" s="22">
        <v>0</v>
      </c>
      <c r="D38" s="22"/>
      <c r="E38" s="2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2" t="s">
        <v>20</v>
      </c>
      <c r="B39" s="22">
        <v>0</v>
      </c>
      <c r="C39" s="22">
        <v>0</v>
      </c>
      <c r="D39" s="22"/>
      <c r="E39" s="2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1" t="s">
        <v>129</v>
      </c>
      <c r="B42" s="2"/>
      <c r="C42" s="2"/>
      <c r="D42" s="2"/>
      <c r="E42" s="2"/>
      <c r="F42" s="2"/>
      <c r="G42" s="2"/>
      <c r="H42" s="21" t="s">
        <v>85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1" t="s">
        <v>86</v>
      </c>
      <c r="B43" s="1" t="s">
        <v>4</v>
      </c>
      <c r="C43" s="1" t="s">
        <v>5</v>
      </c>
      <c r="D43" s="1" t="s">
        <v>6</v>
      </c>
      <c r="E43" s="1" t="s">
        <v>7</v>
      </c>
      <c r="F43" s="2"/>
      <c r="G43" s="2"/>
      <c r="H43" s="1" t="s">
        <v>87</v>
      </c>
      <c r="I43" s="1" t="s">
        <v>88</v>
      </c>
      <c r="J43" s="1" t="s">
        <v>89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5" t="s">
        <v>90</v>
      </c>
      <c r="B44" s="25">
        <v>3</v>
      </c>
      <c r="C44" s="25"/>
      <c r="D44" s="25"/>
      <c r="E44" s="25"/>
      <c r="F44" s="2"/>
      <c r="G44" s="2"/>
      <c r="H44" s="25" t="s">
        <v>91</v>
      </c>
      <c r="I44" s="25">
        <v>3</v>
      </c>
      <c r="J44" s="25" t="s">
        <v>92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2" t="s">
        <v>18</v>
      </c>
      <c r="B45" s="22">
        <v>3</v>
      </c>
      <c r="C45" s="22"/>
      <c r="D45" s="22"/>
      <c r="E45" s="22"/>
      <c r="F45" s="2"/>
      <c r="G45" s="2"/>
      <c r="H45" s="28" t="s">
        <v>97</v>
      </c>
      <c r="I45" s="22">
        <v>3</v>
      </c>
      <c r="J45" s="22" t="s">
        <v>92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22" t="s">
        <v>15</v>
      </c>
      <c r="B46" s="22">
        <v>0</v>
      </c>
      <c r="C46" s="22"/>
      <c r="D46" s="22"/>
      <c r="E46" s="2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2" t="s">
        <v>16</v>
      </c>
      <c r="B47" s="22">
        <v>0</v>
      </c>
      <c r="C47" s="22"/>
      <c r="D47" s="22"/>
      <c r="E47" s="2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2" t="s">
        <v>17</v>
      </c>
      <c r="B48" s="22">
        <v>0</v>
      </c>
      <c r="C48" s="22"/>
      <c r="D48" s="22"/>
      <c r="E48" s="2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2" t="s">
        <v>20</v>
      </c>
      <c r="B49" s="22">
        <v>0</v>
      </c>
      <c r="C49" s="22"/>
      <c r="D49" s="22"/>
      <c r="E49" s="2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1" t="s">
        <v>130</v>
      </c>
      <c r="B52" s="2"/>
      <c r="C52" s="2"/>
      <c r="D52" s="2"/>
      <c r="E52" s="2"/>
      <c r="F52" s="2"/>
      <c r="G52" s="2"/>
      <c r="H52" s="21" t="s">
        <v>85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1" t="s">
        <v>86</v>
      </c>
      <c r="B53" s="1" t="s">
        <v>4</v>
      </c>
      <c r="C53" s="1" t="s">
        <v>5</v>
      </c>
      <c r="D53" s="1" t="s">
        <v>6</v>
      </c>
      <c r="E53" s="1" t="s">
        <v>7</v>
      </c>
      <c r="F53" s="2"/>
      <c r="G53" s="2"/>
      <c r="H53" s="1" t="s">
        <v>87</v>
      </c>
      <c r="I53" s="1" t="s">
        <v>88</v>
      </c>
      <c r="J53" s="1" t="s">
        <v>89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5" t="s">
        <v>90</v>
      </c>
      <c r="B54" s="25">
        <v>2</v>
      </c>
      <c r="C54" s="25"/>
      <c r="D54" s="25"/>
      <c r="E54" s="25"/>
      <c r="F54" s="2"/>
      <c r="G54" s="2"/>
      <c r="H54" s="25" t="s">
        <v>91</v>
      </c>
      <c r="I54" s="25">
        <v>2</v>
      </c>
      <c r="J54" s="25" t="s">
        <v>92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2" t="s">
        <v>16</v>
      </c>
      <c r="B55" s="22">
        <v>1</v>
      </c>
      <c r="C55" s="22"/>
      <c r="D55" s="22"/>
      <c r="E55" s="22"/>
      <c r="F55" s="2"/>
      <c r="G55" s="2"/>
      <c r="H55" s="28" t="s">
        <v>97</v>
      </c>
      <c r="I55" s="22">
        <v>2</v>
      </c>
      <c r="J55" s="22" t="s">
        <v>92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2" t="s">
        <v>18</v>
      </c>
      <c r="B56" s="22">
        <v>1</v>
      </c>
      <c r="C56" s="22"/>
      <c r="D56" s="22"/>
      <c r="E56" s="2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2" t="s">
        <v>15</v>
      </c>
      <c r="B57" s="22">
        <v>0</v>
      </c>
      <c r="C57" s="22"/>
      <c r="D57" s="22"/>
      <c r="E57" s="2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2" t="s">
        <v>17</v>
      </c>
      <c r="B58" s="22">
        <v>0</v>
      </c>
      <c r="C58" s="22"/>
      <c r="D58" s="22"/>
      <c r="E58" s="2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2" t="s">
        <v>20</v>
      </c>
      <c r="B59" s="22">
        <v>0</v>
      </c>
      <c r="C59" s="22"/>
      <c r="D59" s="22"/>
      <c r="E59" s="2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1" t="s">
        <v>131</v>
      </c>
      <c r="B62" s="2"/>
      <c r="C62" s="2"/>
      <c r="D62" s="2"/>
      <c r="E62" s="2"/>
      <c r="F62" s="2"/>
      <c r="G62" s="2"/>
      <c r="H62" s="21" t="s">
        <v>85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1" t="s">
        <v>86</v>
      </c>
      <c r="B63" s="1" t="s">
        <v>4</v>
      </c>
      <c r="C63" s="1" t="s">
        <v>5</v>
      </c>
      <c r="D63" s="1" t="s">
        <v>6</v>
      </c>
      <c r="E63" s="1" t="s">
        <v>7</v>
      </c>
      <c r="F63" s="2"/>
      <c r="G63" s="2"/>
      <c r="H63" s="1" t="s">
        <v>87</v>
      </c>
      <c r="I63" s="1" t="s">
        <v>88</v>
      </c>
      <c r="J63" s="1" t="s">
        <v>89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5" t="s">
        <v>90</v>
      </c>
      <c r="B64" s="25">
        <v>1</v>
      </c>
      <c r="C64" s="25"/>
      <c r="D64" s="25"/>
      <c r="E64" s="25"/>
      <c r="F64" s="2"/>
      <c r="G64" s="2"/>
      <c r="H64" s="25" t="s">
        <v>91</v>
      </c>
      <c r="I64" s="25">
        <v>1</v>
      </c>
      <c r="J64" s="25" t="s">
        <v>92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2" t="s">
        <v>16</v>
      </c>
      <c r="B65" s="22">
        <v>1</v>
      </c>
      <c r="C65" s="22"/>
      <c r="D65" s="22"/>
      <c r="E65" s="22"/>
      <c r="F65" s="2"/>
      <c r="G65" s="2"/>
      <c r="H65" s="28" t="s">
        <v>97</v>
      </c>
      <c r="I65" s="22">
        <v>1</v>
      </c>
      <c r="J65" s="22" t="s">
        <v>92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2" t="s">
        <v>15</v>
      </c>
      <c r="B66" s="22">
        <v>0</v>
      </c>
      <c r="C66" s="22"/>
      <c r="D66" s="22"/>
      <c r="E66" s="2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2" t="s">
        <v>17</v>
      </c>
      <c r="B67" s="22">
        <v>0</v>
      </c>
      <c r="C67" s="22"/>
      <c r="D67" s="22"/>
      <c r="E67" s="2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2" t="s">
        <v>18</v>
      </c>
      <c r="B68" s="22">
        <v>0</v>
      </c>
      <c r="C68" s="22"/>
      <c r="D68" s="22"/>
      <c r="E68" s="2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2" t="s">
        <v>20</v>
      </c>
      <c r="B69" s="22">
        <v>0</v>
      </c>
      <c r="C69" s="22"/>
      <c r="D69" s="22"/>
      <c r="E69" s="2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1" t="s">
        <v>104</v>
      </c>
      <c r="B72" s="2"/>
      <c r="C72" s="2"/>
      <c r="D72" s="2"/>
      <c r="E72" s="2"/>
      <c r="F72" s="2"/>
      <c r="G72" s="2"/>
      <c r="H72" s="21" t="s">
        <v>85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1" t="s">
        <v>86</v>
      </c>
      <c r="B73" s="1" t="s">
        <v>4</v>
      </c>
      <c r="C73" s="1" t="s">
        <v>5</v>
      </c>
      <c r="D73" s="1" t="s">
        <v>6</v>
      </c>
      <c r="E73" s="1" t="s">
        <v>7</v>
      </c>
      <c r="F73" s="2"/>
      <c r="G73" s="2"/>
      <c r="H73" s="1" t="s">
        <v>87</v>
      </c>
      <c r="I73" s="1" t="s">
        <v>88</v>
      </c>
      <c r="J73" s="1" t="s">
        <v>89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5" t="s">
        <v>90</v>
      </c>
      <c r="B74" s="25">
        <v>1</v>
      </c>
      <c r="C74" s="25"/>
      <c r="D74" s="25"/>
      <c r="E74" s="25"/>
      <c r="F74" s="2"/>
      <c r="G74" s="2"/>
      <c r="H74" s="25" t="s">
        <v>91</v>
      </c>
      <c r="I74" s="25">
        <v>1</v>
      </c>
      <c r="J74" s="25" t="s">
        <v>92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2" t="s">
        <v>20</v>
      </c>
      <c r="B75" s="22">
        <v>1</v>
      </c>
      <c r="C75" s="22"/>
      <c r="D75" s="22"/>
      <c r="E75" s="22"/>
      <c r="F75" s="2"/>
      <c r="G75" s="2"/>
      <c r="H75" s="30" t="s">
        <v>105</v>
      </c>
      <c r="I75" s="22">
        <v>1</v>
      </c>
      <c r="J75" s="22" t="s">
        <v>92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2" t="s">
        <v>15</v>
      </c>
      <c r="B76" s="22">
        <v>0</v>
      </c>
      <c r="C76" s="22"/>
      <c r="D76" s="22"/>
      <c r="E76" s="2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2" t="s">
        <v>16</v>
      </c>
      <c r="B77" s="22">
        <v>0</v>
      </c>
      <c r="C77" s="22"/>
      <c r="D77" s="22"/>
      <c r="E77" s="2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2" t="s">
        <v>17</v>
      </c>
      <c r="B78" s="22">
        <v>0</v>
      </c>
      <c r="C78" s="22"/>
      <c r="D78" s="22"/>
      <c r="E78" s="2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2" t="s">
        <v>18</v>
      </c>
      <c r="B79" s="22">
        <v>0</v>
      </c>
      <c r="C79" s="22"/>
      <c r="D79" s="22"/>
      <c r="E79" s="2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1" t="s">
        <v>132</v>
      </c>
      <c r="B82" s="2"/>
      <c r="C82" s="2"/>
      <c r="D82" s="2"/>
      <c r="E82" s="2"/>
      <c r="F82" s="2"/>
      <c r="G82" s="2"/>
      <c r="H82" s="21" t="s">
        <v>85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1" t="s">
        <v>86</v>
      </c>
      <c r="B83" s="1" t="s">
        <v>4</v>
      </c>
      <c r="C83" s="1" t="s">
        <v>5</v>
      </c>
      <c r="D83" s="1" t="s">
        <v>6</v>
      </c>
      <c r="E83" s="1" t="s">
        <v>7</v>
      </c>
      <c r="F83" s="2"/>
      <c r="G83" s="2"/>
      <c r="H83" s="1" t="s">
        <v>87</v>
      </c>
      <c r="I83" s="1" t="s">
        <v>88</v>
      </c>
      <c r="J83" s="1" t="s">
        <v>89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5" t="s">
        <v>90</v>
      </c>
      <c r="B84" s="25">
        <v>1</v>
      </c>
      <c r="C84" s="25"/>
      <c r="D84" s="25"/>
      <c r="E84" s="25"/>
      <c r="F84" s="2"/>
      <c r="G84" s="2"/>
      <c r="H84" s="25" t="s">
        <v>91</v>
      </c>
      <c r="I84" s="25">
        <v>1</v>
      </c>
      <c r="J84" s="25" t="s">
        <v>92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2" t="s">
        <v>20</v>
      </c>
      <c r="B85" s="22">
        <v>1</v>
      </c>
      <c r="C85" s="22"/>
      <c r="D85" s="22"/>
      <c r="E85" s="22"/>
      <c r="F85" s="2"/>
      <c r="G85" s="2"/>
      <c r="H85" s="30" t="s">
        <v>105</v>
      </c>
      <c r="I85" s="22">
        <v>1</v>
      </c>
      <c r="J85" s="22" t="s">
        <v>92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2" t="s">
        <v>15</v>
      </c>
      <c r="B86" s="22">
        <v>0</v>
      </c>
      <c r="C86" s="22"/>
      <c r="D86" s="22"/>
      <c r="E86" s="2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2" t="s">
        <v>16</v>
      </c>
      <c r="B87" s="22">
        <v>0</v>
      </c>
      <c r="C87" s="22"/>
      <c r="D87" s="22"/>
      <c r="E87" s="2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22" t="s">
        <v>17</v>
      </c>
      <c r="B88" s="22">
        <v>0</v>
      </c>
      <c r="C88" s="22"/>
      <c r="D88" s="22"/>
      <c r="E88" s="2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2" t="s">
        <v>18</v>
      </c>
      <c r="B89" s="22">
        <v>0</v>
      </c>
      <c r="C89" s="22"/>
      <c r="D89" s="22"/>
      <c r="E89" s="2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1" t="s">
        <v>133</v>
      </c>
      <c r="B92" s="2"/>
      <c r="C92" s="2"/>
      <c r="D92" s="2"/>
      <c r="E92" s="2"/>
      <c r="F92" s="2"/>
      <c r="G92" s="2"/>
      <c r="H92" s="21" t="s">
        <v>85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1" t="s">
        <v>86</v>
      </c>
      <c r="B93" s="1" t="s">
        <v>4</v>
      </c>
      <c r="C93" s="1" t="s">
        <v>5</v>
      </c>
      <c r="D93" s="1" t="s">
        <v>6</v>
      </c>
      <c r="E93" s="1" t="s">
        <v>7</v>
      </c>
      <c r="F93" s="2"/>
      <c r="G93" s="2"/>
      <c r="H93" s="1" t="s">
        <v>87</v>
      </c>
      <c r="I93" s="1" t="s">
        <v>88</v>
      </c>
      <c r="J93" s="1" t="s">
        <v>89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5" t="s">
        <v>90</v>
      </c>
      <c r="B94" s="25">
        <v>2</v>
      </c>
      <c r="C94" s="25">
        <v>1</v>
      </c>
      <c r="D94" s="25">
        <v>3</v>
      </c>
      <c r="E94" s="25">
        <v>1</v>
      </c>
      <c r="F94" s="2"/>
      <c r="G94" s="2"/>
      <c r="H94" s="25" t="s">
        <v>91</v>
      </c>
      <c r="I94" s="25">
        <v>7</v>
      </c>
      <c r="J94" s="25" t="s">
        <v>92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2" t="s">
        <v>16</v>
      </c>
      <c r="B95" s="22">
        <v>0</v>
      </c>
      <c r="C95" s="22">
        <v>0</v>
      </c>
      <c r="D95" s="22">
        <v>1</v>
      </c>
      <c r="E95" s="22">
        <v>0</v>
      </c>
      <c r="F95" s="2"/>
      <c r="G95" s="2"/>
      <c r="H95" s="28" t="s">
        <v>97</v>
      </c>
      <c r="I95" s="22">
        <v>1</v>
      </c>
      <c r="J95" s="22" t="s">
        <v>134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2" t="s">
        <v>18</v>
      </c>
      <c r="B96" s="22">
        <v>2</v>
      </c>
      <c r="C96" s="22">
        <v>1</v>
      </c>
      <c r="D96" s="22">
        <v>0</v>
      </c>
      <c r="E96" s="22">
        <v>0</v>
      </c>
      <c r="F96" s="2"/>
      <c r="G96" s="2"/>
      <c r="H96" s="26" t="s">
        <v>93</v>
      </c>
      <c r="I96" s="22">
        <v>1</v>
      </c>
      <c r="J96" s="22" t="s">
        <v>134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2" t="s">
        <v>19</v>
      </c>
      <c r="B97" s="22">
        <v>0</v>
      </c>
      <c r="C97" s="22">
        <v>0</v>
      </c>
      <c r="D97" s="22">
        <v>2</v>
      </c>
      <c r="E97" s="22">
        <v>1</v>
      </c>
      <c r="F97" s="2"/>
      <c r="G97" s="2"/>
      <c r="H97" s="31" t="s">
        <v>106</v>
      </c>
      <c r="I97" s="22">
        <v>4</v>
      </c>
      <c r="J97" s="22" t="s">
        <v>135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2" t="s">
        <v>15</v>
      </c>
      <c r="B98" s="22">
        <v>0</v>
      </c>
      <c r="C98" s="22">
        <v>0</v>
      </c>
      <c r="D98" s="22">
        <v>0</v>
      </c>
      <c r="E98" s="22">
        <v>0</v>
      </c>
      <c r="F98" s="2"/>
      <c r="G98" s="2"/>
      <c r="H98" s="27" t="s">
        <v>95</v>
      </c>
      <c r="I98" s="22">
        <v>1</v>
      </c>
      <c r="J98" s="22" t="s">
        <v>134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1" t="s">
        <v>136</v>
      </c>
      <c r="B101" s="2"/>
      <c r="C101" s="2"/>
      <c r="D101" s="2"/>
      <c r="E101" s="2"/>
      <c r="F101" s="2"/>
      <c r="G101" s="2"/>
      <c r="H101" s="21" t="s">
        <v>85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1" t="s">
        <v>86</v>
      </c>
      <c r="B102" s="1" t="s">
        <v>4</v>
      </c>
      <c r="C102" s="1" t="s">
        <v>5</v>
      </c>
      <c r="D102" s="1" t="s">
        <v>6</v>
      </c>
      <c r="E102" s="1" t="s">
        <v>7</v>
      </c>
      <c r="F102" s="2"/>
      <c r="G102" s="2"/>
      <c r="H102" s="1" t="s">
        <v>87</v>
      </c>
      <c r="I102" s="1" t="s">
        <v>88</v>
      </c>
      <c r="J102" s="1" t="s">
        <v>89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5" t="s">
        <v>90</v>
      </c>
      <c r="B103" s="25">
        <v>2</v>
      </c>
      <c r="C103" s="25">
        <v>5</v>
      </c>
      <c r="D103" s="25">
        <v>1</v>
      </c>
      <c r="E103" s="25"/>
      <c r="F103" s="2"/>
      <c r="G103" s="2"/>
      <c r="H103" s="25" t="s">
        <v>91</v>
      </c>
      <c r="I103" s="25">
        <v>8</v>
      </c>
      <c r="J103" s="25" t="s">
        <v>92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2" t="s">
        <v>15</v>
      </c>
      <c r="B104" s="22">
        <v>1</v>
      </c>
      <c r="C104" s="22">
        <v>0</v>
      </c>
      <c r="D104" s="22">
        <v>1</v>
      </c>
      <c r="E104" s="22"/>
      <c r="F104" s="2"/>
      <c r="G104" s="2"/>
      <c r="H104" s="28" t="s">
        <v>97</v>
      </c>
      <c r="I104" s="22">
        <v>2</v>
      </c>
      <c r="J104" s="22" t="s">
        <v>101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2" t="s">
        <v>16</v>
      </c>
      <c r="B105" s="22">
        <v>0</v>
      </c>
      <c r="C105" s="22">
        <v>3</v>
      </c>
      <c r="D105" s="22">
        <v>0</v>
      </c>
      <c r="E105" s="22"/>
      <c r="F105" s="2"/>
      <c r="G105" s="2"/>
      <c r="H105" s="33" t="s">
        <v>115</v>
      </c>
      <c r="I105" s="22">
        <v>1</v>
      </c>
      <c r="J105" s="22" t="s">
        <v>120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2" t="s">
        <v>18</v>
      </c>
      <c r="B106" s="22">
        <v>0</v>
      </c>
      <c r="C106" s="22">
        <v>1</v>
      </c>
      <c r="D106" s="22">
        <v>0</v>
      </c>
      <c r="E106" s="22"/>
      <c r="F106" s="2"/>
      <c r="G106" s="2"/>
      <c r="H106" s="27" t="s">
        <v>95</v>
      </c>
      <c r="I106" s="22">
        <v>5</v>
      </c>
      <c r="J106" s="22" t="s">
        <v>137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2" t="s">
        <v>19</v>
      </c>
      <c r="B107" s="22">
        <v>1</v>
      </c>
      <c r="C107" s="22">
        <v>1</v>
      </c>
      <c r="D107" s="22">
        <v>0</v>
      </c>
      <c r="E107" s="2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2" t="s">
        <v>17</v>
      </c>
      <c r="B108" s="22">
        <v>0</v>
      </c>
      <c r="C108" s="22">
        <v>0</v>
      </c>
      <c r="D108" s="22">
        <v>0</v>
      </c>
      <c r="E108" s="2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1" t="s">
        <v>138</v>
      </c>
      <c r="B111" s="2"/>
      <c r="C111" s="2"/>
      <c r="D111" s="2"/>
      <c r="E111" s="2"/>
      <c r="F111" s="2"/>
      <c r="G111" s="2"/>
      <c r="H111" s="21" t="s">
        <v>85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1" t="s">
        <v>86</v>
      </c>
      <c r="B112" s="1" t="s">
        <v>4</v>
      </c>
      <c r="C112" s="1" t="s">
        <v>5</v>
      </c>
      <c r="D112" s="1" t="s">
        <v>6</v>
      </c>
      <c r="E112" s="1" t="s">
        <v>7</v>
      </c>
      <c r="F112" s="2"/>
      <c r="G112" s="2"/>
      <c r="H112" s="1" t="s">
        <v>87</v>
      </c>
      <c r="I112" s="1" t="s">
        <v>88</v>
      </c>
      <c r="J112" s="1" t="s">
        <v>89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5" t="s">
        <v>90</v>
      </c>
      <c r="B113" s="25">
        <v>0</v>
      </c>
      <c r="C113" s="25">
        <v>3</v>
      </c>
      <c r="D113" s="25">
        <v>1</v>
      </c>
      <c r="E113" s="25">
        <v>0</v>
      </c>
      <c r="F113" s="2"/>
      <c r="G113" s="2"/>
      <c r="H113" s="25" t="s">
        <v>91</v>
      </c>
      <c r="I113" s="25">
        <v>4</v>
      </c>
      <c r="J113" s="25" t="s">
        <v>92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2" t="s">
        <v>16</v>
      </c>
      <c r="B114" s="22">
        <v>0</v>
      </c>
      <c r="C114" s="22">
        <v>2</v>
      </c>
      <c r="D114" s="22">
        <v>0</v>
      </c>
      <c r="E114" s="22">
        <v>0</v>
      </c>
      <c r="F114" s="2"/>
      <c r="G114" s="2"/>
      <c r="H114" s="31" t="s">
        <v>106</v>
      </c>
      <c r="I114" s="22">
        <v>2</v>
      </c>
      <c r="J114" s="22" t="s">
        <v>94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2" t="s">
        <v>18</v>
      </c>
      <c r="B115" s="22">
        <v>0</v>
      </c>
      <c r="C115" s="22">
        <v>1</v>
      </c>
      <c r="D115" s="22">
        <v>0</v>
      </c>
      <c r="E115" s="22">
        <v>0</v>
      </c>
      <c r="F115" s="2"/>
      <c r="G115" s="2"/>
      <c r="H115" s="27" t="s">
        <v>95</v>
      </c>
      <c r="I115" s="22">
        <v>2</v>
      </c>
      <c r="J115" s="22" t="s">
        <v>94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2" t="s">
        <v>19</v>
      </c>
      <c r="B116" s="22">
        <v>0</v>
      </c>
      <c r="C116" s="22">
        <v>0</v>
      </c>
      <c r="D116" s="22">
        <v>1</v>
      </c>
      <c r="E116" s="22">
        <v>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2" t="s">
        <v>15</v>
      </c>
      <c r="B117" s="22">
        <v>0</v>
      </c>
      <c r="C117" s="22">
        <v>0</v>
      </c>
      <c r="D117" s="22">
        <v>0</v>
      </c>
      <c r="E117" s="22">
        <v>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2" t="s">
        <v>20</v>
      </c>
      <c r="B118" s="22">
        <v>0</v>
      </c>
      <c r="C118" s="22">
        <v>0</v>
      </c>
      <c r="D118" s="22">
        <v>0</v>
      </c>
      <c r="E118" s="22"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1" t="s">
        <v>139</v>
      </c>
      <c r="B121" s="2"/>
      <c r="C121" s="2"/>
      <c r="D121" s="2"/>
      <c r="E121" s="2"/>
      <c r="F121" s="2"/>
      <c r="G121" s="2"/>
      <c r="H121" s="21" t="s">
        <v>85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1" t="s">
        <v>86</v>
      </c>
      <c r="B122" s="1" t="s">
        <v>4</v>
      </c>
      <c r="C122" s="1" t="s">
        <v>5</v>
      </c>
      <c r="D122" s="1" t="s">
        <v>6</v>
      </c>
      <c r="E122" s="1" t="s">
        <v>7</v>
      </c>
      <c r="F122" s="2"/>
      <c r="G122" s="2"/>
      <c r="H122" s="1" t="s">
        <v>87</v>
      </c>
      <c r="I122" s="1" t="s">
        <v>88</v>
      </c>
      <c r="J122" s="1" t="s">
        <v>89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5" t="s">
        <v>90</v>
      </c>
      <c r="B123" s="25">
        <v>1</v>
      </c>
      <c r="C123" s="25">
        <v>0</v>
      </c>
      <c r="D123" s="25">
        <v>1</v>
      </c>
      <c r="E123" s="25"/>
      <c r="F123" s="2"/>
      <c r="G123" s="2"/>
      <c r="H123" s="25" t="s">
        <v>91</v>
      </c>
      <c r="I123" s="25">
        <v>2</v>
      </c>
      <c r="J123" s="25" t="s">
        <v>92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2" t="s">
        <v>15</v>
      </c>
      <c r="B124" s="22">
        <v>1</v>
      </c>
      <c r="C124" s="22">
        <v>0</v>
      </c>
      <c r="D124" s="22">
        <v>0</v>
      </c>
      <c r="E124" s="22"/>
      <c r="F124" s="2"/>
      <c r="G124" s="2"/>
      <c r="H124" s="34" t="s">
        <v>117</v>
      </c>
      <c r="I124" s="22">
        <v>1</v>
      </c>
      <c r="J124" s="22" t="s">
        <v>94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2" t="s">
        <v>18</v>
      </c>
      <c r="B125" s="22">
        <v>0</v>
      </c>
      <c r="C125" s="22">
        <v>0</v>
      </c>
      <c r="D125" s="22">
        <v>1</v>
      </c>
      <c r="E125" s="22"/>
      <c r="F125" s="2"/>
      <c r="G125" s="2"/>
      <c r="H125" s="27" t="s">
        <v>95</v>
      </c>
      <c r="I125" s="22">
        <v>1</v>
      </c>
      <c r="J125" s="22" t="s">
        <v>94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2" t="s">
        <v>16</v>
      </c>
      <c r="B126" s="22">
        <v>0</v>
      </c>
      <c r="C126" s="22">
        <v>0</v>
      </c>
      <c r="D126" s="22">
        <v>0</v>
      </c>
      <c r="E126" s="2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2" t="s">
        <v>17</v>
      </c>
      <c r="B127" s="22">
        <v>0</v>
      </c>
      <c r="C127" s="22">
        <v>0</v>
      </c>
      <c r="D127" s="22">
        <v>0</v>
      </c>
      <c r="E127" s="2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2" t="s">
        <v>19</v>
      </c>
      <c r="B128" s="22">
        <v>0</v>
      </c>
      <c r="C128" s="22">
        <v>0</v>
      </c>
      <c r="D128" s="22">
        <v>0</v>
      </c>
      <c r="E128" s="2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1" t="s">
        <v>140</v>
      </c>
      <c r="B131" s="2"/>
      <c r="C131" s="2"/>
      <c r="D131" s="2"/>
      <c r="E131" s="2"/>
      <c r="F131" s="2"/>
      <c r="G131" s="2"/>
      <c r="H131" s="21" t="s">
        <v>85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1" t="s">
        <v>86</v>
      </c>
      <c r="B132" s="1" t="s">
        <v>4</v>
      </c>
      <c r="C132" s="1" t="s">
        <v>5</v>
      </c>
      <c r="D132" s="1" t="s">
        <v>6</v>
      </c>
      <c r="E132" s="1" t="s">
        <v>7</v>
      </c>
      <c r="F132" s="2"/>
      <c r="G132" s="2"/>
      <c r="H132" s="1" t="s">
        <v>87</v>
      </c>
      <c r="I132" s="1" t="s">
        <v>88</v>
      </c>
      <c r="J132" s="1" t="s">
        <v>89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5" t="s">
        <v>90</v>
      </c>
      <c r="B133" s="25">
        <v>10</v>
      </c>
      <c r="C133" s="25"/>
      <c r="D133" s="25"/>
      <c r="E133" s="25"/>
      <c r="F133" s="2"/>
      <c r="G133" s="2"/>
      <c r="H133" s="25" t="s">
        <v>91</v>
      </c>
      <c r="I133" s="25">
        <v>10</v>
      </c>
      <c r="J133" s="25" t="s">
        <v>92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2" t="s">
        <v>15</v>
      </c>
      <c r="B134" s="22">
        <v>2</v>
      </c>
      <c r="C134" s="22"/>
      <c r="D134" s="22"/>
      <c r="E134" s="22"/>
      <c r="F134" s="2"/>
      <c r="G134" s="2"/>
      <c r="H134" s="28" t="s">
        <v>97</v>
      </c>
      <c r="I134" s="22">
        <v>3</v>
      </c>
      <c r="J134" s="22" t="s">
        <v>141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2" t="s">
        <v>16</v>
      </c>
      <c r="B135" s="22">
        <v>5</v>
      </c>
      <c r="C135" s="22"/>
      <c r="D135" s="22"/>
      <c r="E135" s="22"/>
      <c r="F135" s="2"/>
      <c r="G135" s="2"/>
      <c r="H135" s="30" t="s">
        <v>105</v>
      </c>
      <c r="I135" s="22">
        <v>1</v>
      </c>
      <c r="J135" s="22" t="s">
        <v>114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2" t="s">
        <v>19</v>
      </c>
      <c r="B136" s="22">
        <v>3</v>
      </c>
      <c r="C136" s="22"/>
      <c r="D136" s="22"/>
      <c r="E136" s="22"/>
      <c r="F136" s="2"/>
      <c r="G136" s="2"/>
      <c r="H136" s="35" t="s">
        <v>121</v>
      </c>
      <c r="I136" s="22">
        <v>2</v>
      </c>
      <c r="J136" s="22" t="s">
        <v>112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2" t="s">
        <v>17</v>
      </c>
      <c r="B137" s="22">
        <v>0</v>
      </c>
      <c r="C137" s="22"/>
      <c r="D137" s="22"/>
      <c r="E137" s="22"/>
      <c r="F137" s="2"/>
      <c r="G137" s="2"/>
      <c r="H137" s="31" t="s">
        <v>106</v>
      </c>
      <c r="I137" s="22">
        <v>1</v>
      </c>
      <c r="J137" s="22" t="s">
        <v>114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2" t="s">
        <v>18</v>
      </c>
      <c r="B138" s="22">
        <v>0</v>
      </c>
      <c r="C138" s="22"/>
      <c r="D138" s="22"/>
      <c r="E138" s="22"/>
      <c r="F138" s="2"/>
      <c r="G138" s="2"/>
      <c r="H138" s="38" t="s">
        <v>126</v>
      </c>
      <c r="I138" s="22">
        <v>1</v>
      </c>
      <c r="J138" s="22" t="s">
        <v>114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7" t="s">
        <v>95</v>
      </c>
      <c r="I139" s="22">
        <v>2</v>
      </c>
      <c r="J139" s="22" t="s">
        <v>112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8"/>
  <sheetViews>
    <sheetView workbookViewId="0"/>
  </sheetViews>
  <sheetFormatPr baseColWidth="10" defaultColWidth="12.59765625" defaultRowHeight="15" customHeight="1"/>
  <cols>
    <col min="1" max="1" width="30" customWidth="1"/>
    <col min="2" max="7" width="10.59765625" customWidth="1"/>
    <col min="9" max="26" width="10.59765625" customWidth="1"/>
  </cols>
  <sheetData>
    <row r="1" spans="1:26" ht="13.5" customHeight="1">
      <c r="A1" s="2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2" t="s">
        <v>33</v>
      </c>
      <c r="B4" s="22" t="s">
        <v>81</v>
      </c>
      <c r="C4" s="23">
        <v>45681</v>
      </c>
      <c r="D4" s="22">
        <v>0</v>
      </c>
      <c r="E4" s="22">
        <v>0</v>
      </c>
      <c r="F4" s="22">
        <v>2</v>
      </c>
      <c r="G4" s="22">
        <v>2</v>
      </c>
      <c r="H4" s="22">
        <v>4</v>
      </c>
      <c r="I4" s="24">
        <v>8.9999999999999998E-4</v>
      </c>
      <c r="J4" s="22">
        <v>3</v>
      </c>
      <c r="K4" s="24">
        <v>5.0000000000000001E-4</v>
      </c>
      <c r="L4" s="22">
        <v>2</v>
      </c>
      <c r="M4" s="24">
        <v>4.0000000000000002E-4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22" t="s">
        <v>34</v>
      </c>
      <c r="B5" s="22" t="s">
        <v>128</v>
      </c>
      <c r="C5" s="23">
        <v>45688</v>
      </c>
      <c r="D5" s="22">
        <v>0</v>
      </c>
      <c r="E5" s="22">
        <v>0</v>
      </c>
      <c r="F5" s="22">
        <v>1</v>
      </c>
      <c r="G5" s="22">
        <v>0</v>
      </c>
      <c r="H5" s="22">
        <v>1</v>
      </c>
      <c r="I5" s="24">
        <v>2.7000000000000001E-3</v>
      </c>
      <c r="J5" s="22">
        <v>0</v>
      </c>
      <c r="K5" s="24">
        <v>0</v>
      </c>
      <c r="L5" s="22"/>
      <c r="M5" s="2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22" t="s">
        <v>35</v>
      </c>
      <c r="B6" s="22" t="s">
        <v>128</v>
      </c>
      <c r="C6" s="23">
        <v>45688</v>
      </c>
      <c r="D6" s="22">
        <v>0</v>
      </c>
      <c r="E6" s="22">
        <v>1</v>
      </c>
      <c r="F6" s="22">
        <v>0</v>
      </c>
      <c r="G6" s="22">
        <v>1</v>
      </c>
      <c r="H6" s="22">
        <v>2</v>
      </c>
      <c r="I6" s="24">
        <v>8.5000000000000006E-3</v>
      </c>
      <c r="J6" s="22">
        <v>0</v>
      </c>
      <c r="K6" s="24">
        <v>0</v>
      </c>
      <c r="L6" s="22"/>
      <c r="M6" s="2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2" t="s">
        <v>36</v>
      </c>
      <c r="B7" s="22" t="s">
        <v>128</v>
      </c>
      <c r="C7" s="23">
        <v>45688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4">
        <v>0</v>
      </c>
      <c r="J7" s="22">
        <v>0</v>
      </c>
      <c r="K7" s="24">
        <v>0</v>
      </c>
      <c r="L7" s="22"/>
      <c r="M7" s="2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22" t="s">
        <v>37</v>
      </c>
      <c r="B8" s="22" t="s">
        <v>81</v>
      </c>
      <c r="C8" s="23">
        <v>45693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4">
        <v>0</v>
      </c>
      <c r="J8" s="22">
        <v>1</v>
      </c>
      <c r="K8" s="24">
        <v>8.0000000000000004E-4</v>
      </c>
      <c r="L8" s="22"/>
      <c r="M8" s="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22" t="s">
        <v>38</v>
      </c>
      <c r="B9" s="22" t="s">
        <v>81</v>
      </c>
      <c r="C9" s="23">
        <v>45693</v>
      </c>
      <c r="D9" s="22">
        <v>1</v>
      </c>
      <c r="E9" s="22">
        <v>0</v>
      </c>
      <c r="F9" s="22">
        <v>0</v>
      </c>
      <c r="G9" s="22">
        <v>0</v>
      </c>
      <c r="H9" s="22">
        <v>1</v>
      </c>
      <c r="I9" s="24">
        <v>1.1000000000000001E-3</v>
      </c>
      <c r="J9" s="22">
        <v>1</v>
      </c>
      <c r="K9" s="24">
        <v>8.0000000000000004E-4</v>
      </c>
      <c r="L9" s="22"/>
      <c r="M9" s="2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22" t="s">
        <v>42</v>
      </c>
      <c r="B10" s="22" t="s">
        <v>80</v>
      </c>
      <c r="C10" s="23">
        <v>45728</v>
      </c>
      <c r="D10" s="22">
        <v>1</v>
      </c>
      <c r="E10" s="22">
        <v>0</v>
      </c>
      <c r="F10" s="22">
        <v>1</v>
      </c>
      <c r="G10" s="22">
        <v>0</v>
      </c>
      <c r="H10" s="22">
        <v>2</v>
      </c>
      <c r="I10" s="24">
        <v>3.7000000000000002E-3</v>
      </c>
      <c r="J10" s="22"/>
      <c r="K10" s="24"/>
      <c r="L10" s="22"/>
      <c r="M10" s="2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22" t="s">
        <v>39</v>
      </c>
      <c r="B11" s="22" t="s">
        <v>81</v>
      </c>
      <c r="C11" s="23">
        <v>45728</v>
      </c>
      <c r="D11" s="22">
        <v>5</v>
      </c>
      <c r="E11" s="22">
        <v>8</v>
      </c>
      <c r="F11" s="22">
        <v>2</v>
      </c>
      <c r="G11" s="22">
        <v>1</v>
      </c>
      <c r="H11" s="22">
        <v>16</v>
      </c>
      <c r="I11" s="24">
        <v>8.8999999999999999E-3</v>
      </c>
      <c r="J11" s="22"/>
      <c r="K11" s="24"/>
      <c r="L11" s="22"/>
      <c r="M11" s="2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2" t="s">
        <v>43</v>
      </c>
      <c r="B12" s="22" t="s">
        <v>81</v>
      </c>
      <c r="C12" s="23">
        <v>45730</v>
      </c>
      <c r="D12" s="22">
        <v>4</v>
      </c>
      <c r="E12" s="22">
        <v>2</v>
      </c>
      <c r="F12" s="22">
        <v>3</v>
      </c>
      <c r="G12" s="22">
        <v>1</v>
      </c>
      <c r="H12" s="22">
        <v>10</v>
      </c>
      <c r="I12" s="24">
        <v>7.1999999999999998E-3</v>
      </c>
      <c r="J12" s="22"/>
      <c r="K12" s="24"/>
      <c r="L12" s="22"/>
      <c r="M12" s="2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>
      <c r="A13" s="22" t="s">
        <v>44</v>
      </c>
      <c r="B13" s="22" t="s">
        <v>81</v>
      </c>
      <c r="C13" s="23">
        <v>45748</v>
      </c>
      <c r="D13" s="22">
        <v>0</v>
      </c>
      <c r="E13" s="22">
        <v>3</v>
      </c>
      <c r="F13" s="22">
        <v>1</v>
      </c>
      <c r="G13" s="22"/>
      <c r="H13" s="22"/>
      <c r="I13" s="24"/>
      <c r="J13" s="22"/>
      <c r="K13" s="24"/>
      <c r="L13" s="22"/>
      <c r="M13" s="2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22" t="s">
        <v>47</v>
      </c>
      <c r="B14" s="22" t="s">
        <v>81</v>
      </c>
      <c r="C14" s="23">
        <v>45751</v>
      </c>
      <c r="D14" s="22">
        <v>0</v>
      </c>
      <c r="E14" s="22">
        <v>0</v>
      </c>
      <c r="F14" s="22"/>
      <c r="G14" s="22"/>
      <c r="H14" s="22"/>
      <c r="I14" s="24"/>
      <c r="J14" s="22"/>
      <c r="K14" s="24"/>
      <c r="L14" s="22"/>
      <c r="M14" s="2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22" t="s">
        <v>45</v>
      </c>
      <c r="B15" s="22" t="s">
        <v>81</v>
      </c>
      <c r="C15" s="23">
        <v>45751</v>
      </c>
      <c r="D15" s="22">
        <v>0</v>
      </c>
      <c r="E15" s="22">
        <v>0</v>
      </c>
      <c r="F15" s="22"/>
      <c r="G15" s="22"/>
      <c r="H15" s="22"/>
      <c r="I15" s="24"/>
      <c r="J15" s="22"/>
      <c r="K15" s="24"/>
      <c r="L15" s="22"/>
      <c r="M15" s="2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2" t="s">
        <v>46</v>
      </c>
      <c r="B16" s="22" t="s">
        <v>81</v>
      </c>
      <c r="C16" s="23">
        <v>45751</v>
      </c>
      <c r="D16" s="22">
        <v>0</v>
      </c>
      <c r="E16" s="22">
        <v>0</v>
      </c>
      <c r="F16" s="22"/>
      <c r="G16" s="22"/>
      <c r="H16" s="22"/>
      <c r="I16" s="24"/>
      <c r="J16" s="22"/>
      <c r="K16" s="24"/>
      <c r="L16" s="22"/>
      <c r="M16" s="2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22" t="s">
        <v>50</v>
      </c>
      <c r="B17" s="22" t="s">
        <v>81</v>
      </c>
      <c r="C17" s="23">
        <v>45751</v>
      </c>
      <c r="D17" s="22">
        <v>2</v>
      </c>
      <c r="E17" s="22">
        <v>1</v>
      </c>
      <c r="F17" s="22"/>
      <c r="G17" s="22"/>
      <c r="H17" s="22"/>
      <c r="I17" s="24"/>
      <c r="J17" s="22"/>
      <c r="K17" s="24"/>
      <c r="L17" s="22"/>
      <c r="M17" s="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2" t="s">
        <v>49</v>
      </c>
      <c r="B18" s="22" t="s">
        <v>81</v>
      </c>
      <c r="C18" s="23">
        <v>45751</v>
      </c>
      <c r="D18" s="22">
        <v>0</v>
      </c>
      <c r="E18" s="22">
        <v>0</v>
      </c>
      <c r="F18" s="22"/>
      <c r="G18" s="22"/>
      <c r="H18" s="22"/>
      <c r="I18" s="24"/>
      <c r="J18" s="22"/>
      <c r="K18" s="24"/>
      <c r="L18" s="22"/>
      <c r="M18" s="2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22" t="s">
        <v>48</v>
      </c>
      <c r="B19" s="22" t="s">
        <v>81</v>
      </c>
      <c r="C19" s="23">
        <v>45751</v>
      </c>
      <c r="D19" s="22">
        <v>0</v>
      </c>
      <c r="E19" s="22">
        <v>0</v>
      </c>
      <c r="F19" s="22"/>
      <c r="G19" s="22"/>
      <c r="H19" s="22"/>
      <c r="I19" s="24"/>
      <c r="J19" s="22"/>
      <c r="K19" s="24"/>
      <c r="L19" s="22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22" t="s">
        <v>51</v>
      </c>
      <c r="B20" s="22" t="s">
        <v>81</v>
      </c>
      <c r="C20" s="23">
        <v>45762</v>
      </c>
      <c r="D20" s="22">
        <v>2</v>
      </c>
      <c r="E20" s="22"/>
      <c r="F20" s="22"/>
      <c r="G20" s="22"/>
      <c r="H20" s="22"/>
      <c r="I20" s="24"/>
      <c r="J20" s="22"/>
      <c r="K20" s="24"/>
      <c r="L20" s="22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22" t="s">
        <v>52</v>
      </c>
      <c r="B21" s="22" t="s">
        <v>81</v>
      </c>
      <c r="C21" s="23">
        <v>45762</v>
      </c>
      <c r="D21" s="22">
        <v>1</v>
      </c>
      <c r="E21" s="22"/>
      <c r="F21" s="22"/>
      <c r="G21" s="22"/>
      <c r="H21" s="22"/>
      <c r="I21" s="24"/>
      <c r="J21" s="22"/>
      <c r="K21" s="24"/>
      <c r="L21" s="22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22" t="s">
        <v>53</v>
      </c>
      <c r="B22" s="22" t="s">
        <v>81</v>
      </c>
      <c r="C22" s="23">
        <v>45763</v>
      </c>
      <c r="D22" s="22">
        <v>0</v>
      </c>
      <c r="E22" s="22"/>
      <c r="F22" s="22"/>
      <c r="G22" s="22"/>
      <c r="H22" s="22"/>
      <c r="I22" s="24"/>
      <c r="J22" s="22"/>
      <c r="K22" s="24"/>
      <c r="L22" s="22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21" t="s">
        <v>143</v>
      </c>
      <c r="B25" s="2"/>
      <c r="C25" s="2"/>
      <c r="D25" s="2"/>
      <c r="E25" s="2"/>
      <c r="F25" s="2"/>
      <c r="G25" s="2"/>
      <c r="H25" s="21" t="s">
        <v>85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1" t="s">
        <v>86</v>
      </c>
      <c r="B26" s="1" t="s">
        <v>4</v>
      </c>
      <c r="C26" s="1" t="s">
        <v>5</v>
      </c>
      <c r="D26" s="1" t="s">
        <v>6</v>
      </c>
      <c r="E26" s="1" t="s">
        <v>7</v>
      </c>
      <c r="F26" s="2"/>
      <c r="G26" s="2"/>
      <c r="H26" s="1" t="s">
        <v>87</v>
      </c>
      <c r="I26" s="1" t="s">
        <v>88</v>
      </c>
      <c r="J26" s="1" t="s">
        <v>89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5" t="s">
        <v>90</v>
      </c>
      <c r="B27" s="25">
        <v>1</v>
      </c>
      <c r="C27" s="25">
        <v>0</v>
      </c>
      <c r="D27" s="25">
        <v>1</v>
      </c>
      <c r="E27" s="25">
        <v>0</v>
      </c>
      <c r="F27" s="2"/>
      <c r="G27" s="2"/>
      <c r="H27" s="25" t="s">
        <v>91</v>
      </c>
      <c r="I27" s="25">
        <v>2</v>
      </c>
      <c r="J27" s="25" t="s">
        <v>92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22" t="s">
        <v>15</v>
      </c>
      <c r="B28" s="22">
        <v>1</v>
      </c>
      <c r="C28" s="22">
        <v>0</v>
      </c>
      <c r="D28" s="22">
        <v>1</v>
      </c>
      <c r="E28" s="22">
        <v>0</v>
      </c>
      <c r="F28" s="2"/>
      <c r="G28" s="2"/>
      <c r="H28" s="28" t="s">
        <v>97</v>
      </c>
      <c r="I28" s="22">
        <v>1</v>
      </c>
      <c r="J28" s="22" t="s">
        <v>94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2" t="s">
        <v>16</v>
      </c>
      <c r="B29" s="22">
        <v>0</v>
      </c>
      <c r="C29" s="22">
        <v>0</v>
      </c>
      <c r="D29" s="22">
        <v>0</v>
      </c>
      <c r="E29" s="22">
        <v>0</v>
      </c>
      <c r="F29" s="2"/>
      <c r="G29" s="2"/>
      <c r="H29" s="32" t="s">
        <v>113</v>
      </c>
      <c r="I29" s="22">
        <v>1</v>
      </c>
      <c r="J29" s="22" t="s">
        <v>94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2" t="s">
        <v>17</v>
      </c>
      <c r="B30" s="22">
        <v>0</v>
      </c>
      <c r="C30" s="22">
        <v>0</v>
      </c>
      <c r="D30" s="22">
        <v>0</v>
      </c>
      <c r="E30" s="22"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22" t="s">
        <v>18</v>
      </c>
      <c r="B31" s="22">
        <v>0</v>
      </c>
      <c r="C31" s="22">
        <v>0</v>
      </c>
      <c r="D31" s="22">
        <v>0</v>
      </c>
      <c r="E31" s="22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2" t="s">
        <v>19</v>
      </c>
      <c r="B32" s="22">
        <v>0</v>
      </c>
      <c r="C32" s="22">
        <v>0</v>
      </c>
      <c r="D32" s="22">
        <v>0</v>
      </c>
      <c r="E32" s="22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22" t="s">
        <v>20</v>
      </c>
      <c r="B33" s="22">
        <v>0</v>
      </c>
      <c r="C33" s="22">
        <v>0</v>
      </c>
      <c r="D33" s="22">
        <v>0</v>
      </c>
      <c r="E33" s="22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1" t="s">
        <v>133</v>
      </c>
      <c r="B36" s="2"/>
      <c r="C36" s="2"/>
      <c r="D36" s="2"/>
      <c r="E36" s="2"/>
      <c r="F36" s="2"/>
      <c r="G36" s="2"/>
      <c r="H36" s="21" t="s">
        <v>85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1" t="s">
        <v>86</v>
      </c>
      <c r="B37" s="1" t="s">
        <v>4</v>
      </c>
      <c r="C37" s="1" t="s">
        <v>5</v>
      </c>
      <c r="D37" s="1" t="s">
        <v>6</v>
      </c>
      <c r="E37" s="1" t="s">
        <v>7</v>
      </c>
      <c r="F37" s="2"/>
      <c r="G37" s="2"/>
      <c r="H37" s="1" t="s">
        <v>87</v>
      </c>
      <c r="I37" s="1" t="s">
        <v>88</v>
      </c>
      <c r="J37" s="1" t="s">
        <v>89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5" t="s">
        <v>90</v>
      </c>
      <c r="B38" s="25">
        <v>2</v>
      </c>
      <c r="C38" s="25">
        <v>1</v>
      </c>
      <c r="D38" s="25"/>
      <c r="E38" s="25"/>
      <c r="F38" s="2"/>
      <c r="G38" s="2"/>
      <c r="H38" s="25" t="s">
        <v>91</v>
      </c>
      <c r="I38" s="25">
        <v>3</v>
      </c>
      <c r="J38" s="25" t="s">
        <v>92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2" t="s">
        <v>16</v>
      </c>
      <c r="B39" s="22">
        <v>0</v>
      </c>
      <c r="C39" s="22">
        <v>0</v>
      </c>
      <c r="D39" s="22"/>
      <c r="E39" s="22"/>
      <c r="F39" s="2"/>
      <c r="G39" s="2"/>
      <c r="H39" s="28" t="s">
        <v>97</v>
      </c>
      <c r="I39" s="22">
        <v>1</v>
      </c>
      <c r="J39" s="22" t="s">
        <v>108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2" t="s">
        <v>18</v>
      </c>
      <c r="B40" s="22">
        <v>2</v>
      </c>
      <c r="C40" s="22">
        <v>1</v>
      </c>
      <c r="D40" s="22"/>
      <c r="E40" s="22"/>
      <c r="F40" s="2"/>
      <c r="G40" s="2"/>
      <c r="H40" s="31" t="s">
        <v>106</v>
      </c>
      <c r="I40" s="22">
        <v>2</v>
      </c>
      <c r="J40" s="22" t="s">
        <v>118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2" t="s">
        <v>19</v>
      </c>
      <c r="B41" s="22">
        <v>0</v>
      </c>
      <c r="C41" s="22">
        <v>0</v>
      </c>
      <c r="D41" s="22"/>
      <c r="E41" s="2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2" t="s">
        <v>15</v>
      </c>
      <c r="B42" s="22">
        <v>0</v>
      </c>
      <c r="C42" s="22">
        <v>0</v>
      </c>
      <c r="D42" s="22"/>
      <c r="E42" s="2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1" t="s">
        <v>136</v>
      </c>
      <c r="B45" s="2"/>
      <c r="C45" s="2"/>
      <c r="D45" s="2"/>
      <c r="E45" s="2"/>
      <c r="F45" s="2"/>
      <c r="G45" s="2"/>
      <c r="H45" s="21" t="s">
        <v>85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1" t="s">
        <v>86</v>
      </c>
      <c r="B46" s="1" t="s">
        <v>4</v>
      </c>
      <c r="C46" s="1" t="s">
        <v>5</v>
      </c>
      <c r="D46" s="1" t="s">
        <v>6</v>
      </c>
      <c r="E46" s="1" t="s">
        <v>7</v>
      </c>
      <c r="F46" s="2"/>
      <c r="G46" s="2"/>
      <c r="H46" s="1" t="s">
        <v>87</v>
      </c>
      <c r="I46" s="1" t="s">
        <v>88</v>
      </c>
      <c r="J46" s="1" t="s">
        <v>89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5" t="s">
        <v>90</v>
      </c>
      <c r="B47" s="25">
        <v>2</v>
      </c>
      <c r="C47" s="25"/>
      <c r="D47" s="25"/>
      <c r="E47" s="25"/>
      <c r="F47" s="2"/>
      <c r="G47" s="2"/>
      <c r="H47" s="25" t="s">
        <v>91</v>
      </c>
      <c r="I47" s="25">
        <v>2</v>
      </c>
      <c r="J47" s="25" t="s">
        <v>92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2" t="s">
        <v>15</v>
      </c>
      <c r="B48" s="22">
        <v>1</v>
      </c>
      <c r="C48" s="22"/>
      <c r="D48" s="22"/>
      <c r="E48" s="22"/>
      <c r="F48" s="2"/>
      <c r="G48" s="2"/>
      <c r="H48" s="40" t="s">
        <v>144</v>
      </c>
      <c r="I48" s="22">
        <v>2</v>
      </c>
      <c r="J48" s="22" t="s">
        <v>92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2" t="s">
        <v>19</v>
      </c>
      <c r="B49" s="22">
        <v>1</v>
      </c>
      <c r="C49" s="22"/>
      <c r="D49" s="22"/>
      <c r="E49" s="2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2" t="s">
        <v>16</v>
      </c>
      <c r="B50" s="22">
        <v>0</v>
      </c>
      <c r="C50" s="22"/>
      <c r="D50" s="22"/>
      <c r="E50" s="2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2" t="s">
        <v>17</v>
      </c>
      <c r="B51" s="22">
        <v>0</v>
      </c>
      <c r="C51" s="22"/>
      <c r="D51" s="22"/>
      <c r="E51" s="2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2" t="s">
        <v>18</v>
      </c>
      <c r="B52" s="22">
        <v>0</v>
      </c>
      <c r="C52" s="22"/>
      <c r="D52" s="22"/>
      <c r="E52" s="2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21" t="s">
        <v>145</v>
      </c>
      <c r="B55" s="2"/>
      <c r="C55" s="2"/>
      <c r="D55" s="2"/>
      <c r="E55" s="2"/>
      <c r="F55" s="2"/>
      <c r="G55" s="2"/>
      <c r="H55" s="21" t="s">
        <v>85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1" t="s">
        <v>86</v>
      </c>
      <c r="B56" s="1" t="s">
        <v>4</v>
      </c>
      <c r="C56" s="1" t="s">
        <v>5</v>
      </c>
      <c r="D56" s="1" t="s">
        <v>6</v>
      </c>
      <c r="E56" s="1" t="s">
        <v>7</v>
      </c>
      <c r="F56" s="2"/>
      <c r="G56" s="2"/>
      <c r="H56" s="1" t="s">
        <v>87</v>
      </c>
      <c r="I56" s="1" t="s">
        <v>88</v>
      </c>
      <c r="J56" s="1" t="s">
        <v>89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5" t="s">
        <v>90</v>
      </c>
      <c r="B57" s="25">
        <v>5</v>
      </c>
      <c r="C57" s="25">
        <v>8</v>
      </c>
      <c r="D57" s="25">
        <v>2</v>
      </c>
      <c r="E57" s="25">
        <v>1</v>
      </c>
      <c r="F57" s="2"/>
      <c r="G57" s="2"/>
      <c r="H57" s="25" t="s">
        <v>91</v>
      </c>
      <c r="I57" s="25">
        <v>16</v>
      </c>
      <c r="J57" s="25" t="s">
        <v>92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2" t="s">
        <v>15</v>
      </c>
      <c r="B58" s="22">
        <v>0</v>
      </c>
      <c r="C58" s="22">
        <v>4</v>
      </c>
      <c r="D58" s="22">
        <v>0</v>
      </c>
      <c r="E58" s="22">
        <v>0</v>
      </c>
      <c r="F58" s="2"/>
      <c r="G58" s="2"/>
      <c r="H58" s="28" t="s">
        <v>97</v>
      </c>
      <c r="I58" s="22">
        <v>2</v>
      </c>
      <c r="J58" s="22" t="s">
        <v>120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2" t="s">
        <v>18</v>
      </c>
      <c r="B59" s="22">
        <v>0</v>
      </c>
      <c r="C59" s="22">
        <v>2</v>
      </c>
      <c r="D59" s="22">
        <v>1</v>
      </c>
      <c r="E59" s="22">
        <v>0</v>
      </c>
      <c r="F59" s="2"/>
      <c r="G59" s="2"/>
      <c r="H59" s="29" t="s">
        <v>146</v>
      </c>
      <c r="I59" s="22">
        <v>4</v>
      </c>
      <c r="J59" s="22" t="s">
        <v>101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2" t="s">
        <v>19</v>
      </c>
      <c r="B60" s="22">
        <v>5</v>
      </c>
      <c r="C60" s="22">
        <v>1</v>
      </c>
      <c r="D60" s="22">
        <v>0</v>
      </c>
      <c r="E60" s="22">
        <v>1</v>
      </c>
      <c r="F60" s="2"/>
      <c r="G60" s="2"/>
      <c r="H60" s="40" t="s">
        <v>144</v>
      </c>
      <c r="I60" s="22">
        <v>10</v>
      </c>
      <c r="J60" s="22" t="s">
        <v>137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2" t="s">
        <v>20</v>
      </c>
      <c r="B61" s="22">
        <v>0</v>
      </c>
      <c r="C61" s="22">
        <v>1</v>
      </c>
      <c r="D61" s="22">
        <v>1</v>
      </c>
      <c r="E61" s="22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2" t="s">
        <v>16</v>
      </c>
      <c r="B62" s="22">
        <v>0</v>
      </c>
      <c r="C62" s="22">
        <v>0</v>
      </c>
      <c r="D62" s="22">
        <v>0</v>
      </c>
      <c r="E62" s="22"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21" t="s">
        <v>138</v>
      </c>
      <c r="B65" s="2"/>
      <c r="C65" s="2"/>
      <c r="D65" s="2"/>
      <c r="E65" s="2"/>
      <c r="F65" s="2"/>
      <c r="G65" s="2"/>
      <c r="H65" s="21" t="s">
        <v>85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1" t="s">
        <v>86</v>
      </c>
      <c r="B66" s="1" t="s">
        <v>4</v>
      </c>
      <c r="C66" s="1" t="s">
        <v>5</v>
      </c>
      <c r="D66" s="1" t="s">
        <v>6</v>
      </c>
      <c r="E66" s="1" t="s">
        <v>7</v>
      </c>
      <c r="F66" s="2"/>
      <c r="G66" s="2"/>
      <c r="H66" s="1" t="s">
        <v>87</v>
      </c>
      <c r="I66" s="1" t="s">
        <v>88</v>
      </c>
      <c r="J66" s="1" t="s">
        <v>89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5" t="s">
        <v>90</v>
      </c>
      <c r="B67" s="25">
        <v>0</v>
      </c>
      <c r="C67" s="25">
        <v>3</v>
      </c>
      <c r="D67" s="25">
        <v>1</v>
      </c>
      <c r="E67" s="25"/>
      <c r="F67" s="2"/>
      <c r="G67" s="2"/>
      <c r="H67" s="25" t="s">
        <v>91</v>
      </c>
      <c r="I67" s="25">
        <v>4</v>
      </c>
      <c r="J67" s="25" t="s">
        <v>92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2" t="s">
        <v>16</v>
      </c>
      <c r="B68" s="22">
        <v>0</v>
      </c>
      <c r="C68" s="22">
        <v>2</v>
      </c>
      <c r="D68" s="22">
        <v>0</v>
      </c>
      <c r="E68" s="22"/>
      <c r="F68" s="2"/>
      <c r="G68" s="2"/>
      <c r="H68" s="40" t="s">
        <v>144</v>
      </c>
      <c r="I68" s="22">
        <v>2</v>
      </c>
      <c r="J68" s="22" t="s">
        <v>94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2" t="s">
        <v>18</v>
      </c>
      <c r="B69" s="22">
        <v>0</v>
      </c>
      <c r="C69" s="22">
        <v>1</v>
      </c>
      <c r="D69" s="22">
        <v>0</v>
      </c>
      <c r="E69" s="22"/>
      <c r="F69" s="2"/>
      <c r="G69" s="2"/>
      <c r="H69" s="31" t="s">
        <v>106</v>
      </c>
      <c r="I69" s="22">
        <v>2</v>
      </c>
      <c r="J69" s="22" t="s">
        <v>94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2" t="s">
        <v>19</v>
      </c>
      <c r="B70" s="22">
        <v>0</v>
      </c>
      <c r="C70" s="22">
        <v>0</v>
      </c>
      <c r="D70" s="22">
        <v>1</v>
      </c>
      <c r="E70" s="2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2" t="s">
        <v>15</v>
      </c>
      <c r="B71" s="22">
        <v>0</v>
      </c>
      <c r="C71" s="22">
        <v>0</v>
      </c>
      <c r="D71" s="22">
        <v>0</v>
      </c>
      <c r="E71" s="2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2" t="s">
        <v>20</v>
      </c>
      <c r="B72" s="22">
        <v>0</v>
      </c>
      <c r="C72" s="22">
        <v>0</v>
      </c>
      <c r="D72" s="22">
        <v>0</v>
      </c>
      <c r="E72" s="2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21" t="s">
        <v>147</v>
      </c>
      <c r="B75" s="2"/>
      <c r="C75" s="2"/>
      <c r="D75" s="2"/>
      <c r="E75" s="2"/>
      <c r="F75" s="2"/>
      <c r="G75" s="2"/>
      <c r="H75" s="21" t="s">
        <v>85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1" t="s">
        <v>86</v>
      </c>
      <c r="B76" s="1" t="s">
        <v>4</v>
      </c>
      <c r="C76" s="1" t="s">
        <v>5</v>
      </c>
      <c r="D76" s="1" t="s">
        <v>6</v>
      </c>
      <c r="E76" s="1" t="s">
        <v>7</v>
      </c>
      <c r="F76" s="2"/>
      <c r="G76" s="2"/>
      <c r="H76" s="1" t="s">
        <v>87</v>
      </c>
      <c r="I76" s="1" t="s">
        <v>88</v>
      </c>
      <c r="J76" s="1" t="s">
        <v>89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5" t="s">
        <v>90</v>
      </c>
      <c r="B77" s="25">
        <v>4</v>
      </c>
      <c r="C77" s="25">
        <v>2</v>
      </c>
      <c r="D77" s="25">
        <v>3</v>
      </c>
      <c r="E77" s="25">
        <v>1</v>
      </c>
      <c r="F77" s="2"/>
      <c r="G77" s="2"/>
      <c r="H77" s="25" t="s">
        <v>91</v>
      </c>
      <c r="I77" s="25">
        <v>10</v>
      </c>
      <c r="J77" s="25" t="s">
        <v>92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2" t="s">
        <v>15</v>
      </c>
      <c r="B78" s="22">
        <v>0</v>
      </c>
      <c r="C78" s="22">
        <v>1</v>
      </c>
      <c r="D78" s="22">
        <v>0</v>
      </c>
      <c r="E78" s="22">
        <v>0</v>
      </c>
      <c r="F78" s="2"/>
      <c r="G78" s="2"/>
      <c r="H78" s="29" t="s">
        <v>148</v>
      </c>
      <c r="I78" s="22">
        <v>1</v>
      </c>
      <c r="J78" s="22" t="s">
        <v>114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2" t="s">
        <v>16</v>
      </c>
      <c r="B79" s="22">
        <v>0</v>
      </c>
      <c r="C79" s="22">
        <v>1</v>
      </c>
      <c r="D79" s="22">
        <v>1</v>
      </c>
      <c r="E79" s="22">
        <v>0</v>
      </c>
      <c r="F79" s="2"/>
      <c r="G79" s="2"/>
      <c r="H79" s="41" t="s">
        <v>109</v>
      </c>
      <c r="I79" s="22">
        <v>1</v>
      </c>
      <c r="J79" s="22" t="s">
        <v>114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2" t="s">
        <v>19</v>
      </c>
      <c r="B80" s="22">
        <v>3</v>
      </c>
      <c r="C80" s="22">
        <v>0</v>
      </c>
      <c r="D80" s="22">
        <v>1</v>
      </c>
      <c r="E80" s="22">
        <v>0</v>
      </c>
      <c r="F80" s="2"/>
      <c r="G80" s="2"/>
      <c r="H80" s="40" t="s">
        <v>144</v>
      </c>
      <c r="I80" s="22">
        <v>3</v>
      </c>
      <c r="J80" s="22" t="s">
        <v>141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2" t="s">
        <v>20</v>
      </c>
      <c r="B81" s="22">
        <v>1</v>
      </c>
      <c r="C81" s="22">
        <v>0</v>
      </c>
      <c r="D81" s="22">
        <v>1</v>
      </c>
      <c r="E81" s="22">
        <v>1</v>
      </c>
      <c r="F81" s="2"/>
      <c r="G81" s="2"/>
      <c r="H81" s="42" t="s">
        <v>93</v>
      </c>
      <c r="I81" s="22">
        <v>1</v>
      </c>
      <c r="J81" s="22" t="s">
        <v>114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2" t="s">
        <v>17</v>
      </c>
      <c r="B82" s="22">
        <v>0</v>
      </c>
      <c r="C82" s="22">
        <v>0</v>
      </c>
      <c r="D82" s="22">
        <v>0</v>
      </c>
      <c r="E82" s="22">
        <v>0</v>
      </c>
      <c r="F82" s="2"/>
      <c r="G82" s="2"/>
      <c r="H82" s="31" t="s">
        <v>106</v>
      </c>
      <c r="I82" s="22">
        <v>2</v>
      </c>
      <c r="J82" s="22" t="s">
        <v>112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2" t="s">
        <v>18</v>
      </c>
      <c r="B83" s="22">
        <v>0</v>
      </c>
      <c r="C83" s="22">
        <v>0</v>
      </c>
      <c r="D83" s="22">
        <v>0</v>
      </c>
      <c r="E83" s="22">
        <v>0</v>
      </c>
      <c r="F83" s="2"/>
      <c r="G83" s="2"/>
      <c r="H83" s="43" t="s">
        <v>149</v>
      </c>
      <c r="I83" s="22">
        <v>1</v>
      </c>
      <c r="J83" s="22" t="s">
        <v>114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"/>
      <c r="B84" s="2"/>
      <c r="C84" s="2"/>
      <c r="D84" s="2"/>
      <c r="E84" s="2"/>
      <c r="F84" s="2"/>
      <c r="G84" s="2"/>
      <c r="H84" s="44" t="s">
        <v>150</v>
      </c>
      <c r="I84" s="22">
        <v>1</v>
      </c>
      <c r="J84" s="22" t="s">
        <v>114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1" t="s">
        <v>139</v>
      </c>
      <c r="B87" s="2"/>
      <c r="C87" s="2"/>
      <c r="D87" s="2"/>
      <c r="E87" s="2"/>
      <c r="F87" s="2"/>
      <c r="G87" s="2"/>
      <c r="H87" s="21" t="s">
        <v>85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1" t="s">
        <v>86</v>
      </c>
      <c r="B88" s="1" t="s">
        <v>4</v>
      </c>
      <c r="C88" s="1" t="s">
        <v>5</v>
      </c>
      <c r="D88" s="1" t="s">
        <v>6</v>
      </c>
      <c r="E88" s="1" t="s">
        <v>7</v>
      </c>
      <c r="F88" s="2"/>
      <c r="G88" s="2"/>
      <c r="H88" s="1" t="s">
        <v>87</v>
      </c>
      <c r="I88" s="1" t="s">
        <v>88</v>
      </c>
      <c r="J88" s="1" t="s">
        <v>89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5" t="s">
        <v>90</v>
      </c>
      <c r="B89" s="25">
        <v>1</v>
      </c>
      <c r="C89" s="25"/>
      <c r="D89" s="25"/>
      <c r="E89" s="25"/>
      <c r="F89" s="2"/>
      <c r="G89" s="2"/>
      <c r="H89" s="25" t="s">
        <v>91</v>
      </c>
      <c r="I89" s="25">
        <v>1</v>
      </c>
      <c r="J89" s="25" t="s">
        <v>92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2" t="s">
        <v>15</v>
      </c>
      <c r="B90" s="22">
        <v>1</v>
      </c>
      <c r="C90" s="22"/>
      <c r="D90" s="22"/>
      <c r="E90" s="22"/>
      <c r="F90" s="2"/>
      <c r="G90" s="2"/>
      <c r="H90" s="34" t="s">
        <v>117</v>
      </c>
      <c r="I90" s="22">
        <v>1</v>
      </c>
      <c r="J90" s="22" t="s">
        <v>92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2" t="s">
        <v>16</v>
      </c>
      <c r="B91" s="22">
        <v>0</v>
      </c>
      <c r="C91" s="22"/>
      <c r="D91" s="22"/>
      <c r="E91" s="2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2" t="s">
        <v>17</v>
      </c>
      <c r="B92" s="22">
        <v>0</v>
      </c>
      <c r="C92" s="22"/>
      <c r="D92" s="22"/>
      <c r="E92" s="2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2" t="s">
        <v>18</v>
      </c>
      <c r="B93" s="22">
        <v>0</v>
      </c>
      <c r="C93" s="22"/>
      <c r="D93" s="22"/>
      <c r="E93" s="2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2" t="s">
        <v>19</v>
      </c>
      <c r="B94" s="22">
        <v>0</v>
      </c>
      <c r="C94" s="22"/>
      <c r="D94" s="22"/>
      <c r="E94" s="2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59765625" defaultRowHeight="15" customHeight="1"/>
  <cols>
    <col min="1" max="1" width="22.59765625" customWidth="1"/>
    <col min="2" max="26" width="10.59765625" customWidth="1"/>
  </cols>
  <sheetData>
    <row r="1" spans="1:26" ht="13.5" customHeight="1">
      <c r="A1" s="2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77</v>
      </c>
      <c r="L3" s="1" t="s">
        <v>78</v>
      </c>
      <c r="M3" s="1" t="s">
        <v>79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22" t="s">
        <v>21</v>
      </c>
      <c r="B4" s="22" t="s">
        <v>128</v>
      </c>
      <c r="C4" s="23">
        <v>45652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4">
        <v>0</v>
      </c>
      <c r="J4" s="22">
        <v>0</v>
      </c>
      <c r="K4" s="24">
        <v>0</v>
      </c>
      <c r="L4" s="22">
        <v>0</v>
      </c>
      <c r="M4" s="24">
        <v>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>
      <c r="A5" s="22" t="s">
        <v>22</v>
      </c>
      <c r="B5" s="22" t="s">
        <v>128</v>
      </c>
      <c r="C5" s="23">
        <v>45652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4">
        <v>0</v>
      </c>
      <c r="J5" s="22">
        <v>1</v>
      </c>
      <c r="K5" s="24">
        <v>7.3000000000000001E-3</v>
      </c>
      <c r="L5" s="22">
        <v>0</v>
      </c>
      <c r="M5" s="24"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>
      <c r="A6" s="22" t="s">
        <v>23</v>
      </c>
      <c r="B6" s="22" t="s">
        <v>128</v>
      </c>
      <c r="C6" s="23">
        <v>45652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4">
        <v>0</v>
      </c>
      <c r="J6" s="22">
        <v>0</v>
      </c>
      <c r="K6" s="24">
        <v>0</v>
      </c>
      <c r="L6" s="22">
        <v>1</v>
      </c>
      <c r="M6" s="24">
        <v>5.1999999999999998E-3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>
      <c r="A7" s="22" t="s">
        <v>24</v>
      </c>
      <c r="B7" s="22" t="s">
        <v>128</v>
      </c>
      <c r="C7" s="23">
        <v>45661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4">
        <v>0</v>
      </c>
      <c r="J7" s="22">
        <v>1</v>
      </c>
      <c r="K7" s="24">
        <v>2.3999999999999998E-3</v>
      </c>
      <c r="L7" s="22">
        <v>1</v>
      </c>
      <c r="M7" s="24">
        <v>1.8E-3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>
      <c r="A8" s="22" t="s">
        <v>25</v>
      </c>
      <c r="B8" s="22" t="s">
        <v>128</v>
      </c>
      <c r="C8" s="23">
        <v>45661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4">
        <v>0</v>
      </c>
      <c r="J8" s="22">
        <v>0</v>
      </c>
      <c r="K8" s="24">
        <v>0</v>
      </c>
      <c r="L8" s="22">
        <v>0</v>
      </c>
      <c r="M8" s="24"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>
      <c r="A9" s="22" t="s">
        <v>26</v>
      </c>
      <c r="B9" s="22" t="s">
        <v>128</v>
      </c>
      <c r="C9" s="23">
        <v>45661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4">
        <v>0</v>
      </c>
      <c r="J9" s="22">
        <v>0</v>
      </c>
      <c r="K9" s="24">
        <v>0</v>
      </c>
      <c r="L9" s="22">
        <v>2</v>
      </c>
      <c r="M9" s="24">
        <v>5.5999999999999999E-3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>
      <c r="A10" s="22" t="s">
        <v>27</v>
      </c>
      <c r="B10" s="22" t="s">
        <v>81</v>
      </c>
      <c r="C10" s="23">
        <v>45661</v>
      </c>
      <c r="D10" s="22">
        <v>6</v>
      </c>
      <c r="E10" s="22">
        <v>3</v>
      </c>
      <c r="F10" s="22">
        <v>1</v>
      </c>
      <c r="G10" s="22">
        <v>4</v>
      </c>
      <c r="H10" s="22">
        <v>14</v>
      </c>
      <c r="I10" s="24">
        <v>1.2800000000000001E-2</v>
      </c>
      <c r="J10" s="22">
        <v>34</v>
      </c>
      <c r="K10" s="24">
        <v>3.7600000000000001E-2</v>
      </c>
      <c r="L10" s="22">
        <v>32</v>
      </c>
      <c r="M10" s="24">
        <v>2.5600000000000001E-2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>
      <c r="A11" s="22" t="s">
        <v>28</v>
      </c>
      <c r="B11" s="22" t="s">
        <v>152</v>
      </c>
      <c r="C11" s="23">
        <v>45665</v>
      </c>
      <c r="D11" s="22">
        <v>1</v>
      </c>
      <c r="E11" s="22">
        <v>2</v>
      </c>
      <c r="F11" s="22">
        <v>0</v>
      </c>
      <c r="G11" s="22">
        <v>0</v>
      </c>
      <c r="H11" s="22">
        <v>3</v>
      </c>
      <c r="I11" s="24">
        <v>5.9999999999999995E-4</v>
      </c>
      <c r="J11" s="22">
        <v>2</v>
      </c>
      <c r="K11" s="24">
        <v>4.0000000000000002E-4</v>
      </c>
      <c r="L11" s="22">
        <v>6</v>
      </c>
      <c r="M11" s="24">
        <v>8.9999999999999998E-4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>
      <c r="A12" s="22" t="s">
        <v>29</v>
      </c>
      <c r="B12" s="22" t="s">
        <v>152</v>
      </c>
      <c r="C12" s="23">
        <v>45665</v>
      </c>
      <c r="D12" s="22">
        <v>1</v>
      </c>
      <c r="E12" s="22">
        <v>2</v>
      </c>
      <c r="F12" s="22">
        <v>0</v>
      </c>
      <c r="G12" s="22">
        <v>4</v>
      </c>
      <c r="H12" s="22">
        <v>7</v>
      </c>
      <c r="I12" s="24">
        <v>1.5E-3</v>
      </c>
      <c r="J12" s="22">
        <v>10</v>
      </c>
      <c r="K12" s="24">
        <v>2.0999999999999999E-3</v>
      </c>
      <c r="L12" s="22">
        <v>12</v>
      </c>
      <c r="M12" s="24">
        <v>1.9E-3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>
      <c r="A13" s="22" t="s">
        <v>30</v>
      </c>
      <c r="B13" s="22" t="s">
        <v>81</v>
      </c>
      <c r="C13" s="23">
        <v>45667</v>
      </c>
      <c r="D13" s="22">
        <v>8</v>
      </c>
      <c r="E13" s="22">
        <v>7</v>
      </c>
      <c r="F13" s="22">
        <v>1</v>
      </c>
      <c r="G13" s="22">
        <v>1</v>
      </c>
      <c r="H13" s="22">
        <v>17</v>
      </c>
      <c r="I13" s="24">
        <v>6.7000000000000002E-3</v>
      </c>
      <c r="J13" s="22">
        <v>25</v>
      </c>
      <c r="K13" s="24">
        <v>8.8999999999999999E-3</v>
      </c>
      <c r="L13" s="22">
        <v>13</v>
      </c>
      <c r="M13" s="24">
        <v>3.5999999999999999E-3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>
      <c r="A14" s="22" t="s">
        <v>31</v>
      </c>
      <c r="B14" s="22" t="s">
        <v>81</v>
      </c>
      <c r="C14" s="23">
        <v>45667</v>
      </c>
      <c r="D14" s="22">
        <v>6</v>
      </c>
      <c r="E14" s="22">
        <v>4</v>
      </c>
      <c r="F14" s="22">
        <v>5</v>
      </c>
      <c r="G14" s="22">
        <v>1</v>
      </c>
      <c r="H14" s="22">
        <v>16</v>
      </c>
      <c r="I14" s="24">
        <v>6.3E-3</v>
      </c>
      <c r="J14" s="22">
        <v>17</v>
      </c>
      <c r="K14" s="24">
        <v>6.1000000000000004E-3</v>
      </c>
      <c r="L14" s="22">
        <v>8</v>
      </c>
      <c r="M14" s="24">
        <v>2.2000000000000001E-3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>
      <c r="A15" s="22" t="s">
        <v>32</v>
      </c>
      <c r="B15" s="22" t="s">
        <v>81</v>
      </c>
      <c r="C15" s="23">
        <v>45678</v>
      </c>
      <c r="D15" s="22">
        <v>0</v>
      </c>
      <c r="E15" s="22">
        <v>1</v>
      </c>
      <c r="F15" s="22">
        <v>1</v>
      </c>
      <c r="G15" s="22">
        <v>2</v>
      </c>
      <c r="H15" s="22">
        <v>4</v>
      </c>
      <c r="I15" s="24">
        <v>9.1000000000000004E-3</v>
      </c>
      <c r="J15" s="22">
        <v>1</v>
      </c>
      <c r="K15" s="24">
        <v>1.8E-3</v>
      </c>
      <c r="L15" s="22">
        <v>4</v>
      </c>
      <c r="M15" s="24">
        <v>7.1999999999999998E-3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>
      <c r="A16" s="22" t="s">
        <v>33</v>
      </c>
      <c r="B16" s="22" t="s">
        <v>81</v>
      </c>
      <c r="C16" s="23">
        <v>45681</v>
      </c>
      <c r="D16" s="22">
        <v>0</v>
      </c>
      <c r="E16" s="22">
        <v>0</v>
      </c>
      <c r="F16" s="22">
        <v>2</v>
      </c>
      <c r="G16" s="22">
        <v>2</v>
      </c>
      <c r="H16" s="22">
        <v>4</v>
      </c>
      <c r="I16" s="24">
        <v>8.9999999999999998E-4</v>
      </c>
      <c r="J16" s="22">
        <v>3</v>
      </c>
      <c r="K16" s="24">
        <v>5.0000000000000001E-4</v>
      </c>
      <c r="L16" s="22"/>
      <c r="M16" s="2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>
      <c r="A17" s="22" t="s">
        <v>34</v>
      </c>
      <c r="B17" s="22" t="s">
        <v>128</v>
      </c>
      <c r="C17" s="23">
        <v>45688</v>
      </c>
      <c r="D17" s="22">
        <v>0</v>
      </c>
      <c r="E17" s="22">
        <v>0</v>
      </c>
      <c r="F17" s="22">
        <v>1</v>
      </c>
      <c r="G17" s="22">
        <v>0</v>
      </c>
      <c r="H17" s="22">
        <v>1</v>
      </c>
      <c r="I17" s="24">
        <v>2.7000000000000001E-3</v>
      </c>
      <c r="J17" s="22">
        <v>0</v>
      </c>
      <c r="K17" s="24">
        <v>0</v>
      </c>
      <c r="L17" s="22"/>
      <c r="M17" s="2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>
      <c r="A18" s="22" t="s">
        <v>35</v>
      </c>
      <c r="B18" s="22" t="s">
        <v>128</v>
      </c>
      <c r="C18" s="23">
        <v>45688</v>
      </c>
      <c r="D18" s="22">
        <v>0</v>
      </c>
      <c r="E18" s="22">
        <v>1</v>
      </c>
      <c r="F18" s="22">
        <v>0</v>
      </c>
      <c r="G18" s="22">
        <v>1</v>
      </c>
      <c r="H18" s="22">
        <v>2</v>
      </c>
      <c r="I18" s="24">
        <v>8.5000000000000006E-3</v>
      </c>
      <c r="J18" s="22">
        <v>0</v>
      </c>
      <c r="K18" s="24">
        <v>0</v>
      </c>
      <c r="L18" s="22"/>
      <c r="M18" s="2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>
      <c r="A19" s="22" t="s">
        <v>36</v>
      </c>
      <c r="B19" s="22" t="s">
        <v>128</v>
      </c>
      <c r="C19" s="23">
        <v>45688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4">
        <v>0</v>
      </c>
      <c r="J19" s="22">
        <v>0</v>
      </c>
      <c r="K19" s="24">
        <v>0</v>
      </c>
      <c r="L19" s="22"/>
      <c r="M19" s="2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>
      <c r="A20" s="22" t="s">
        <v>37</v>
      </c>
      <c r="B20" s="22" t="s">
        <v>81</v>
      </c>
      <c r="C20" s="23">
        <v>45693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4">
        <v>0</v>
      </c>
      <c r="J20" s="22">
        <v>1</v>
      </c>
      <c r="K20" s="24">
        <v>8.0000000000000004E-4</v>
      </c>
      <c r="L20" s="22"/>
      <c r="M20" s="2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>
      <c r="A21" s="22" t="s">
        <v>38</v>
      </c>
      <c r="B21" s="22" t="s">
        <v>81</v>
      </c>
      <c r="C21" s="23">
        <v>45693</v>
      </c>
      <c r="D21" s="22">
        <v>1</v>
      </c>
      <c r="E21" s="22">
        <v>0</v>
      </c>
      <c r="F21" s="22">
        <v>0</v>
      </c>
      <c r="G21" s="22">
        <v>0</v>
      </c>
      <c r="H21" s="22">
        <v>1</v>
      </c>
      <c r="I21" s="24">
        <v>1.1000000000000001E-3</v>
      </c>
      <c r="J21" s="22">
        <v>1</v>
      </c>
      <c r="K21" s="24">
        <v>8.0000000000000004E-4</v>
      </c>
      <c r="L21" s="22"/>
      <c r="M21" s="2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>
      <c r="A22" s="22" t="s">
        <v>42</v>
      </c>
      <c r="B22" s="22" t="s">
        <v>80</v>
      </c>
      <c r="C22" s="23">
        <v>45728</v>
      </c>
      <c r="D22" s="22">
        <v>1</v>
      </c>
      <c r="E22" s="22">
        <v>0</v>
      </c>
      <c r="F22" s="22">
        <v>1</v>
      </c>
      <c r="G22" s="22">
        <v>0</v>
      </c>
      <c r="H22" s="22">
        <v>2</v>
      </c>
      <c r="I22" s="24">
        <v>3.7000000000000002E-3</v>
      </c>
      <c r="J22" s="22"/>
      <c r="K22" s="24"/>
      <c r="L22" s="22"/>
      <c r="M22" s="2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>
      <c r="A23" s="22" t="s">
        <v>39</v>
      </c>
      <c r="B23" s="22" t="s">
        <v>81</v>
      </c>
      <c r="C23" s="23">
        <v>45728</v>
      </c>
      <c r="D23" s="22">
        <v>5</v>
      </c>
      <c r="E23" s="22">
        <v>8</v>
      </c>
      <c r="F23" s="22">
        <v>2</v>
      </c>
      <c r="G23" s="22">
        <v>1</v>
      </c>
      <c r="H23" s="22">
        <v>16</v>
      </c>
      <c r="I23" s="24">
        <v>8.8999999999999999E-3</v>
      </c>
      <c r="J23" s="22"/>
      <c r="K23" s="24"/>
      <c r="L23" s="22"/>
      <c r="M23" s="2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>
      <c r="A24" s="22" t="s">
        <v>43</v>
      </c>
      <c r="B24" s="22" t="s">
        <v>81</v>
      </c>
      <c r="C24" s="23">
        <v>45730</v>
      </c>
      <c r="D24" s="22">
        <v>4</v>
      </c>
      <c r="E24" s="22">
        <v>2</v>
      </c>
      <c r="F24" s="22">
        <v>3</v>
      </c>
      <c r="G24" s="22">
        <v>1</v>
      </c>
      <c r="H24" s="22">
        <v>10</v>
      </c>
      <c r="I24" s="24">
        <v>7.1999999999999998E-3</v>
      </c>
      <c r="J24" s="22"/>
      <c r="K24" s="24"/>
      <c r="L24" s="22"/>
      <c r="M24" s="2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>
      <c r="A25" s="22" t="s">
        <v>44</v>
      </c>
      <c r="B25" s="22" t="s">
        <v>81</v>
      </c>
      <c r="C25" s="23">
        <v>45748</v>
      </c>
      <c r="D25" s="22">
        <v>0</v>
      </c>
      <c r="E25" s="22">
        <v>3</v>
      </c>
      <c r="F25" s="22"/>
      <c r="G25" s="22"/>
      <c r="H25" s="22"/>
      <c r="I25" s="24"/>
      <c r="J25" s="22"/>
      <c r="K25" s="24"/>
      <c r="L25" s="22"/>
      <c r="M25" s="2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>
      <c r="A26" s="22" t="s">
        <v>47</v>
      </c>
      <c r="B26" s="22" t="s">
        <v>81</v>
      </c>
      <c r="C26" s="23">
        <v>45751</v>
      </c>
      <c r="D26" s="22">
        <v>0</v>
      </c>
      <c r="E26" s="22"/>
      <c r="F26" s="22"/>
      <c r="G26" s="22"/>
      <c r="H26" s="22"/>
      <c r="I26" s="24"/>
      <c r="J26" s="22"/>
      <c r="K26" s="24"/>
      <c r="L26" s="22"/>
      <c r="M26" s="2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>
      <c r="A27" s="22" t="s">
        <v>45</v>
      </c>
      <c r="B27" s="22" t="s">
        <v>81</v>
      </c>
      <c r="C27" s="23">
        <v>45751</v>
      </c>
      <c r="D27" s="22">
        <v>0</v>
      </c>
      <c r="E27" s="22"/>
      <c r="F27" s="22"/>
      <c r="G27" s="22"/>
      <c r="H27" s="22"/>
      <c r="I27" s="24"/>
      <c r="J27" s="22"/>
      <c r="K27" s="24"/>
      <c r="L27" s="22"/>
      <c r="M27" s="2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>
      <c r="A28" s="22" t="s">
        <v>46</v>
      </c>
      <c r="B28" s="22" t="s">
        <v>81</v>
      </c>
      <c r="C28" s="23">
        <v>45751</v>
      </c>
      <c r="D28" s="22">
        <v>0</v>
      </c>
      <c r="E28" s="22"/>
      <c r="F28" s="22"/>
      <c r="G28" s="22"/>
      <c r="H28" s="22"/>
      <c r="I28" s="24"/>
      <c r="J28" s="22"/>
      <c r="K28" s="24"/>
      <c r="L28" s="22"/>
      <c r="M28" s="2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>
      <c r="A29" s="22" t="s">
        <v>50</v>
      </c>
      <c r="B29" s="22" t="s">
        <v>81</v>
      </c>
      <c r="C29" s="23">
        <v>45751</v>
      </c>
      <c r="D29" s="22">
        <v>2</v>
      </c>
      <c r="E29" s="22"/>
      <c r="F29" s="22"/>
      <c r="G29" s="22"/>
      <c r="H29" s="22"/>
      <c r="I29" s="24"/>
      <c r="J29" s="22"/>
      <c r="K29" s="24"/>
      <c r="L29" s="22"/>
      <c r="M29" s="2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>
      <c r="A30" s="22" t="s">
        <v>49</v>
      </c>
      <c r="B30" s="22" t="s">
        <v>81</v>
      </c>
      <c r="C30" s="23">
        <v>45751</v>
      </c>
      <c r="D30" s="22">
        <v>0</v>
      </c>
      <c r="E30" s="22"/>
      <c r="F30" s="22"/>
      <c r="G30" s="22"/>
      <c r="H30" s="22"/>
      <c r="I30" s="24"/>
      <c r="J30" s="22"/>
      <c r="K30" s="24"/>
      <c r="L30" s="22"/>
      <c r="M30" s="2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>
      <c r="A31" s="22" t="s">
        <v>48</v>
      </c>
      <c r="B31" s="22" t="s">
        <v>81</v>
      </c>
      <c r="C31" s="23">
        <v>45751</v>
      </c>
      <c r="D31" s="22">
        <v>0</v>
      </c>
      <c r="E31" s="22"/>
      <c r="F31" s="22"/>
      <c r="G31" s="22"/>
      <c r="H31" s="22"/>
      <c r="I31" s="24"/>
      <c r="J31" s="22"/>
      <c r="K31" s="24"/>
      <c r="L31" s="22"/>
      <c r="M31" s="2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>
      <c r="A34" s="21" t="s">
        <v>143</v>
      </c>
      <c r="B34" s="2"/>
      <c r="C34" s="2"/>
      <c r="D34" s="2"/>
      <c r="E34" s="2"/>
      <c r="F34" s="2"/>
      <c r="G34" s="2"/>
      <c r="H34" s="21" t="s">
        <v>85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>
      <c r="A35" s="1" t="s">
        <v>86</v>
      </c>
      <c r="B35" s="1" t="s">
        <v>4</v>
      </c>
      <c r="C35" s="1" t="s">
        <v>5</v>
      </c>
      <c r="D35" s="1" t="s">
        <v>6</v>
      </c>
      <c r="E35" s="1" t="s">
        <v>7</v>
      </c>
      <c r="F35" s="2"/>
      <c r="G35" s="2"/>
      <c r="H35" s="1" t="s">
        <v>87</v>
      </c>
      <c r="I35" s="1" t="s">
        <v>88</v>
      </c>
      <c r="J35" s="1" t="s">
        <v>89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>
      <c r="A36" s="25" t="s">
        <v>90</v>
      </c>
      <c r="B36" s="25">
        <v>1</v>
      </c>
      <c r="C36" s="25">
        <v>0</v>
      </c>
      <c r="D36" s="25">
        <v>1</v>
      </c>
      <c r="E36" s="25">
        <v>0</v>
      </c>
      <c r="F36" s="2"/>
      <c r="G36" s="2"/>
      <c r="H36" s="25" t="s">
        <v>91</v>
      </c>
      <c r="I36" s="25">
        <v>2</v>
      </c>
      <c r="J36" s="25" t="s">
        <v>92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2" t="s">
        <v>15</v>
      </c>
      <c r="B37" s="22">
        <v>1</v>
      </c>
      <c r="C37" s="22">
        <v>0</v>
      </c>
      <c r="D37" s="22">
        <v>1</v>
      </c>
      <c r="E37" s="22">
        <v>0</v>
      </c>
      <c r="F37" s="2"/>
      <c r="G37" s="2"/>
      <c r="H37" s="28" t="s">
        <v>97</v>
      </c>
      <c r="I37" s="22">
        <v>1</v>
      </c>
      <c r="J37" s="22" t="s">
        <v>94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>
      <c r="A38" s="22" t="s">
        <v>16</v>
      </c>
      <c r="B38" s="22">
        <v>0</v>
      </c>
      <c r="C38" s="22">
        <v>0</v>
      </c>
      <c r="D38" s="22">
        <v>0</v>
      </c>
      <c r="E38" s="22">
        <v>0</v>
      </c>
      <c r="F38" s="2"/>
      <c r="G38" s="2"/>
      <c r="H38" s="32" t="s">
        <v>113</v>
      </c>
      <c r="I38" s="22">
        <v>1</v>
      </c>
      <c r="J38" s="22" t="s">
        <v>94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>
      <c r="A39" s="22" t="s">
        <v>17</v>
      </c>
      <c r="B39" s="22">
        <v>0</v>
      </c>
      <c r="C39" s="22">
        <v>0</v>
      </c>
      <c r="D39" s="22">
        <v>0</v>
      </c>
      <c r="E39" s="22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>
      <c r="A40" s="22" t="s">
        <v>18</v>
      </c>
      <c r="B40" s="22">
        <v>0</v>
      </c>
      <c r="C40" s="22">
        <v>0</v>
      </c>
      <c r="D40" s="22">
        <v>0</v>
      </c>
      <c r="E40" s="22"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>
      <c r="A41" s="22" t="s">
        <v>19</v>
      </c>
      <c r="B41" s="22">
        <v>0</v>
      </c>
      <c r="C41" s="22">
        <v>0</v>
      </c>
      <c r="D41" s="22">
        <v>0</v>
      </c>
      <c r="E41" s="22"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22" t="s">
        <v>20</v>
      </c>
      <c r="B42" s="22">
        <v>0</v>
      </c>
      <c r="C42" s="22">
        <v>0</v>
      </c>
      <c r="D42" s="22">
        <v>0</v>
      </c>
      <c r="E42" s="22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21" t="s">
        <v>133</v>
      </c>
      <c r="B45" s="2"/>
      <c r="C45" s="2"/>
      <c r="D45" s="2"/>
      <c r="E45" s="2"/>
      <c r="F45" s="2"/>
      <c r="G45" s="2"/>
      <c r="H45" s="21" t="s">
        <v>85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>
      <c r="A46" s="1" t="s">
        <v>86</v>
      </c>
      <c r="B46" s="1" t="s">
        <v>4</v>
      </c>
      <c r="C46" s="1" t="s">
        <v>5</v>
      </c>
      <c r="D46" s="1" t="s">
        <v>6</v>
      </c>
      <c r="E46" s="1" t="s">
        <v>7</v>
      </c>
      <c r="F46" s="2"/>
      <c r="G46" s="2"/>
      <c r="H46" s="1" t="s">
        <v>87</v>
      </c>
      <c r="I46" s="1" t="s">
        <v>88</v>
      </c>
      <c r="J46" s="1" t="s">
        <v>89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>
      <c r="A47" s="25" t="s">
        <v>90</v>
      </c>
      <c r="B47" s="25">
        <v>2</v>
      </c>
      <c r="C47" s="25"/>
      <c r="D47" s="25"/>
      <c r="E47" s="25"/>
      <c r="F47" s="2"/>
      <c r="G47" s="2"/>
      <c r="H47" s="25" t="s">
        <v>91</v>
      </c>
      <c r="I47" s="25">
        <v>2</v>
      </c>
      <c r="J47" s="25" t="s">
        <v>92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>
      <c r="A48" s="22" t="s">
        <v>18</v>
      </c>
      <c r="B48" s="22">
        <v>2</v>
      </c>
      <c r="C48" s="22"/>
      <c r="D48" s="22"/>
      <c r="E48" s="22"/>
      <c r="F48" s="2"/>
      <c r="G48" s="2"/>
      <c r="H48" s="31" t="s">
        <v>106</v>
      </c>
      <c r="I48" s="22">
        <v>2</v>
      </c>
      <c r="J48" s="22" t="s">
        <v>92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>
      <c r="A49" s="22" t="s">
        <v>15</v>
      </c>
      <c r="B49" s="22">
        <v>0</v>
      </c>
      <c r="C49" s="22"/>
      <c r="D49" s="22"/>
      <c r="E49" s="2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>
      <c r="A50" s="22" t="s">
        <v>16</v>
      </c>
      <c r="B50" s="22">
        <v>0</v>
      </c>
      <c r="C50" s="22"/>
      <c r="D50" s="22"/>
      <c r="E50" s="2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>
      <c r="A51" s="22" t="s">
        <v>19</v>
      </c>
      <c r="B51" s="22">
        <v>0</v>
      </c>
      <c r="C51" s="22"/>
      <c r="D51" s="22"/>
      <c r="E51" s="2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>
      <c r="A54" s="21" t="s">
        <v>145</v>
      </c>
      <c r="B54" s="2"/>
      <c r="C54" s="2"/>
      <c r="D54" s="2"/>
      <c r="E54" s="2"/>
      <c r="F54" s="2"/>
      <c r="G54" s="2"/>
      <c r="H54" s="21" t="s">
        <v>85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>
      <c r="A55" s="1" t="s">
        <v>86</v>
      </c>
      <c r="B55" s="1" t="s">
        <v>4</v>
      </c>
      <c r="C55" s="1" t="s">
        <v>5</v>
      </c>
      <c r="D55" s="1" t="s">
        <v>6</v>
      </c>
      <c r="E55" s="1" t="s">
        <v>7</v>
      </c>
      <c r="F55" s="2"/>
      <c r="G55" s="2"/>
      <c r="H55" s="1" t="s">
        <v>87</v>
      </c>
      <c r="I55" s="1" t="s">
        <v>88</v>
      </c>
      <c r="J55" s="1" t="s">
        <v>89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>
      <c r="A56" s="25" t="s">
        <v>90</v>
      </c>
      <c r="B56" s="25">
        <v>5</v>
      </c>
      <c r="C56" s="25">
        <v>8</v>
      </c>
      <c r="D56" s="25">
        <v>2</v>
      </c>
      <c r="E56" s="25">
        <v>1</v>
      </c>
      <c r="F56" s="2"/>
      <c r="G56" s="2"/>
      <c r="H56" s="25" t="s">
        <v>91</v>
      </c>
      <c r="I56" s="25">
        <v>16</v>
      </c>
      <c r="J56" s="25" t="s">
        <v>92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>
      <c r="A57" s="22" t="s">
        <v>15</v>
      </c>
      <c r="B57" s="22">
        <v>0</v>
      </c>
      <c r="C57" s="22">
        <v>4</v>
      </c>
      <c r="D57" s="22">
        <v>0</v>
      </c>
      <c r="E57" s="22">
        <v>0</v>
      </c>
      <c r="F57" s="2"/>
      <c r="G57" s="2"/>
      <c r="H57" s="28" t="s">
        <v>97</v>
      </c>
      <c r="I57" s="22">
        <v>2</v>
      </c>
      <c r="J57" s="22" t="s">
        <v>120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>
      <c r="A58" s="22" t="s">
        <v>18</v>
      </c>
      <c r="B58" s="22">
        <v>0</v>
      </c>
      <c r="C58" s="22">
        <v>2</v>
      </c>
      <c r="D58" s="22">
        <v>1</v>
      </c>
      <c r="E58" s="22">
        <v>0</v>
      </c>
      <c r="F58" s="2"/>
      <c r="G58" s="2"/>
      <c r="H58" s="29" t="s">
        <v>146</v>
      </c>
      <c r="I58" s="22">
        <v>4</v>
      </c>
      <c r="J58" s="22" t="s">
        <v>101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>
      <c r="A59" s="22" t="s">
        <v>19</v>
      </c>
      <c r="B59" s="22">
        <v>5</v>
      </c>
      <c r="C59" s="22">
        <v>1</v>
      </c>
      <c r="D59" s="22">
        <v>0</v>
      </c>
      <c r="E59" s="22">
        <v>1</v>
      </c>
      <c r="F59" s="2"/>
      <c r="G59" s="2"/>
      <c r="H59" s="40" t="s">
        <v>144</v>
      </c>
      <c r="I59" s="22">
        <v>10</v>
      </c>
      <c r="J59" s="22" t="s">
        <v>137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>
      <c r="A60" s="22" t="s">
        <v>20</v>
      </c>
      <c r="B60" s="22">
        <v>0</v>
      </c>
      <c r="C60" s="22">
        <v>1</v>
      </c>
      <c r="D60" s="22">
        <v>1</v>
      </c>
      <c r="E60" s="22">
        <v>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>
      <c r="A61" s="22" t="s">
        <v>16</v>
      </c>
      <c r="B61" s="22">
        <v>0</v>
      </c>
      <c r="C61" s="22">
        <v>0</v>
      </c>
      <c r="D61" s="22">
        <v>0</v>
      </c>
      <c r="E61" s="22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>
      <c r="A64" s="21" t="s">
        <v>138</v>
      </c>
      <c r="B64" s="2"/>
      <c r="C64" s="2"/>
      <c r="D64" s="2"/>
      <c r="E64" s="2"/>
      <c r="F64" s="2"/>
      <c r="G64" s="2"/>
      <c r="H64" s="21" t="s">
        <v>85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>
      <c r="A65" s="1" t="s">
        <v>86</v>
      </c>
      <c r="B65" s="1" t="s">
        <v>4</v>
      </c>
      <c r="C65" s="1" t="s">
        <v>5</v>
      </c>
      <c r="D65" s="1" t="s">
        <v>6</v>
      </c>
      <c r="E65" s="1" t="s">
        <v>7</v>
      </c>
      <c r="F65" s="2"/>
      <c r="G65" s="2"/>
      <c r="H65" s="1" t="s">
        <v>87</v>
      </c>
      <c r="I65" s="1" t="s">
        <v>88</v>
      </c>
      <c r="J65" s="1" t="s">
        <v>89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>
      <c r="A66" s="25" t="s">
        <v>90</v>
      </c>
      <c r="B66" s="25">
        <v>0</v>
      </c>
      <c r="C66" s="25">
        <v>3</v>
      </c>
      <c r="D66" s="25"/>
      <c r="E66" s="25"/>
      <c r="F66" s="2"/>
      <c r="G66" s="2"/>
      <c r="H66" s="25" t="s">
        <v>91</v>
      </c>
      <c r="I66" s="25">
        <v>3</v>
      </c>
      <c r="J66" s="25" t="s">
        <v>92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>
      <c r="A67" s="22" t="s">
        <v>16</v>
      </c>
      <c r="B67" s="22">
        <v>0</v>
      </c>
      <c r="C67" s="22">
        <v>2</v>
      </c>
      <c r="D67" s="22"/>
      <c r="E67" s="22"/>
      <c r="F67" s="2"/>
      <c r="G67" s="2"/>
      <c r="H67" s="40" t="s">
        <v>144</v>
      </c>
      <c r="I67" s="22">
        <v>2</v>
      </c>
      <c r="J67" s="22" t="s">
        <v>118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>
      <c r="A68" s="22" t="s">
        <v>18</v>
      </c>
      <c r="B68" s="22">
        <v>0</v>
      </c>
      <c r="C68" s="22">
        <v>1</v>
      </c>
      <c r="D68" s="22"/>
      <c r="E68" s="22"/>
      <c r="F68" s="2"/>
      <c r="G68" s="2"/>
      <c r="H68" s="31" t="s">
        <v>106</v>
      </c>
      <c r="I68" s="22">
        <v>1</v>
      </c>
      <c r="J68" s="22" t="s">
        <v>108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>
      <c r="A69" s="22" t="s">
        <v>15</v>
      </c>
      <c r="B69" s="22">
        <v>0</v>
      </c>
      <c r="C69" s="22">
        <v>0</v>
      </c>
      <c r="D69" s="22"/>
      <c r="E69" s="2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>
      <c r="A70" s="22" t="s">
        <v>19</v>
      </c>
      <c r="B70" s="22">
        <v>0</v>
      </c>
      <c r="C70" s="22">
        <v>0</v>
      </c>
      <c r="D70" s="22"/>
      <c r="E70" s="2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22" t="s">
        <v>20</v>
      </c>
      <c r="B71" s="22">
        <v>0</v>
      </c>
      <c r="C71" s="22">
        <v>0</v>
      </c>
      <c r="D71" s="22"/>
      <c r="E71" s="2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21" t="s">
        <v>147</v>
      </c>
      <c r="B74" s="2"/>
      <c r="C74" s="2"/>
      <c r="D74" s="2"/>
      <c r="E74" s="2"/>
      <c r="F74" s="2"/>
      <c r="G74" s="2"/>
      <c r="H74" s="21" t="s">
        <v>85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1" t="s">
        <v>86</v>
      </c>
      <c r="B75" s="1" t="s">
        <v>4</v>
      </c>
      <c r="C75" s="1" t="s">
        <v>5</v>
      </c>
      <c r="D75" s="1" t="s">
        <v>6</v>
      </c>
      <c r="E75" s="1" t="s">
        <v>7</v>
      </c>
      <c r="F75" s="2"/>
      <c r="G75" s="2"/>
      <c r="H75" s="1" t="s">
        <v>87</v>
      </c>
      <c r="I75" s="1" t="s">
        <v>88</v>
      </c>
      <c r="J75" s="1" t="s">
        <v>89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25" t="s">
        <v>90</v>
      </c>
      <c r="B76" s="25">
        <v>4</v>
      </c>
      <c r="C76" s="25">
        <v>2</v>
      </c>
      <c r="D76" s="25">
        <v>3</v>
      </c>
      <c r="E76" s="25">
        <v>1</v>
      </c>
      <c r="F76" s="2"/>
      <c r="G76" s="2"/>
      <c r="H76" s="25" t="s">
        <v>91</v>
      </c>
      <c r="I76" s="25">
        <v>10</v>
      </c>
      <c r="J76" s="25" t="s">
        <v>92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22" t="s">
        <v>15</v>
      </c>
      <c r="B77" s="22">
        <v>0</v>
      </c>
      <c r="C77" s="22">
        <v>1</v>
      </c>
      <c r="D77" s="22">
        <v>0</v>
      </c>
      <c r="E77" s="22">
        <v>0</v>
      </c>
      <c r="F77" s="2"/>
      <c r="G77" s="2"/>
      <c r="H77" s="29" t="s">
        <v>148</v>
      </c>
      <c r="I77" s="22">
        <v>1</v>
      </c>
      <c r="J77" s="22" t="s">
        <v>114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22" t="s">
        <v>16</v>
      </c>
      <c r="B78" s="22">
        <v>0</v>
      </c>
      <c r="C78" s="22">
        <v>1</v>
      </c>
      <c r="D78" s="22">
        <v>1</v>
      </c>
      <c r="E78" s="22">
        <v>0</v>
      </c>
      <c r="F78" s="2"/>
      <c r="G78" s="2"/>
      <c r="H78" s="41" t="s">
        <v>109</v>
      </c>
      <c r="I78" s="22">
        <v>1</v>
      </c>
      <c r="J78" s="22" t="s">
        <v>114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22" t="s">
        <v>19</v>
      </c>
      <c r="B79" s="22">
        <v>3</v>
      </c>
      <c r="C79" s="22">
        <v>0</v>
      </c>
      <c r="D79" s="22">
        <v>1</v>
      </c>
      <c r="E79" s="22">
        <v>0</v>
      </c>
      <c r="F79" s="2"/>
      <c r="G79" s="2"/>
      <c r="H79" s="40" t="s">
        <v>144</v>
      </c>
      <c r="I79" s="22">
        <v>3</v>
      </c>
      <c r="J79" s="22" t="s">
        <v>141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22" t="s">
        <v>20</v>
      </c>
      <c r="B80" s="22">
        <v>1</v>
      </c>
      <c r="C80" s="22">
        <v>0</v>
      </c>
      <c r="D80" s="22">
        <v>1</v>
      </c>
      <c r="E80" s="22">
        <v>1</v>
      </c>
      <c r="F80" s="2"/>
      <c r="G80" s="2"/>
      <c r="H80" s="42" t="s">
        <v>93</v>
      </c>
      <c r="I80" s="22">
        <v>1</v>
      </c>
      <c r="J80" s="22" t="s">
        <v>114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22" t="s">
        <v>17</v>
      </c>
      <c r="B81" s="22">
        <v>0</v>
      </c>
      <c r="C81" s="22">
        <v>0</v>
      </c>
      <c r="D81" s="22">
        <v>0</v>
      </c>
      <c r="E81" s="22">
        <v>0</v>
      </c>
      <c r="F81" s="2"/>
      <c r="G81" s="2"/>
      <c r="H81" s="31" t="s">
        <v>106</v>
      </c>
      <c r="I81" s="22">
        <v>2</v>
      </c>
      <c r="J81" s="22" t="s">
        <v>112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22" t="s">
        <v>18</v>
      </c>
      <c r="B82" s="22">
        <v>0</v>
      </c>
      <c r="C82" s="22">
        <v>0</v>
      </c>
      <c r="D82" s="22">
        <v>0</v>
      </c>
      <c r="E82" s="22">
        <v>0</v>
      </c>
      <c r="F82" s="2"/>
      <c r="G82" s="2"/>
      <c r="H82" s="43" t="s">
        <v>149</v>
      </c>
      <c r="I82" s="22">
        <v>1</v>
      </c>
      <c r="J82" s="22" t="s">
        <v>114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2"/>
      <c r="B83" s="2"/>
      <c r="C83" s="2"/>
      <c r="D83" s="2"/>
      <c r="E83" s="2"/>
      <c r="F83" s="2"/>
      <c r="G83" s="2"/>
      <c r="H83" s="44" t="s">
        <v>150</v>
      </c>
      <c r="I83" s="22">
        <v>1</v>
      </c>
      <c r="J83" s="22" t="s">
        <v>114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59765625" defaultRowHeight="15" customHeight="1"/>
  <cols>
    <col min="1" max="1" width="33" customWidth="1"/>
    <col min="2" max="2" width="12.3984375" customWidth="1"/>
    <col min="3" max="3" width="14.09765625" customWidth="1"/>
    <col min="4" max="11" width="9.69921875" customWidth="1"/>
    <col min="12" max="26" width="10.59765625" customWidth="1"/>
  </cols>
  <sheetData>
    <row r="1" spans="1:26" ht="13.5" customHeight="1">
      <c r="A1" s="45" t="s">
        <v>153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26" ht="13.5" customHeight="1">
      <c r="A2" s="47"/>
    </row>
    <row r="3" spans="1:26" ht="13.5" customHeight="1">
      <c r="A3" s="48" t="s">
        <v>11</v>
      </c>
      <c r="B3" s="48" t="s">
        <v>154</v>
      </c>
      <c r="C3" s="49" t="s">
        <v>155</v>
      </c>
      <c r="D3" s="50" t="s">
        <v>4</v>
      </c>
      <c r="E3" s="50" t="s">
        <v>5</v>
      </c>
      <c r="F3" s="50" t="s">
        <v>6</v>
      </c>
      <c r="G3" s="49" t="s">
        <v>7</v>
      </c>
      <c r="H3" s="51" t="s">
        <v>156</v>
      </c>
      <c r="I3" s="51" t="s">
        <v>8</v>
      </c>
      <c r="J3" s="51" t="s">
        <v>9</v>
      </c>
    </row>
    <row r="4" spans="1:26" ht="13.5" customHeight="1">
      <c r="A4" s="52" t="s">
        <v>21</v>
      </c>
      <c r="B4" s="52" t="s">
        <v>128</v>
      </c>
      <c r="C4" s="49">
        <v>45652</v>
      </c>
      <c r="D4" s="53">
        <v>0</v>
      </c>
      <c r="E4" s="53">
        <v>0</v>
      </c>
      <c r="F4" s="53">
        <v>0</v>
      </c>
      <c r="G4" s="53">
        <v>0</v>
      </c>
      <c r="H4" s="54">
        <f t="shared" ref="H4:H21" si="0">SUM(D4:G4)</f>
        <v>0</v>
      </c>
      <c r="I4" s="54">
        <v>0</v>
      </c>
      <c r="J4" s="54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3.5" customHeight="1">
      <c r="A5" s="52" t="s">
        <v>22</v>
      </c>
      <c r="B5" s="52" t="s">
        <v>128</v>
      </c>
      <c r="C5" s="49">
        <v>45652</v>
      </c>
      <c r="D5" s="53">
        <v>0</v>
      </c>
      <c r="E5" s="53">
        <v>0</v>
      </c>
      <c r="F5" s="53">
        <v>0</v>
      </c>
      <c r="G5" s="53">
        <v>0</v>
      </c>
      <c r="H5" s="54">
        <f t="shared" si="0"/>
        <v>0</v>
      </c>
      <c r="I5" s="54">
        <v>1</v>
      </c>
      <c r="J5" s="54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>
      <c r="A6" s="52" t="s">
        <v>23</v>
      </c>
      <c r="B6" s="52" t="s">
        <v>128</v>
      </c>
      <c r="C6" s="49">
        <v>45652</v>
      </c>
      <c r="D6" s="53">
        <v>0</v>
      </c>
      <c r="E6" s="53">
        <v>0</v>
      </c>
      <c r="F6" s="53">
        <v>0</v>
      </c>
      <c r="G6" s="53">
        <v>0</v>
      </c>
      <c r="H6" s="54">
        <f t="shared" si="0"/>
        <v>0</v>
      </c>
      <c r="I6" s="54">
        <v>0</v>
      </c>
      <c r="J6" s="54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>
      <c r="A7" s="52" t="s">
        <v>24</v>
      </c>
      <c r="B7" s="52" t="s">
        <v>128</v>
      </c>
      <c r="C7" s="49">
        <v>45661</v>
      </c>
      <c r="D7" s="53">
        <v>0</v>
      </c>
      <c r="E7" s="53">
        <v>0</v>
      </c>
      <c r="F7" s="53">
        <v>0</v>
      </c>
      <c r="G7" s="53">
        <v>0</v>
      </c>
      <c r="H7" s="54">
        <f t="shared" si="0"/>
        <v>0</v>
      </c>
      <c r="I7" s="54">
        <v>1</v>
      </c>
      <c r="J7" s="54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>
      <c r="A8" s="52" t="s">
        <v>25</v>
      </c>
      <c r="B8" s="52" t="s">
        <v>128</v>
      </c>
      <c r="C8" s="49">
        <v>45661</v>
      </c>
      <c r="D8" s="53">
        <v>0</v>
      </c>
      <c r="E8" s="53">
        <v>0</v>
      </c>
      <c r="F8" s="53">
        <v>0</v>
      </c>
      <c r="G8" s="53">
        <v>0</v>
      </c>
      <c r="H8" s="54">
        <f t="shared" si="0"/>
        <v>0</v>
      </c>
      <c r="I8" s="54">
        <v>0</v>
      </c>
      <c r="J8" s="54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>
      <c r="A9" s="52" t="s">
        <v>26</v>
      </c>
      <c r="B9" s="52" t="s">
        <v>128</v>
      </c>
      <c r="C9" s="49">
        <v>45661</v>
      </c>
      <c r="D9" s="53">
        <v>0</v>
      </c>
      <c r="E9" s="53">
        <v>0</v>
      </c>
      <c r="F9" s="53">
        <v>0</v>
      </c>
      <c r="G9" s="53">
        <v>0</v>
      </c>
      <c r="H9" s="54">
        <f t="shared" si="0"/>
        <v>0</v>
      </c>
      <c r="I9" s="54">
        <v>0</v>
      </c>
      <c r="J9" s="54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3.5" customHeight="1">
      <c r="A10" s="52" t="s">
        <v>27</v>
      </c>
      <c r="B10" s="52" t="s">
        <v>81</v>
      </c>
      <c r="C10" s="49">
        <v>45661</v>
      </c>
      <c r="D10" s="53">
        <v>6</v>
      </c>
      <c r="E10" s="53">
        <v>3</v>
      </c>
      <c r="F10" s="53">
        <v>1</v>
      </c>
      <c r="G10" s="53">
        <v>4</v>
      </c>
      <c r="H10" s="54">
        <f t="shared" si="0"/>
        <v>14</v>
      </c>
      <c r="I10" s="54">
        <v>34</v>
      </c>
      <c r="J10" s="54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3.5" customHeight="1">
      <c r="A11" s="52" t="s">
        <v>28</v>
      </c>
      <c r="B11" s="52" t="s">
        <v>152</v>
      </c>
      <c r="C11" s="49">
        <v>45665</v>
      </c>
      <c r="D11" s="53">
        <v>1</v>
      </c>
      <c r="E11" s="53">
        <v>2</v>
      </c>
      <c r="F11" s="53">
        <v>0</v>
      </c>
      <c r="G11" s="53">
        <v>0</v>
      </c>
      <c r="H11" s="54">
        <f t="shared" si="0"/>
        <v>3</v>
      </c>
      <c r="I11" s="54">
        <v>2</v>
      </c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3.5" customHeight="1">
      <c r="A12" s="52" t="s">
        <v>29</v>
      </c>
      <c r="B12" s="52" t="s">
        <v>152</v>
      </c>
      <c r="C12" s="49">
        <v>45665</v>
      </c>
      <c r="D12" s="53">
        <v>1</v>
      </c>
      <c r="E12" s="53">
        <v>2</v>
      </c>
      <c r="F12" s="53">
        <v>0</v>
      </c>
      <c r="G12" s="53">
        <v>4</v>
      </c>
      <c r="H12" s="54">
        <f t="shared" si="0"/>
        <v>7</v>
      </c>
      <c r="I12" s="54">
        <v>11</v>
      </c>
      <c r="J12" s="54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3.5" customHeight="1">
      <c r="A13" s="52" t="s">
        <v>30</v>
      </c>
      <c r="B13" s="52" t="s">
        <v>81</v>
      </c>
      <c r="C13" s="49">
        <v>45667</v>
      </c>
      <c r="D13" s="53">
        <v>8</v>
      </c>
      <c r="E13" s="53">
        <v>7</v>
      </c>
      <c r="F13" s="53">
        <v>1</v>
      </c>
      <c r="G13" s="53">
        <v>1</v>
      </c>
      <c r="H13" s="54">
        <f t="shared" si="0"/>
        <v>17</v>
      </c>
      <c r="I13" s="54">
        <v>27</v>
      </c>
      <c r="J13" s="54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3.5" customHeight="1">
      <c r="A14" s="52" t="s">
        <v>31</v>
      </c>
      <c r="B14" s="52" t="s">
        <v>81</v>
      </c>
      <c r="C14" s="49">
        <v>45667</v>
      </c>
      <c r="D14" s="53">
        <v>6</v>
      </c>
      <c r="E14" s="53">
        <v>4</v>
      </c>
      <c r="F14" s="53">
        <v>5</v>
      </c>
      <c r="G14" s="53">
        <v>1</v>
      </c>
      <c r="H14" s="54">
        <f t="shared" si="0"/>
        <v>16</v>
      </c>
      <c r="I14" s="54">
        <v>17</v>
      </c>
      <c r="J14" s="54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3.5" customHeight="1">
      <c r="A15" s="52" t="s">
        <v>32</v>
      </c>
      <c r="B15" s="52" t="s">
        <v>81</v>
      </c>
      <c r="C15" s="49">
        <v>45678</v>
      </c>
      <c r="D15" s="53">
        <v>0</v>
      </c>
      <c r="E15" s="53">
        <v>1</v>
      </c>
      <c r="F15" s="53">
        <v>1</v>
      </c>
      <c r="G15" s="53">
        <v>2</v>
      </c>
      <c r="H15" s="54">
        <f t="shared" si="0"/>
        <v>4</v>
      </c>
      <c r="I15" s="54">
        <v>3</v>
      </c>
      <c r="J15" s="54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3.5" customHeight="1">
      <c r="A16" s="52" t="s">
        <v>33</v>
      </c>
      <c r="B16" s="52" t="s">
        <v>81</v>
      </c>
      <c r="C16" s="49">
        <v>45681</v>
      </c>
      <c r="D16" s="53">
        <v>0</v>
      </c>
      <c r="E16" s="53">
        <v>0</v>
      </c>
      <c r="F16" s="53">
        <v>2</v>
      </c>
      <c r="G16" s="53">
        <v>2</v>
      </c>
      <c r="H16" s="54">
        <f t="shared" si="0"/>
        <v>4</v>
      </c>
      <c r="I16" s="54">
        <v>3</v>
      </c>
      <c r="J16" s="54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3.5" customHeight="1">
      <c r="A17" s="52" t="s">
        <v>34</v>
      </c>
      <c r="B17" s="52" t="s">
        <v>128</v>
      </c>
      <c r="C17" s="49">
        <v>45688</v>
      </c>
      <c r="D17" s="53">
        <v>0</v>
      </c>
      <c r="E17" s="53">
        <v>0</v>
      </c>
      <c r="F17" s="53">
        <v>1</v>
      </c>
      <c r="G17" s="53">
        <v>0</v>
      </c>
      <c r="H17" s="54">
        <f t="shared" si="0"/>
        <v>1</v>
      </c>
      <c r="I17" s="54"/>
      <c r="J17" s="54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3.5" customHeight="1">
      <c r="A18" s="52" t="s">
        <v>35</v>
      </c>
      <c r="B18" s="52" t="s">
        <v>128</v>
      </c>
      <c r="C18" s="49">
        <v>45688</v>
      </c>
      <c r="D18" s="53">
        <v>0</v>
      </c>
      <c r="E18" s="53">
        <v>1</v>
      </c>
      <c r="F18" s="53">
        <v>0</v>
      </c>
      <c r="G18" s="53">
        <v>1</v>
      </c>
      <c r="H18" s="54">
        <f t="shared" si="0"/>
        <v>2</v>
      </c>
      <c r="I18" s="54"/>
      <c r="J18" s="54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3.5" customHeight="1">
      <c r="A19" s="52" t="s">
        <v>36</v>
      </c>
      <c r="B19" s="52" t="s">
        <v>128</v>
      </c>
      <c r="C19" s="49">
        <v>45688</v>
      </c>
      <c r="D19" s="53">
        <v>0</v>
      </c>
      <c r="E19" s="53">
        <v>0</v>
      </c>
      <c r="F19" s="53">
        <v>0</v>
      </c>
      <c r="G19" s="53">
        <v>0</v>
      </c>
      <c r="H19" s="54">
        <f t="shared" si="0"/>
        <v>0</v>
      </c>
      <c r="I19" s="54"/>
      <c r="J19" s="54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3.5" customHeight="1">
      <c r="A20" s="52" t="s">
        <v>37</v>
      </c>
      <c r="B20" s="52" t="s">
        <v>81</v>
      </c>
      <c r="C20" s="49">
        <v>45693</v>
      </c>
      <c r="D20" s="53">
        <v>0</v>
      </c>
      <c r="E20" s="53">
        <v>0</v>
      </c>
      <c r="F20" s="53">
        <v>0</v>
      </c>
      <c r="G20" s="53">
        <v>0</v>
      </c>
      <c r="H20" s="54">
        <f t="shared" si="0"/>
        <v>0</v>
      </c>
      <c r="I20" s="54"/>
      <c r="J20" s="54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3.5" customHeight="1">
      <c r="A21" s="52" t="s">
        <v>38</v>
      </c>
      <c r="B21" s="52" t="s">
        <v>81</v>
      </c>
      <c r="C21" s="49">
        <v>45693</v>
      </c>
      <c r="D21" s="53">
        <v>1</v>
      </c>
      <c r="E21" s="53">
        <v>0</v>
      </c>
      <c r="F21" s="53">
        <v>0</v>
      </c>
      <c r="G21" s="53">
        <v>0</v>
      </c>
      <c r="H21" s="54">
        <f t="shared" si="0"/>
        <v>1</v>
      </c>
      <c r="I21" s="54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3.5" customHeight="1">
      <c r="A22" s="52" t="s">
        <v>42</v>
      </c>
      <c r="B22" s="52" t="s">
        <v>80</v>
      </c>
      <c r="C22" s="56">
        <v>45728</v>
      </c>
      <c r="D22" s="53">
        <v>1</v>
      </c>
      <c r="E22" s="53">
        <v>0</v>
      </c>
      <c r="F22" s="53"/>
      <c r="G22" s="53"/>
      <c r="H22" s="54"/>
      <c r="I22" s="54"/>
      <c r="J22" s="54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3.5" customHeight="1">
      <c r="A23" s="52" t="s">
        <v>39</v>
      </c>
      <c r="B23" s="52" t="s">
        <v>81</v>
      </c>
      <c r="C23" s="56">
        <v>45728</v>
      </c>
      <c r="D23" s="53">
        <v>5</v>
      </c>
      <c r="E23" s="53">
        <v>5</v>
      </c>
      <c r="F23" s="53"/>
      <c r="G23" s="53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3.5" customHeight="1">
      <c r="A24" s="52" t="s">
        <v>43</v>
      </c>
      <c r="B24" s="52" t="s">
        <v>81</v>
      </c>
      <c r="C24" s="56">
        <v>45730</v>
      </c>
      <c r="D24" s="53">
        <v>4</v>
      </c>
      <c r="E24" s="53"/>
      <c r="F24" s="53"/>
      <c r="G24" s="53"/>
      <c r="H24" s="54"/>
      <c r="I24" s="54"/>
      <c r="J24" s="54"/>
    </row>
    <row r="25" spans="1:26" ht="13.5" customHeight="1">
      <c r="A25" s="57"/>
    </row>
    <row r="26" spans="1:26" ht="13.5" customHeight="1"/>
    <row r="27" spans="1:26" ht="13.5" customHeight="1">
      <c r="A27" s="58" t="s">
        <v>157</v>
      </c>
      <c r="B27" s="59" t="s">
        <v>4</v>
      </c>
      <c r="C27" s="60" t="s">
        <v>5</v>
      </c>
      <c r="D27" s="60" t="s">
        <v>6</v>
      </c>
      <c r="E27" s="60" t="s">
        <v>7</v>
      </c>
      <c r="F27" s="60" t="s">
        <v>158</v>
      </c>
      <c r="G27" s="60" t="s">
        <v>89</v>
      </c>
      <c r="H27" s="61"/>
      <c r="I27" s="62" t="s">
        <v>87</v>
      </c>
      <c r="J27" s="63" t="s">
        <v>88</v>
      </c>
      <c r="K27" s="60" t="s">
        <v>89</v>
      </c>
    </row>
    <row r="28" spans="1:26" ht="13.5" customHeight="1">
      <c r="A28" s="64" t="s">
        <v>159</v>
      </c>
      <c r="B28" s="65">
        <f t="shared" ref="B28:G28" si="1">SUM(B29:B34)</f>
        <v>1</v>
      </c>
      <c r="C28" s="65">
        <f t="shared" si="1"/>
        <v>0</v>
      </c>
      <c r="D28" s="65">
        <f t="shared" si="1"/>
        <v>0</v>
      </c>
      <c r="E28" s="65">
        <f t="shared" si="1"/>
        <v>0</v>
      </c>
      <c r="F28" s="65">
        <f t="shared" si="1"/>
        <v>1</v>
      </c>
      <c r="G28" s="66">
        <f t="shared" si="1"/>
        <v>1</v>
      </c>
      <c r="H28" s="61"/>
      <c r="I28" s="64" t="s">
        <v>91</v>
      </c>
      <c r="J28" s="64">
        <f t="shared" ref="J28:K28" si="2">SUM(J29)</f>
        <v>1</v>
      </c>
      <c r="K28" s="66">
        <f t="shared" si="2"/>
        <v>1</v>
      </c>
    </row>
    <row r="29" spans="1:26" ht="13.5" customHeight="1">
      <c r="A29" s="67" t="s">
        <v>15</v>
      </c>
      <c r="B29" s="68">
        <v>1</v>
      </c>
      <c r="C29" s="68">
        <v>0</v>
      </c>
      <c r="D29" s="68"/>
      <c r="E29" s="68"/>
      <c r="F29" s="68">
        <f t="shared" ref="F29:F34" si="3">SUM(B29:E29)</f>
        <v>1</v>
      </c>
      <c r="G29" s="69">
        <f t="shared" ref="G29:G34" si="4">F29/$F$28</f>
        <v>1</v>
      </c>
      <c r="H29" s="61"/>
      <c r="I29" s="70" t="s">
        <v>97</v>
      </c>
      <c r="J29" s="71">
        <v>1</v>
      </c>
      <c r="K29" s="69">
        <f>J29/$J$28</f>
        <v>1</v>
      </c>
    </row>
    <row r="30" spans="1:26" ht="13.5" customHeight="1">
      <c r="A30" s="49" t="s">
        <v>16</v>
      </c>
      <c r="B30" s="53">
        <v>0</v>
      </c>
      <c r="C30" s="68">
        <v>0</v>
      </c>
      <c r="D30" s="53"/>
      <c r="E30" s="53"/>
      <c r="F30" s="68">
        <f t="shared" si="3"/>
        <v>0</v>
      </c>
      <c r="G30" s="69">
        <f t="shared" si="4"/>
        <v>0</v>
      </c>
      <c r="H30" s="61"/>
    </row>
    <row r="31" spans="1:26" ht="13.5" customHeight="1">
      <c r="A31" s="49" t="s">
        <v>17</v>
      </c>
      <c r="B31" s="53">
        <v>0</v>
      </c>
      <c r="C31" s="68">
        <v>0</v>
      </c>
      <c r="D31" s="53"/>
      <c r="E31" s="53"/>
      <c r="F31" s="68">
        <f t="shared" si="3"/>
        <v>0</v>
      </c>
      <c r="G31" s="69">
        <f t="shared" si="4"/>
        <v>0</v>
      </c>
      <c r="H31" s="61"/>
    </row>
    <row r="32" spans="1:26" ht="13.5" customHeight="1">
      <c r="A32" s="49" t="s">
        <v>18</v>
      </c>
      <c r="B32" s="53">
        <v>0</v>
      </c>
      <c r="C32" s="68">
        <v>0</v>
      </c>
      <c r="D32" s="53"/>
      <c r="E32" s="53"/>
      <c r="F32" s="68">
        <f t="shared" si="3"/>
        <v>0</v>
      </c>
      <c r="G32" s="69">
        <f t="shared" si="4"/>
        <v>0</v>
      </c>
      <c r="H32" s="61"/>
    </row>
    <row r="33" spans="1:11" ht="13.5" customHeight="1">
      <c r="A33" s="67" t="s">
        <v>19</v>
      </c>
      <c r="B33" s="53">
        <v>0</v>
      </c>
      <c r="C33" s="68">
        <v>0</v>
      </c>
      <c r="D33" s="53"/>
      <c r="E33" s="53"/>
      <c r="F33" s="68">
        <f t="shared" si="3"/>
        <v>0</v>
      </c>
      <c r="G33" s="69">
        <f t="shared" si="4"/>
        <v>0</v>
      </c>
    </row>
    <row r="34" spans="1:11" ht="13.5" customHeight="1">
      <c r="A34" s="67" t="s">
        <v>20</v>
      </c>
      <c r="B34" s="53">
        <v>0</v>
      </c>
      <c r="C34" s="68">
        <v>0</v>
      </c>
      <c r="D34" s="53"/>
      <c r="E34" s="53"/>
      <c r="F34" s="68">
        <f t="shared" si="3"/>
        <v>0</v>
      </c>
      <c r="G34" s="69">
        <f t="shared" si="4"/>
        <v>0</v>
      </c>
    </row>
    <row r="35" spans="1:11" ht="13.5" customHeight="1">
      <c r="A35" s="72"/>
      <c r="B35" s="73"/>
      <c r="C35" s="73"/>
      <c r="D35" s="73"/>
      <c r="E35" s="73"/>
      <c r="F35" s="73"/>
      <c r="G35" s="74"/>
    </row>
    <row r="36" spans="1:11" ht="13.5" customHeight="1"/>
    <row r="37" spans="1:11" ht="13.5" customHeight="1">
      <c r="A37" s="58" t="s">
        <v>160</v>
      </c>
      <c r="B37" s="59" t="s">
        <v>4</v>
      </c>
      <c r="C37" s="60" t="s">
        <v>5</v>
      </c>
      <c r="D37" s="60" t="s">
        <v>6</v>
      </c>
      <c r="E37" s="60" t="s">
        <v>7</v>
      </c>
      <c r="F37" s="60" t="s">
        <v>158</v>
      </c>
      <c r="G37" s="60" t="s">
        <v>89</v>
      </c>
      <c r="H37" s="61"/>
      <c r="I37" s="62" t="s">
        <v>87</v>
      </c>
      <c r="J37" s="63" t="s">
        <v>88</v>
      </c>
      <c r="K37" s="60" t="s">
        <v>89</v>
      </c>
    </row>
    <row r="38" spans="1:11" ht="13.5" customHeight="1">
      <c r="A38" s="64" t="s">
        <v>159</v>
      </c>
      <c r="B38" s="65">
        <f t="shared" ref="B38:G38" si="5">SUM(B39:B43)</f>
        <v>5</v>
      </c>
      <c r="C38" s="65">
        <f t="shared" si="5"/>
        <v>5</v>
      </c>
      <c r="D38" s="65">
        <f t="shared" si="5"/>
        <v>0</v>
      </c>
      <c r="E38" s="65">
        <f t="shared" si="5"/>
        <v>0</v>
      </c>
      <c r="F38" s="65">
        <f t="shared" si="5"/>
        <v>10</v>
      </c>
      <c r="G38" s="66">
        <f t="shared" si="5"/>
        <v>1</v>
      </c>
      <c r="H38" s="61"/>
      <c r="I38" s="64" t="s">
        <v>91</v>
      </c>
      <c r="J38" s="64">
        <f t="shared" ref="J38:K38" si="6">SUM(J39:J41)</f>
        <v>10</v>
      </c>
      <c r="K38" s="66">
        <f t="shared" si="6"/>
        <v>1</v>
      </c>
    </row>
    <row r="39" spans="1:11" ht="13.5" customHeight="1">
      <c r="A39" s="67" t="s">
        <v>19</v>
      </c>
      <c r="B39" s="68">
        <v>5</v>
      </c>
      <c r="C39" s="68">
        <v>1</v>
      </c>
      <c r="D39" s="68"/>
      <c r="E39" s="68"/>
      <c r="F39" s="68">
        <f t="shared" ref="F39:F43" si="7">SUM(B39:E39)</f>
        <v>6</v>
      </c>
      <c r="G39" s="69">
        <f t="shared" ref="G39:G43" si="8">F39/$F$38</f>
        <v>0.6</v>
      </c>
      <c r="H39" s="61"/>
      <c r="I39" s="70" t="s">
        <v>95</v>
      </c>
      <c r="J39" s="71">
        <v>5</v>
      </c>
      <c r="K39" s="69">
        <f t="shared" ref="K39:K41" si="9">J39/$J$38</f>
        <v>0.5</v>
      </c>
    </row>
    <row r="40" spans="1:11" ht="13.5" customHeight="1">
      <c r="A40" s="49" t="s">
        <v>18</v>
      </c>
      <c r="B40" s="53">
        <v>0</v>
      </c>
      <c r="C40" s="68">
        <v>2</v>
      </c>
      <c r="D40" s="53"/>
      <c r="E40" s="53"/>
      <c r="F40" s="68">
        <f t="shared" si="7"/>
        <v>2</v>
      </c>
      <c r="G40" s="69">
        <f t="shared" si="8"/>
        <v>0.2</v>
      </c>
      <c r="H40" s="61"/>
      <c r="I40" s="70" t="s">
        <v>146</v>
      </c>
      <c r="J40" s="71">
        <v>4</v>
      </c>
      <c r="K40" s="69">
        <f t="shared" si="9"/>
        <v>0.4</v>
      </c>
    </row>
    <row r="41" spans="1:11" ht="13.5" customHeight="1">
      <c r="A41" s="49" t="s">
        <v>15</v>
      </c>
      <c r="B41" s="53">
        <v>0</v>
      </c>
      <c r="C41" s="68">
        <v>1</v>
      </c>
      <c r="D41" s="53"/>
      <c r="E41" s="53"/>
      <c r="F41" s="68">
        <f t="shared" si="7"/>
        <v>1</v>
      </c>
      <c r="G41" s="69">
        <f t="shared" si="8"/>
        <v>0.1</v>
      </c>
      <c r="H41" s="61"/>
      <c r="I41" s="70" t="s">
        <v>97</v>
      </c>
      <c r="J41" s="71">
        <v>1</v>
      </c>
      <c r="K41" s="69">
        <f t="shared" si="9"/>
        <v>0.1</v>
      </c>
    </row>
    <row r="42" spans="1:11" ht="13.5" customHeight="1">
      <c r="A42" s="67" t="s">
        <v>20</v>
      </c>
      <c r="B42" s="53">
        <v>0</v>
      </c>
      <c r="C42" s="68">
        <v>1</v>
      </c>
      <c r="D42" s="53"/>
      <c r="E42" s="53"/>
      <c r="F42" s="68">
        <f t="shared" si="7"/>
        <v>1</v>
      </c>
      <c r="G42" s="69">
        <f t="shared" si="8"/>
        <v>0.1</v>
      </c>
    </row>
    <row r="43" spans="1:11" ht="13.5" customHeight="1">
      <c r="A43" s="67" t="s">
        <v>16</v>
      </c>
      <c r="B43" s="53">
        <v>0</v>
      </c>
      <c r="C43" s="68">
        <v>0</v>
      </c>
      <c r="D43" s="53"/>
      <c r="E43" s="53"/>
      <c r="F43" s="68">
        <f t="shared" si="7"/>
        <v>0</v>
      </c>
      <c r="G43" s="69">
        <f t="shared" si="8"/>
        <v>0</v>
      </c>
    </row>
    <row r="44" spans="1:11" ht="13.5" customHeight="1"/>
    <row r="45" spans="1:11" ht="13.5" customHeight="1"/>
    <row r="46" spans="1:11" ht="13.5" customHeight="1">
      <c r="A46" s="58" t="s">
        <v>161</v>
      </c>
      <c r="B46" s="59" t="s">
        <v>4</v>
      </c>
      <c r="C46" s="60" t="s">
        <v>5</v>
      </c>
      <c r="D46" s="60" t="s">
        <v>6</v>
      </c>
      <c r="E46" s="60" t="s">
        <v>7</v>
      </c>
      <c r="F46" s="60" t="s">
        <v>158</v>
      </c>
      <c r="G46" s="60" t="s">
        <v>89</v>
      </c>
      <c r="H46" s="61"/>
      <c r="I46" s="62" t="s">
        <v>87</v>
      </c>
      <c r="J46" s="63" t="s">
        <v>88</v>
      </c>
      <c r="K46" s="60" t="s">
        <v>89</v>
      </c>
    </row>
    <row r="47" spans="1:11" ht="13.5" customHeight="1">
      <c r="A47" s="64" t="s">
        <v>159</v>
      </c>
      <c r="B47" s="65">
        <f t="shared" ref="B47:G47" si="10">SUM(B48:B53)</f>
        <v>4</v>
      </c>
      <c r="C47" s="65">
        <f t="shared" si="10"/>
        <v>0</v>
      </c>
      <c r="D47" s="65">
        <f t="shared" si="10"/>
        <v>0</v>
      </c>
      <c r="E47" s="65">
        <f t="shared" si="10"/>
        <v>0</v>
      </c>
      <c r="F47" s="65">
        <f t="shared" si="10"/>
        <v>4</v>
      </c>
      <c r="G47" s="66">
        <f t="shared" si="10"/>
        <v>1</v>
      </c>
      <c r="H47" s="61"/>
      <c r="I47" s="64" t="s">
        <v>91</v>
      </c>
      <c r="J47" s="64">
        <f t="shared" ref="J47:K47" si="11">SUM(J48:J50)</f>
        <v>4</v>
      </c>
      <c r="K47" s="66">
        <f t="shared" si="11"/>
        <v>1</v>
      </c>
    </row>
    <row r="48" spans="1:11" ht="13.5" customHeight="1">
      <c r="A48" s="67" t="s">
        <v>19</v>
      </c>
      <c r="B48" s="68">
        <v>3</v>
      </c>
      <c r="C48" s="68"/>
      <c r="D48" s="68"/>
      <c r="E48" s="68"/>
      <c r="F48" s="68">
        <f t="shared" ref="F48:F53" si="12">SUM(B48:E48)</f>
        <v>3</v>
      </c>
      <c r="G48" s="69">
        <f t="shared" ref="G48:G53" si="13">F48/$F$47</f>
        <v>0.75</v>
      </c>
      <c r="H48" s="61"/>
      <c r="I48" s="70" t="s">
        <v>95</v>
      </c>
      <c r="J48" s="71">
        <v>2</v>
      </c>
      <c r="K48" s="69">
        <f t="shared" ref="K48:K50" si="14">J48/$J$47</f>
        <v>0.5</v>
      </c>
    </row>
    <row r="49" spans="1:11" ht="13.5" customHeight="1">
      <c r="A49" s="49" t="s">
        <v>20</v>
      </c>
      <c r="B49" s="53">
        <v>1</v>
      </c>
      <c r="C49" s="68"/>
      <c r="D49" s="53"/>
      <c r="E49" s="53"/>
      <c r="F49" s="68">
        <f t="shared" si="12"/>
        <v>1</v>
      </c>
      <c r="G49" s="69">
        <f t="shared" si="13"/>
        <v>0.25</v>
      </c>
      <c r="H49" s="61"/>
      <c r="I49" s="70" t="s">
        <v>121</v>
      </c>
      <c r="J49" s="71">
        <v>1</v>
      </c>
      <c r="K49" s="69">
        <f t="shared" si="14"/>
        <v>0.25</v>
      </c>
    </row>
    <row r="50" spans="1:11" ht="13.5" customHeight="1">
      <c r="A50" s="49" t="s">
        <v>15</v>
      </c>
      <c r="B50" s="53">
        <v>0</v>
      </c>
      <c r="C50" s="68"/>
      <c r="D50" s="53"/>
      <c r="E50" s="53"/>
      <c r="F50" s="68">
        <f t="shared" si="12"/>
        <v>0</v>
      </c>
      <c r="G50" s="69">
        <f t="shared" si="13"/>
        <v>0</v>
      </c>
      <c r="H50" s="61"/>
      <c r="I50" s="70" t="s">
        <v>106</v>
      </c>
      <c r="J50" s="71">
        <v>1</v>
      </c>
      <c r="K50" s="69">
        <f t="shared" si="14"/>
        <v>0.25</v>
      </c>
    </row>
    <row r="51" spans="1:11" ht="13.5" customHeight="1">
      <c r="A51" s="49" t="s">
        <v>16</v>
      </c>
      <c r="B51" s="53">
        <v>0</v>
      </c>
      <c r="C51" s="68"/>
      <c r="D51" s="53"/>
      <c r="E51" s="53"/>
      <c r="F51" s="68">
        <f t="shared" si="12"/>
        <v>0</v>
      </c>
      <c r="G51" s="69">
        <f t="shared" si="13"/>
        <v>0</v>
      </c>
      <c r="H51" s="61"/>
    </row>
    <row r="52" spans="1:11" ht="13.5" customHeight="1">
      <c r="A52" s="67" t="s">
        <v>17</v>
      </c>
      <c r="B52" s="53">
        <v>0</v>
      </c>
      <c r="C52" s="68"/>
      <c r="D52" s="53"/>
      <c r="E52" s="53"/>
      <c r="F52" s="68">
        <f t="shared" si="12"/>
        <v>0</v>
      </c>
      <c r="G52" s="69">
        <f t="shared" si="13"/>
        <v>0</v>
      </c>
    </row>
    <row r="53" spans="1:11" ht="13.5" customHeight="1">
      <c r="A53" s="67" t="s">
        <v>18</v>
      </c>
      <c r="B53" s="53">
        <v>0</v>
      </c>
      <c r="C53" s="68"/>
      <c r="D53" s="53"/>
      <c r="E53" s="53"/>
      <c r="F53" s="68">
        <f t="shared" si="12"/>
        <v>0</v>
      </c>
      <c r="G53" s="69">
        <f t="shared" si="13"/>
        <v>0</v>
      </c>
    </row>
    <row r="54" spans="1:11" ht="13.5" customHeight="1"/>
    <row r="55" spans="1:11" ht="13.5" customHeight="1"/>
    <row r="56" spans="1:11" ht="13.5" customHeight="1"/>
    <row r="57" spans="1:11" ht="13.5" customHeight="1"/>
    <row r="58" spans="1:11" ht="13.5" customHeight="1"/>
    <row r="59" spans="1:11" ht="13.5" customHeight="1"/>
    <row r="60" spans="1:11" ht="13.5" customHeight="1"/>
    <row r="61" spans="1:11" ht="13.5" customHeight="1"/>
    <row r="62" spans="1:11" ht="13.5" customHeight="1"/>
    <row r="63" spans="1:11" ht="13.5" customHeight="1"/>
    <row r="64" spans="1:1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0866141732283472" right="0.70866141732283472" top="0.74803149606299213" bottom="0.74803149606299213" header="0" footer="0"/>
  <pageSetup paperSize="9" scale="9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59765625" defaultRowHeight="15" customHeight="1"/>
  <cols>
    <col min="1" max="1" width="33" customWidth="1"/>
    <col min="2" max="2" width="15" customWidth="1"/>
    <col min="3" max="3" width="14.09765625" customWidth="1"/>
    <col min="4" max="10" width="9.19921875" customWidth="1"/>
    <col min="11" max="11" width="6.19921875" customWidth="1"/>
    <col min="12" max="26" width="10.59765625" customWidth="1"/>
  </cols>
  <sheetData>
    <row r="1" spans="1:26" ht="13.5" customHeight="1">
      <c r="A1" s="45" t="s">
        <v>162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26" ht="13.5" customHeight="1">
      <c r="A2" s="47"/>
    </row>
    <row r="3" spans="1:26" ht="13.5" customHeight="1">
      <c r="A3" s="48" t="s">
        <v>11</v>
      </c>
      <c r="B3" s="48" t="s">
        <v>154</v>
      </c>
      <c r="C3" s="49" t="s">
        <v>155</v>
      </c>
      <c r="D3" s="50" t="s">
        <v>4</v>
      </c>
      <c r="E3" s="50" t="s">
        <v>5</v>
      </c>
      <c r="F3" s="50" t="s">
        <v>6</v>
      </c>
      <c r="G3" s="49" t="s">
        <v>7</v>
      </c>
      <c r="H3" s="51" t="s">
        <v>156</v>
      </c>
      <c r="I3" s="51" t="s">
        <v>8</v>
      </c>
      <c r="J3" s="51" t="s">
        <v>9</v>
      </c>
    </row>
    <row r="4" spans="1:26" ht="13.5" customHeight="1">
      <c r="A4" s="52" t="s">
        <v>21</v>
      </c>
      <c r="B4" s="52" t="s">
        <v>128</v>
      </c>
      <c r="C4" s="49">
        <v>45652</v>
      </c>
      <c r="D4" s="53">
        <v>0</v>
      </c>
      <c r="E4" s="53">
        <v>0</v>
      </c>
      <c r="F4" s="53">
        <v>0</v>
      </c>
      <c r="G4" s="53">
        <v>0</v>
      </c>
      <c r="H4" s="54">
        <f t="shared" ref="H4:H21" si="0">SUM(D4:G4)</f>
        <v>0</v>
      </c>
      <c r="I4" s="54">
        <v>0</v>
      </c>
      <c r="J4" s="54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3.5" customHeight="1">
      <c r="A5" s="52" t="s">
        <v>22</v>
      </c>
      <c r="B5" s="52" t="s">
        <v>128</v>
      </c>
      <c r="C5" s="49">
        <v>45652</v>
      </c>
      <c r="D5" s="53">
        <v>0</v>
      </c>
      <c r="E5" s="53">
        <v>0</v>
      </c>
      <c r="F5" s="53">
        <v>0</v>
      </c>
      <c r="G5" s="53">
        <v>0</v>
      </c>
      <c r="H5" s="54">
        <f t="shared" si="0"/>
        <v>0</v>
      </c>
      <c r="I5" s="54">
        <v>1</v>
      </c>
      <c r="J5" s="54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>
      <c r="A6" s="52" t="s">
        <v>23</v>
      </c>
      <c r="B6" s="52" t="s">
        <v>128</v>
      </c>
      <c r="C6" s="49">
        <v>45652</v>
      </c>
      <c r="D6" s="53">
        <v>0</v>
      </c>
      <c r="E6" s="53">
        <v>0</v>
      </c>
      <c r="F6" s="53">
        <v>0</v>
      </c>
      <c r="G6" s="53">
        <v>0</v>
      </c>
      <c r="H6" s="54">
        <f t="shared" si="0"/>
        <v>0</v>
      </c>
      <c r="I6" s="54">
        <v>0</v>
      </c>
      <c r="J6" s="54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>
      <c r="A7" s="52" t="s">
        <v>24</v>
      </c>
      <c r="B7" s="52" t="s">
        <v>128</v>
      </c>
      <c r="C7" s="49">
        <v>45661</v>
      </c>
      <c r="D7" s="53">
        <v>0</v>
      </c>
      <c r="E7" s="53">
        <v>0</v>
      </c>
      <c r="F7" s="53">
        <v>0</v>
      </c>
      <c r="G7" s="53">
        <v>0</v>
      </c>
      <c r="H7" s="54">
        <f t="shared" si="0"/>
        <v>0</v>
      </c>
      <c r="I7" s="54">
        <v>1</v>
      </c>
      <c r="J7" s="54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>
      <c r="A8" s="52" t="s">
        <v>25</v>
      </c>
      <c r="B8" s="52" t="s">
        <v>128</v>
      </c>
      <c r="C8" s="49">
        <v>45661</v>
      </c>
      <c r="D8" s="53">
        <v>0</v>
      </c>
      <c r="E8" s="53">
        <v>0</v>
      </c>
      <c r="F8" s="53">
        <v>0</v>
      </c>
      <c r="G8" s="53">
        <v>0</v>
      </c>
      <c r="H8" s="54">
        <f t="shared" si="0"/>
        <v>0</v>
      </c>
      <c r="I8" s="54">
        <v>0</v>
      </c>
      <c r="J8" s="54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>
      <c r="A9" s="52" t="s">
        <v>26</v>
      </c>
      <c r="B9" s="52" t="s">
        <v>128</v>
      </c>
      <c r="C9" s="49">
        <v>45661</v>
      </c>
      <c r="D9" s="53">
        <v>0</v>
      </c>
      <c r="E9" s="53">
        <v>0</v>
      </c>
      <c r="F9" s="53">
        <v>0</v>
      </c>
      <c r="G9" s="53">
        <v>0</v>
      </c>
      <c r="H9" s="54">
        <f t="shared" si="0"/>
        <v>0</v>
      </c>
      <c r="I9" s="54">
        <v>0</v>
      </c>
      <c r="J9" s="54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3.5" customHeight="1">
      <c r="A10" s="52" t="s">
        <v>27</v>
      </c>
      <c r="B10" s="52" t="s">
        <v>81</v>
      </c>
      <c r="C10" s="49">
        <v>45661</v>
      </c>
      <c r="D10" s="53">
        <v>6</v>
      </c>
      <c r="E10" s="53">
        <v>3</v>
      </c>
      <c r="F10" s="53">
        <v>1</v>
      </c>
      <c r="G10" s="53">
        <v>4</v>
      </c>
      <c r="H10" s="54">
        <f t="shared" si="0"/>
        <v>14</v>
      </c>
      <c r="I10" s="54">
        <v>34</v>
      </c>
      <c r="J10" s="54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3.5" customHeight="1">
      <c r="A11" s="52" t="s">
        <v>28</v>
      </c>
      <c r="B11" s="52" t="s">
        <v>152</v>
      </c>
      <c r="C11" s="49">
        <v>45665</v>
      </c>
      <c r="D11" s="53">
        <v>1</v>
      </c>
      <c r="E11" s="53">
        <v>2</v>
      </c>
      <c r="F11" s="53">
        <v>0</v>
      </c>
      <c r="G11" s="53">
        <v>0</v>
      </c>
      <c r="H11" s="54">
        <f t="shared" si="0"/>
        <v>3</v>
      </c>
      <c r="I11" s="54">
        <v>2</v>
      </c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3.5" customHeight="1">
      <c r="A12" s="52" t="s">
        <v>29</v>
      </c>
      <c r="B12" s="52" t="s">
        <v>152</v>
      </c>
      <c r="C12" s="49">
        <v>45665</v>
      </c>
      <c r="D12" s="53">
        <v>1</v>
      </c>
      <c r="E12" s="53">
        <v>2</v>
      </c>
      <c r="F12" s="53">
        <v>0</v>
      </c>
      <c r="G12" s="53">
        <v>4</v>
      </c>
      <c r="H12" s="54">
        <f t="shared" si="0"/>
        <v>7</v>
      </c>
      <c r="I12" s="54">
        <v>11</v>
      </c>
      <c r="J12" s="54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3.5" customHeight="1">
      <c r="A13" s="52" t="s">
        <v>30</v>
      </c>
      <c r="B13" s="52" t="s">
        <v>81</v>
      </c>
      <c r="C13" s="49">
        <v>45667</v>
      </c>
      <c r="D13" s="53">
        <v>8</v>
      </c>
      <c r="E13" s="53">
        <v>7</v>
      </c>
      <c r="F13" s="53">
        <v>1</v>
      </c>
      <c r="G13" s="53">
        <v>1</v>
      </c>
      <c r="H13" s="54">
        <f t="shared" si="0"/>
        <v>17</v>
      </c>
      <c r="I13" s="54">
        <v>27</v>
      </c>
      <c r="J13" s="54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3.5" customHeight="1">
      <c r="A14" s="52" t="s">
        <v>31</v>
      </c>
      <c r="B14" s="52" t="s">
        <v>81</v>
      </c>
      <c r="C14" s="49">
        <v>45667</v>
      </c>
      <c r="D14" s="53">
        <v>6</v>
      </c>
      <c r="E14" s="53">
        <v>4</v>
      </c>
      <c r="F14" s="53">
        <v>5</v>
      </c>
      <c r="G14" s="53">
        <v>1</v>
      </c>
      <c r="H14" s="54">
        <f t="shared" si="0"/>
        <v>16</v>
      </c>
      <c r="I14" s="54">
        <v>17</v>
      </c>
      <c r="J14" s="54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3.5" customHeight="1">
      <c r="A15" s="52" t="s">
        <v>32</v>
      </c>
      <c r="B15" s="52" t="s">
        <v>81</v>
      </c>
      <c r="C15" s="49">
        <v>45678</v>
      </c>
      <c r="D15" s="53">
        <v>0</v>
      </c>
      <c r="E15" s="53">
        <v>1</v>
      </c>
      <c r="F15" s="53">
        <v>1</v>
      </c>
      <c r="G15" s="53">
        <v>2</v>
      </c>
      <c r="H15" s="54">
        <f t="shared" si="0"/>
        <v>4</v>
      </c>
      <c r="I15" s="54"/>
      <c r="J15" s="54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3.5" customHeight="1">
      <c r="A16" s="52" t="s">
        <v>33</v>
      </c>
      <c r="B16" s="52" t="s">
        <v>81</v>
      </c>
      <c r="C16" s="49">
        <v>45681</v>
      </c>
      <c r="D16" s="53">
        <v>0</v>
      </c>
      <c r="E16" s="53">
        <v>0</v>
      </c>
      <c r="F16" s="53">
        <v>2</v>
      </c>
      <c r="G16" s="53">
        <v>2</v>
      </c>
      <c r="H16" s="54">
        <f t="shared" si="0"/>
        <v>4</v>
      </c>
      <c r="I16" s="54"/>
      <c r="J16" s="54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3.5" customHeight="1">
      <c r="A17" s="52" t="s">
        <v>34</v>
      </c>
      <c r="B17" s="52" t="s">
        <v>128</v>
      </c>
      <c r="C17" s="49">
        <v>45688</v>
      </c>
      <c r="D17" s="53">
        <v>0</v>
      </c>
      <c r="E17" s="53">
        <v>0</v>
      </c>
      <c r="F17" s="53">
        <v>1</v>
      </c>
      <c r="G17" s="53">
        <v>0</v>
      </c>
      <c r="H17" s="54">
        <f t="shared" si="0"/>
        <v>1</v>
      </c>
      <c r="I17" s="54"/>
      <c r="J17" s="54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3.5" customHeight="1">
      <c r="A18" s="52" t="s">
        <v>35</v>
      </c>
      <c r="B18" s="52" t="s">
        <v>128</v>
      </c>
      <c r="C18" s="49">
        <v>45688</v>
      </c>
      <c r="D18" s="53">
        <v>0</v>
      </c>
      <c r="E18" s="53">
        <v>1</v>
      </c>
      <c r="F18" s="53">
        <v>0</v>
      </c>
      <c r="G18" s="53">
        <v>1</v>
      </c>
      <c r="H18" s="54">
        <f t="shared" si="0"/>
        <v>2</v>
      </c>
      <c r="I18" s="54"/>
      <c r="J18" s="54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3.5" customHeight="1">
      <c r="A19" s="52" t="s">
        <v>36</v>
      </c>
      <c r="B19" s="52" t="s">
        <v>128</v>
      </c>
      <c r="C19" s="49">
        <v>45688</v>
      </c>
      <c r="D19" s="53">
        <v>0</v>
      </c>
      <c r="E19" s="53">
        <v>0</v>
      </c>
      <c r="F19" s="53">
        <v>0</v>
      </c>
      <c r="G19" s="53">
        <v>0</v>
      </c>
      <c r="H19" s="54">
        <f t="shared" si="0"/>
        <v>0</v>
      </c>
      <c r="I19" s="54"/>
      <c r="J19" s="54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3.5" customHeight="1">
      <c r="A20" s="52" t="s">
        <v>37</v>
      </c>
      <c r="B20" s="52" t="s">
        <v>81</v>
      </c>
      <c r="C20" s="49">
        <v>45693</v>
      </c>
      <c r="D20" s="53">
        <v>0</v>
      </c>
      <c r="E20" s="53">
        <v>0</v>
      </c>
      <c r="F20" s="53">
        <v>0</v>
      </c>
      <c r="G20" s="53">
        <v>0</v>
      </c>
      <c r="H20" s="54">
        <f t="shared" si="0"/>
        <v>0</v>
      </c>
      <c r="I20" s="54"/>
      <c r="J20" s="54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3.5" customHeight="1">
      <c r="A21" s="52" t="s">
        <v>38</v>
      </c>
      <c r="B21" s="52" t="s">
        <v>81</v>
      </c>
      <c r="C21" s="49">
        <v>45693</v>
      </c>
      <c r="D21" s="53">
        <v>1</v>
      </c>
      <c r="E21" s="53">
        <v>0</v>
      </c>
      <c r="F21" s="53">
        <v>0</v>
      </c>
      <c r="G21" s="53">
        <v>0</v>
      </c>
      <c r="H21" s="54">
        <f t="shared" si="0"/>
        <v>1</v>
      </c>
      <c r="I21" s="54"/>
      <c r="J21" s="54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3.5" customHeight="1">
      <c r="A22" s="52" t="s">
        <v>42</v>
      </c>
      <c r="B22" s="52" t="s">
        <v>80</v>
      </c>
      <c r="C22" s="56">
        <v>45728</v>
      </c>
      <c r="D22" s="53"/>
      <c r="E22" s="53"/>
      <c r="F22" s="53"/>
      <c r="G22" s="53"/>
      <c r="H22" s="54"/>
      <c r="I22" s="54"/>
      <c r="J22" s="54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3.5" customHeight="1">
      <c r="A23" s="52" t="s">
        <v>39</v>
      </c>
      <c r="B23" s="52" t="s">
        <v>81</v>
      </c>
      <c r="C23" s="56">
        <v>45728</v>
      </c>
      <c r="D23" s="53"/>
      <c r="E23" s="53"/>
      <c r="F23" s="53"/>
      <c r="G23" s="53"/>
      <c r="H23" s="54"/>
      <c r="I23" s="54"/>
      <c r="J23" s="54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3.5" customHeight="1"/>
    <row r="25" spans="1:26" ht="13.5" customHeight="1"/>
    <row r="26" spans="1:26" ht="13.5" customHeight="1">
      <c r="A26" s="58" t="s">
        <v>163</v>
      </c>
      <c r="B26" s="59" t="s">
        <v>4</v>
      </c>
      <c r="C26" s="60" t="s">
        <v>5</v>
      </c>
      <c r="D26" s="60" t="s">
        <v>6</v>
      </c>
      <c r="E26" s="60" t="s">
        <v>7</v>
      </c>
      <c r="F26" s="60" t="s">
        <v>158</v>
      </c>
      <c r="G26" s="60" t="s">
        <v>89</v>
      </c>
      <c r="H26" s="61"/>
      <c r="I26" s="62" t="s">
        <v>87</v>
      </c>
      <c r="J26" s="63" t="s">
        <v>88</v>
      </c>
      <c r="K26" s="60" t="s">
        <v>89</v>
      </c>
    </row>
    <row r="27" spans="1:26" ht="13.5" customHeight="1">
      <c r="A27" s="64" t="s">
        <v>159</v>
      </c>
      <c r="B27" s="65">
        <f t="shared" ref="B27:G27" si="1">SUM(B28:B32)</f>
        <v>0</v>
      </c>
      <c r="C27" s="65">
        <f t="shared" si="1"/>
        <v>0</v>
      </c>
      <c r="D27" s="65">
        <f t="shared" si="1"/>
        <v>1</v>
      </c>
      <c r="E27" s="65">
        <f t="shared" si="1"/>
        <v>0</v>
      </c>
      <c r="F27" s="65">
        <f t="shared" si="1"/>
        <v>1</v>
      </c>
      <c r="G27" s="66">
        <f t="shared" si="1"/>
        <v>1</v>
      </c>
      <c r="H27" s="61"/>
      <c r="I27" s="64" t="s">
        <v>91</v>
      </c>
      <c r="J27" s="64">
        <f t="shared" ref="J27:K27" si="2">SUM(J28)</f>
        <v>1</v>
      </c>
      <c r="K27" s="66">
        <f t="shared" si="2"/>
        <v>1</v>
      </c>
    </row>
    <row r="28" spans="1:26" ht="13.5" customHeight="1">
      <c r="A28" s="67" t="s">
        <v>19</v>
      </c>
      <c r="B28" s="68">
        <v>0</v>
      </c>
      <c r="C28" s="68">
        <v>0</v>
      </c>
      <c r="D28" s="68">
        <v>1</v>
      </c>
      <c r="E28" s="68">
        <v>0</v>
      </c>
      <c r="F28" s="68">
        <f t="shared" ref="F28:F32" si="3">SUM(B28:E28)</f>
        <v>1</v>
      </c>
      <c r="G28" s="69">
        <f t="shared" ref="G28:G32" si="4">F28/$F$27</f>
        <v>1</v>
      </c>
      <c r="H28" s="61"/>
      <c r="I28" s="70" t="s">
        <v>105</v>
      </c>
      <c r="J28" s="71">
        <v>1</v>
      </c>
      <c r="K28" s="69">
        <f>J28/$J$27</f>
        <v>1</v>
      </c>
    </row>
    <row r="29" spans="1:26" ht="13.5" customHeight="1">
      <c r="A29" s="49" t="s">
        <v>15</v>
      </c>
      <c r="B29" s="53">
        <v>0</v>
      </c>
      <c r="C29" s="53">
        <v>0</v>
      </c>
      <c r="D29" s="53">
        <v>0</v>
      </c>
      <c r="E29" s="53">
        <v>0</v>
      </c>
      <c r="F29" s="53">
        <f t="shared" si="3"/>
        <v>0</v>
      </c>
      <c r="G29" s="69">
        <f t="shared" si="4"/>
        <v>0</v>
      </c>
      <c r="H29" s="61"/>
    </row>
    <row r="30" spans="1:26" ht="13.5" customHeight="1">
      <c r="A30" s="49" t="s">
        <v>16</v>
      </c>
      <c r="B30" s="53">
        <v>0</v>
      </c>
      <c r="C30" s="53">
        <v>0</v>
      </c>
      <c r="D30" s="53">
        <v>0</v>
      </c>
      <c r="E30" s="53">
        <v>0</v>
      </c>
      <c r="F30" s="53">
        <f t="shared" si="3"/>
        <v>0</v>
      </c>
      <c r="G30" s="69">
        <f t="shared" si="4"/>
        <v>0</v>
      </c>
      <c r="H30" s="61"/>
    </row>
    <row r="31" spans="1:26" ht="13.5" customHeight="1">
      <c r="A31" s="49" t="s">
        <v>18</v>
      </c>
      <c r="B31" s="53">
        <v>0</v>
      </c>
      <c r="C31" s="53">
        <v>0</v>
      </c>
      <c r="D31" s="53">
        <v>0</v>
      </c>
      <c r="E31" s="53">
        <v>0</v>
      </c>
      <c r="F31" s="53">
        <f t="shared" si="3"/>
        <v>0</v>
      </c>
      <c r="G31" s="69">
        <f t="shared" si="4"/>
        <v>0</v>
      </c>
      <c r="H31" s="61"/>
    </row>
    <row r="32" spans="1:26" ht="13.5" customHeight="1">
      <c r="A32" s="67" t="s">
        <v>20</v>
      </c>
      <c r="B32" s="68">
        <v>0</v>
      </c>
      <c r="C32" s="68">
        <v>0</v>
      </c>
      <c r="D32" s="53">
        <v>0</v>
      </c>
      <c r="E32" s="53">
        <v>0</v>
      </c>
      <c r="F32" s="53">
        <f t="shared" si="3"/>
        <v>0</v>
      </c>
      <c r="G32" s="69">
        <f t="shared" si="4"/>
        <v>0</v>
      </c>
    </row>
    <row r="33" spans="1:11" ht="13.5" customHeight="1"/>
    <row r="34" spans="1:11" ht="13.5" customHeight="1"/>
    <row r="35" spans="1:11" ht="13.5" customHeight="1">
      <c r="A35" s="58" t="s">
        <v>164</v>
      </c>
      <c r="B35" s="59" t="s">
        <v>4</v>
      </c>
      <c r="C35" s="60" t="s">
        <v>5</v>
      </c>
      <c r="D35" s="60" t="s">
        <v>6</v>
      </c>
      <c r="E35" s="60" t="s">
        <v>7</v>
      </c>
      <c r="F35" s="60" t="s">
        <v>158</v>
      </c>
      <c r="G35" s="60" t="s">
        <v>89</v>
      </c>
      <c r="H35" s="61"/>
      <c r="I35" s="62" t="s">
        <v>87</v>
      </c>
      <c r="J35" s="63" t="s">
        <v>88</v>
      </c>
      <c r="K35" s="60" t="s">
        <v>89</v>
      </c>
    </row>
    <row r="36" spans="1:11" ht="13.5" customHeight="1">
      <c r="A36" s="64" t="s">
        <v>159</v>
      </c>
      <c r="B36" s="65">
        <f t="shared" ref="B36:G36" si="5">SUM(B37:B41)</f>
        <v>0</v>
      </c>
      <c r="C36" s="65">
        <f t="shared" si="5"/>
        <v>1</v>
      </c>
      <c r="D36" s="65">
        <f t="shared" si="5"/>
        <v>0</v>
      </c>
      <c r="E36" s="65">
        <f t="shared" si="5"/>
        <v>1</v>
      </c>
      <c r="F36" s="65">
        <f t="shared" si="5"/>
        <v>2</v>
      </c>
      <c r="G36" s="66">
        <f t="shared" si="5"/>
        <v>1</v>
      </c>
      <c r="H36" s="61"/>
      <c r="I36" s="64" t="s">
        <v>91</v>
      </c>
      <c r="J36" s="64">
        <f t="shared" ref="J36:K36" si="6">SUM(J37:J38)</f>
        <v>2</v>
      </c>
      <c r="K36" s="66">
        <f t="shared" si="6"/>
        <v>1</v>
      </c>
    </row>
    <row r="37" spans="1:11" ht="13.5" customHeight="1">
      <c r="A37" s="67" t="s">
        <v>19</v>
      </c>
      <c r="B37" s="68">
        <v>0</v>
      </c>
      <c r="C37" s="68">
        <v>1</v>
      </c>
      <c r="D37" s="68">
        <v>0</v>
      </c>
      <c r="E37" s="68">
        <v>1</v>
      </c>
      <c r="F37" s="68">
        <f t="shared" ref="F37:F41" si="7">SUM(B37:E37)</f>
        <v>2</v>
      </c>
      <c r="G37" s="69">
        <f t="shared" ref="G37:G41" si="8">F37/$F$36</f>
        <v>1</v>
      </c>
      <c r="H37" s="61"/>
      <c r="I37" s="70" t="s">
        <v>97</v>
      </c>
      <c r="J37" s="71">
        <v>1</v>
      </c>
      <c r="K37" s="69">
        <f t="shared" ref="K37:K38" si="9">J37/$J$36</f>
        <v>0.5</v>
      </c>
    </row>
    <row r="38" spans="1:11" ht="13.5" customHeight="1">
      <c r="A38" s="49" t="s">
        <v>15</v>
      </c>
      <c r="B38" s="53">
        <v>0</v>
      </c>
      <c r="C38" s="53">
        <v>0</v>
      </c>
      <c r="D38" s="53">
        <v>0</v>
      </c>
      <c r="E38" s="53">
        <v>0</v>
      </c>
      <c r="F38" s="53">
        <f t="shared" si="7"/>
        <v>0</v>
      </c>
      <c r="G38" s="69">
        <f t="shared" si="8"/>
        <v>0</v>
      </c>
      <c r="H38" s="61"/>
      <c r="I38" s="70" t="s">
        <v>93</v>
      </c>
      <c r="J38" s="71">
        <v>1</v>
      </c>
      <c r="K38" s="69">
        <f t="shared" si="9"/>
        <v>0.5</v>
      </c>
    </row>
    <row r="39" spans="1:11" ht="13.5" customHeight="1">
      <c r="A39" s="49" t="s">
        <v>16</v>
      </c>
      <c r="B39" s="53">
        <v>0</v>
      </c>
      <c r="C39" s="53">
        <v>0</v>
      </c>
      <c r="D39" s="53">
        <v>0</v>
      </c>
      <c r="E39" s="53">
        <v>0</v>
      </c>
      <c r="F39" s="53">
        <f t="shared" si="7"/>
        <v>0</v>
      </c>
      <c r="G39" s="69">
        <f t="shared" si="8"/>
        <v>0</v>
      </c>
      <c r="H39" s="61"/>
    </row>
    <row r="40" spans="1:11" ht="13.5" customHeight="1">
      <c r="A40" s="49" t="s">
        <v>18</v>
      </c>
      <c r="B40" s="53">
        <v>0</v>
      </c>
      <c r="C40" s="53">
        <v>0</v>
      </c>
      <c r="D40" s="53">
        <v>0</v>
      </c>
      <c r="E40" s="53">
        <v>0</v>
      </c>
      <c r="F40" s="53">
        <f t="shared" si="7"/>
        <v>0</v>
      </c>
      <c r="G40" s="69">
        <f t="shared" si="8"/>
        <v>0</v>
      </c>
      <c r="H40" s="61"/>
    </row>
    <row r="41" spans="1:11" ht="13.5" customHeight="1">
      <c r="A41" s="67" t="s">
        <v>20</v>
      </c>
      <c r="B41" s="68">
        <v>0</v>
      </c>
      <c r="C41" s="68">
        <v>0</v>
      </c>
      <c r="D41" s="68">
        <v>0</v>
      </c>
      <c r="E41" s="53">
        <v>0</v>
      </c>
      <c r="F41" s="53">
        <f t="shared" si="7"/>
        <v>0</v>
      </c>
      <c r="G41" s="69">
        <f t="shared" si="8"/>
        <v>0</v>
      </c>
    </row>
    <row r="42" spans="1:11" ht="13.5" customHeight="1"/>
    <row r="43" spans="1:11" ht="13.5" customHeight="1"/>
    <row r="44" spans="1:11" ht="13.5" customHeight="1">
      <c r="A44" s="58" t="s">
        <v>165</v>
      </c>
      <c r="B44" s="59" t="s">
        <v>4</v>
      </c>
      <c r="C44" s="60" t="s">
        <v>5</v>
      </c>
      <c r="D44" s="60" t="s">
        <v>6</v>
      </c>
      <c r="E44" s="60" t="s">
        <v>7</v>
      </c>
      <c r="F44" s="60" t="s">
        <v>158</v>
      </c>
      <c r="G44" s="60" t="s">
        <v>89</v>
      </c>
      <c r="H44" s="61"/>
      <c r="I44" s="62" t="s">
        <v>87</v>
      </c>
      <c r="J44" s="63" t="s">
        <v>88</v>
      </c>
      <c r="K44" s="60" t="s">
        <v>89</v>
      </c>
    </row>
    <row r="45" spans="1:11" ht="13.5" customHeight="1">
      <c r="A45" s="64" t="s">
        <v>159</v>
      </c>
      <c r="B45" s="65">
        <f t="shared" ref="B45:G45" si="10">SUM(B46)</f>
        <v>1</v>
      </c>
      <c r="C45" s="65">
        <f t="shared" si="10"/>
        <v>0</v>
      </c>
      <c r="D45" s="65">
        <f t="shared" si="10"/>
        <v>0</v>
      </c>
      <c r="E45" s="65">
        <f t="shared" si="10"/>
        <v>0</v>
      </c>
      <c r="F45" s="65">
        <f t="shared" si="10"/>
        <v>1</v>
      </c>
      <c r="G45" s="66">
        <f t="shared" si="10"/>
        <v>1</v>
      </c>
      <c r="H45" s="61"/>
      <c r="I45" s="64" t="s">
        <v>91</v>
      </c>
      <c r="J45" s="64">
        <f t="shared" ref="J45:K45" si="11">SUM(J46)</f>
        <v>1</v>
      </c>
      <c r="K45" s="66">
        <f t="shared" si="11"/>
        <v>1</v>
      </c>
    </row>
    <row r="46" spans="1:11" ht="13.5" customHeight="1">
      <c r="A46" s="67" t="s">
        <v>15</v>
      </c>
      <c r="B46" s="68">
        <v>1</v>
      </c>
      <c r="C46" s="68">
        <v>0</v>
      </c>
      <c r="D46" s="68">
        <v>0</v>
      </c>
      <c r="E46" s="68">
        <v>0</v>
      </c>
      <c r="F46" s="68">
        <f>SUM(B46:E46)</f>
        <v>1</v>
      </c>
      <c r="G46" s="69">
        <f>F46/$F$45</f>
        <v>1</v>
      </c>
      <c r="H46" s="61"/>
      <c r="I46" s="70" t="s">
        <v>113</v>
      </c>
      <c r="J46" s="71">
        <v>1</v>
      </c>
      <c r="K46" s="69">
        <f>J46/$J$45</f>
        <v>1</v>
      </c>
    </row>
    <row r="47" spans="1:11" ht="13.5" customHeight="1"/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0866141732283472" right="0.70866141732283472" top="0.74803149606299213" bottom="0.74803149606299213" header="0" footer="0"/>
  <pageSetup paperSize="9" orientation="landscape"/>
  <rowBreaks count="1" manualBreakCount="1">
    <brk id="3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59765625" defaultRowHeight="15" customHeight="1"/>
  <cols>
    <col min="1" max="1" width="34.59765625" customWidth="1"/>
    <col min="2" max="2" width="15" customWidth="1"/>
    <col min="3" max="3" width="14.09765625" customWidth="1"/>
    <col min="4" max="7" width="9.19921875" customWidth="1"/>
    <col min="8" max="8" width="5" customWidth="1"/>
    <col min="9" max="10" width="10.59765625" customWidth="1"/>
    <col min="11" max="11" width="6.19921875" customWidth="1"/>
    <col min="12" max="26" width="10.59765625" customWidth="1"/>
  </cols>
  <sheetData>
    <row r="1" spans="1:26" ht="13.5" customHeight="1">
      <c r="A1" s="75" t="s">
        <v>166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26" ht="13.5" customHeight="1">
      <c r="A2" s="47"/>
    </row>
    <row r="3" spans="1:26" ht="13.5" customHeight="1">
      <c r="A3" s="48" t="s">
        <v>11</v>
      </c>
      <c r="B3" s="48" t="s">
        <v>154</v>
      </c>
      <c r="C3" s="49" t="s">
        <v>155</v>
      </c>
      <c r="D3" s="50" t="s">
        <v>4</v>
      </c>
      <c r="E3" s="50" t="s">
        <v>5</v>
      </c>
      <c r="F3" s="50" t="s">
        <v>6</v>
      </c>
      <c r="G3" s="49" t="s">
        <v>7</v>
      </c>
    </row>
    <row r="4" spans="1:26" ht="13.5" customHeight="1">
      <c r="A4" s="52" t="s">
        <v>32</v>
      </c>
      <c r="B4" s="52" t="s">
        <v>81</v>
      </c>
      <c r="C4" s="49">
        <v>45678</v>
      </c>
      <c r="D4" s="53">
        <v>0</v>
      </c>
      <c r="E4" s="53">
        <v>1</v>
      </c>
      <c r="F4" s="53">
        <v>1</v>
      </c>
      <c r="G4" s="53">
        <v>2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3.5" customHeight="1">
      <c r="A5" s="52" t="s">
        <v>33</v>
      </c>
      <c r="B5" s="52" t="s">
        <v>81</v>
      </c>
      <c r="C5" s="49">
        <v>45681</v>
      </c>
      <c r="D5" s="53">
        <v>0</v>
      </c>
      <c r="E5" s="53">
        <v>0</v>
      </c>
      <c r="F5" s="53">
        <v>2</v>
      </c>
      <c r="G5" s="53">
        <v>2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>
      <c r="A6" s="52" t="s">
        <v>34</v>
      </c>
      <c r="B6" s="52" t="s">
        <v>128</v>
      </c>
      <c r="C6" s="49">
        <v>45688</v>
      </c>
      <c r="D6" s="53">
        <v>0</v>
      </c>
      <c r="E6" s="53">
        <v>0</v>
      </c>
      <c r="F6" s="53">
        <v>1</v>
      </c>
      <c r="G6" s="53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>
      <c r="A7" s="52" t="s">
        <v>35</v>
      </c>
      <c r="B7" s="52" t="s">
        <v>128</v>
      </c>
      <c r="C7" s="49">
        <v>45688</v>
      </c>
      <c r="D7" s="53">
        <v>0</v>
      </c>
      <c r="E7" s="53">
        <v>1</v>
      </c>
      <c r="F7" s="53">
        <v>0</v>
      </c>
      <c r="G7" s="53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>
      <c r="A8" s="52" t="s">
        <v>36</v>
      </c>
      <c r="B8" s="52" t="s">
        <v>128</v>
      </c>
      <c r="C8" s="49">
        <v>45688</v>
      </c>
      <c r="D8" s="53">
        <v>0</v>
      </c>
      <c r="E8" s="53">
        <v>0</v>
      </c>
      <c r="F8" s="53">
        <v>0</v>
      </c>
      <c r="G8" s="53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>
      <c r="A9" s="52" t="s">
        <v>37</v>
      </c>
      <c r="B9" s="52" t="s">
        <v>81</v>
      </c>
      <c r="C9" s="49">
        <v>45693</v>
      </c>
      <c r="D9" s="53">
        <v>0</v>
      </c>
      <c r="E9" s="53">
        <v>0</v>
      </c>
      <c r="F9" s="53"/>
      <c r="G9" s="53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3.5" customHeight="1">
      <c r="A10" s="52" t="s">
        <v>38</v>
      </c>
      <c r="B10" s="52" t="s">
        <v>81</v>
      </c>
      <c r="C10" s="49">
        <v>45693</v>
      </c>
      <c r="D10" s="53">
        <v>1</v>
      </c>
      <c r="E10" s="53">
        <v>0</v>
      </c>
      <c r="F10" s="53"/>
      <c r="G10" s="53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3.5" customHeight="1"/>
    <row r="12" spans="1:26" ht="13.5" customHeight="1"/>
    <row r="13" spans="1:26" ht="13.5" customHeight="1">
      <c r="A13" s="76" t="s">
        <v>167</v>
      </c>
      <c r="B13" s="59" t="s">
        <v>4</v>
      </c>
      <c r="C13" s="60" t="s">
        <v>5</v>
      </c>
      <c r="D13" s="60" t="s">
        <v>6</v>
      </c>
      <c r="E13" s="60" t="s">
        <v>7</v>
      </c>
      <c r="F13" s="60" t="s">
        <v>158</v>
      </c>
      <c r="G13" s="60" t="s">
        <v>89</v>
      </c>
      <c r="H13" s="61"/>
      <c r="I13" s="62" t="s">
        <v>87</v>
      </c>
      <c r="J13" s="63" t="s">
        <v>88</v>
      </c>
      <c r="K13" s="60" t="s">
        <v>89</v>
      </c>
    </row>
    <row r="14" spans="1:26" ht="13.5" customHeight="1">
      <c r="A14" s="77" t="s">
        <v>159</v>
      </c>
      <c r="B14" s="78">
        <f t="shared" ref="B14:G14" si="0">SUM(B15:B18)</f>
        <v>0</v>
      </c>
      <c r="C14" s="78">
        <f t="shared" si="0"/>
        <v>1</v>
      </c>
      <c r="D14" s="78">
        <f t="shared" si="0"/>
        <v>1</v>
      </c>
      <c r="E14" s="78">
        <f t="shared" si="0"/>
        <v>2</v>
      </c>
      <c r="F14" s="78">
        <f t="shared" si="0"/>
        <v>4</v>
      </c>
      <c r="G14" s="79">
        <f t="shared" si="0"/>
        <v>1</v>
      </c>
      <c r="H14" s="61"/>
      <c r="I14" s="77" t="s">
        <v>91</v>
      </c>
      <c r="J14" s="77">
        <f t="shared" ref="J14:K14" si="1">SUM(J15:J17)</f>
        <v>4</v>
      </c>
      <c r="K14" s="79">
        <f t="shared" si="1"/>
        <v>1</v>
      </c>
    </row>
    <row r="15" spans="1:26" ht="13.5" customHeight="1">
      <c r="A15" s="67" t="s">
        <v>19</v>
      </c>
      <c r="B15" s="68">
        <v>0</v>
      </c>
      <c r="C15" s="68">
        <v>0</v>
      </c>
      <c r="D15" s="53">
        <v>1</v>
      </c>
      <c r="E15" s="53">
        <v>1</v>
      </c>
      <c r="F15" s="53">
        <f t="shared" ref="F15:F18" si="2">SUM(B15:E15)</f>
        <v>2</v>
      </c>
      <c r="G15" s="69">
        <f t="shared" ref="G15:G18" si="3">F15/$F$14</f>
        <v>0.5</v>
      </c>
      <c r="H15" s="61"/>
      <c r="I15" s="70" t="s">
        <v>93</v>
      </c>
      <c r="J15" s="71">
        <v>2</v>
      </c>
      <c r="K15" s="69">
        <f t="shared" ref="K15:K17" si="4">J15/$J$14</f>
        <v>0.5</v>
      </c>
    </row>
    <row r="16" spans="1:26" ht="13.5" customHeight="1">
      <c r="A16" s="49" t="s">
        <v>16</v>
      </c>
      <c r="B16" s="53">
        <v>0</v>
      </c>
      <c r="C16" s="53">
        <v>1</v>
      </c>
      <c r="D16" s="53">
        <v>0</v>
      </c>
      <c r="E16" s="53">
        <v>0</v>
      </c>
      <c r="F16" s="53">
        <f t="shared" si="2"/>
        <v>1</v>
      </c>
      <c r="G16" s="69">
        <f t="shared" si="3"/>
        <v>0.25</v>
      </c>
      <c r="H16" s="61"/>
      <c r="I16" s="70" t="s">
        <v>125</v>
      </c>
      <c r="J16" s="71">
        <v>1</v>
      </c>
      <c r="K16" s="69">
        <f t="shared" si="4"/>
        <v>0.25</v>
      </c>
    </row>
    <row r="17" spans="1:11" ht="13.5" customHeight="1">
      <c r="A17" s="49" t="s">
        <v>18</v>
      </c>
      <c r="B17" s="53">
        <v>0</v>
      </c>
      <c r="C17" s="53">
        <v>0</v>
      </c>
      <c r="D17" s="53">
        <v>0</v>
      </c>
      <c r="E17" s="53">
        <v>1</v>
      </c>
      <c r="F17" s="53">
        <f t="shared" si="2"/>
        <v>1</v>
      </c>
      <c r="G17" s="69">
        <f t="shared" si="3"/>
        <v>0.25</v>
      </c>
      <c r="H17" s="61"/>
      <c r="I17" s="70" t="s">
        <v>95</v>
      </c>
      <c r="J17" s="71">
        <v>1</v>
      </c>
      <c r="K17" s="69">
        <f t="shared" si="4"/>
        <v>0.25</v>
      </c>
    </row>
    <row r="18" spans="1:11" ht="13.5" customHeight="1">
      <c r="A18" s="49" t="s">
        <v>15</v>
      </c>
      <c r="B18" s="53">
        <v>0</v>
      </c>
      <c r="C18" s="53">
        <v>0</v>
      </c>
      <c r="D18" s="53">
        <v>0</v>
      </c>
      <c r="E18" s="53">
        <v>0</v>
      </c>
      <c r="F18" s="53">
        <f t="shared" si="2"/>
        <v>0</v>
      </c>
      <c r="G18" s="69">
        <f t="shared" si="3"/>
        <v>0</v>
      </c>
      <c r="H18" s="61"/>
    </row>
    <row r="19" spans="1:11" ht="13.5" customHeight="1"/>
    <row r="20" spans="1:11" ht="13.5" customHeight="1"/>
    <row r="21" spans="1:11" ht="13.5" customHeight="1">
      <c r="A21" s="76" t="s">
        <v>168</v>
      </c>
      <c r="B21" s="59" t="s">
        <v>4</v>
      </c>
      <c r="C21" s="60" t="s">
        <v>5</v>
      </c>
      <c r="D21" s="60" t="s">
        <v>6</v>
      </c>
      <c r="E21" s="60" t="s">
        <v>7</v>
      </c>
      <c r="F21" s="60" t="s">
        <v>158</v>
      </c>
      <c r="G21" s="60" t="s">
        <v>89</v>
      </c>
      <c r="H21" s="61"/>
      <c r="I21" s="62" t="s">
        <v>87</v>
      </c>
      <c r="J21" s="63" t="s">
        <v>88</v>
      </c>
      <c r="K21" s="60" t="s">
        <v>89</v>
      </c>
    </row>
    <row r="22" spans="1:11" ht="13.5" customHeight="1">
      <c r="A22" s="77" t="s">
        <v>159</v>
      </c>
      <c r="B22" s="78">
        <f t="shared" ref="B22:G22" si="5">SUM(B23:B26)</f>
        <v>0</v>
      </c>
      <c r="C22" s="78">
        <f t="shared" si="5"/>
        <v>0</v>
      </c>
      <c r="D22" s="78">
        <f t="shared" si="5"/>
        <v>2</v>
      </c>
      <c r="E22" s="78">
        <f t="shared" si="5"/>
        <v>2</v>
      </c>
      <c r="F22" s="78">
        <f t="shared" si="5"/>
        <v>4</v>
      </c>
      <c r="G22" s="79">
        <f t="shared" si="5"/>
        <v>1</v>
      </c>
      <c r="H22" s="61"/>
      <c r="I22" s="77" t="s">
        <v>91</v>
      </c>
      <c r="J22" s="77">
        <f t="shared" ref="J22:K22" si="6">SUM(J23:J24)</f>
        <v>4</v>
      </c>
      <c r="K22" s="79">
        <f t="shared" si="6"/>
        <v>1</v>
      </c>
    </row>
    <row r="23" spans="1:11" ht="13.5" customHeight="1">
      <c r="A23" s="67" t="s">
        <v>19</v>
      </c>
      <c r="B23" s="68">
        <v>0</v>
      </c>
      <c r="C23" s="68">
        <v>0</v>
      </c>
      <c r="D23" s="53">
        <v>2</v>
      </c>
      <c r="E23" s="53">
        <v>1</v>
      </c>
      <c r="F23" s="53">
        <f t="shared" ref="F23:F26" si="7">SUM(B23:E23)</f>
        <v>3</v>
      </c>
      <c r="G23" s="69">
        <f t="shared" ref="G23:G26" si="8">F23/$F$22</f>
        <v>0.75</v>
      </c>
      <c r="H23" s="61"/>
      <c r="I23" s="70" t="s">
        <v>113</v>
      </c>
      <c r="J23" s="71">
        <v>2</v>
      </c>
      <c r="K23" s="69">
        <f t="shared" ref="K23:K24" si="9">J23/$J$22</f>
        <v>0.5</v>
      </c>
    </row>
    <row r="24" spans="1:11" ht="13.5" customHeight="1">
      <c r="A24" s="49" t="s">
        <v>16</v>
      </c>
      <c r="B24" s="53">
        <v>0</v>
      </c>
      <c r="C24" s="53">
        <v>0</v>
      </c>
      <c r="D24" s="53">
        <v>0</v>
      </c>
      <c r="E24" s="53">
        <v>1</v>
      </c>
      <c r="F24" s="53">
        <f t="shared" si="7"/>
        <v>1</v>
      </c>
      <c r="G24" s="69">
        <f t="shared" si="8"/>
        <v>0.25</v>
      </c>
      <c r="H24" s="61"/>
      <c r="I24" s="70" t="s">
        <v>106</v>
      </c>
      <c r="J24" s="71">
        <v>2</v>
      </c>
      <c r="K24" s="69">
        <f t="shared" si="9"/>
        <v>0.5</v>
      </c>
    </row>
    <row r="25" spans="1:11" ht="13.5" customHeight="1">
      <c r="A25" s="49" t="s">
        <v>15</v>
      </c>
      <c r="B25" s="53">
        <v>0</v>
      </c>
      <c r="C25" s="53">
        <v>0</v>
      </c>
      <c r="D25" s="53">
        <v>0</v>
      </c>
      <c r="E25" s="53">
        <v>0</v>
      </c>
      <c r="F25" s="53">
        <f t="shared" si="7"/>
        <v>0</v>
      </c>
      <c r="G25" s="69">
        <f t="shared" si="8"/>
        <v>0</v>
      </c>
      <c r="H25" s="61"/>
    </row>
    <row r="26" spans="1:11" ht="13.5" customHeight="1">
      <c r="A26" s="49" t="s">
        <v>18</v>
      </c>
      <c r="B26" s="53">
        <v>0</v>
      </c>
      <c r="C26" s="53">
        <v>0</v>
      </c>
      <c r="D26" s="53">
        <v>0</v>
      </c>
      <c r="E26" s="53">
        <v>0</v>
      </c>
      <c r="F26" s="53">
        <f t="shared" si="7"/>
        <v>0</v>
      </c>
      <c r="G26" s="69">
        <f t="shared" si="8"/>
        <v>0</v>
      </c>
      <c r="H26" s="61"/>
    </row>
    <row r="27" spans="1:11" ht="13.5" customHeight="1"/>
    <row r="28" spans="1:11" ht="13.5" customHeight="1"/>
    <row r="29" spans="1:11" ht="13.5" customHeight="1">
      <c r="A29" s="76" t="s">
        <v>163</v>
      </c>
      <c r="B29" s="59" t="s">
        <v>4</v>
      </c>
      <c r="C29" s="60" t="s">
        <v>5</v>
      </c>
      <c r="D29" s="60" t="s">
        <v>6</v>
      </c>
      <c r="E29" s="60" t="s">
        <v>7</v>
      </c>
      <c r="F29" s="60" t="s">
        <v>158</v>
      </c>
      <c r="G29" s="60" t="s">
        <v>89</v>
      </c>
      <c r="H29" s="61"/>
      <c r="I29" s="62" t="s">
        <v>87</v>
      </c>
      <c r="J29" s="63" t="s">
        <v>88</v>
      </c>
      <c r="K29" s="60" t="s">
        <v>89</v>
      </c>
    </row>
    <row r="30" spans="1:11" ht="13.5" customHeight="1">
      <c r="A30" s="77" t="s">
        <v>159</v>
      </c>
      <c r="B30" s="78">
        <f t="shared" ref="B30:G30" si="10">SUM(B31:B35)</f>
        <v>0</v>
      </c>
      <c r="C30" s="78">
        <f t="shared" si="10"/>
        <v>0</v>
      </c>
      <c r="D30" s="78">
        <f t="shared" si="10"/>
        <v>1</v>
      </c>
      <c r="E30" s="78">
        <f t="shared" si="10"/>
        <v>0</v>
      </c>
      <c r="F30" s="78">
        <f t="shared" si="10"/>
        <v>1</v>
      </c>
      <c r="G30" s="79">
        <f t="shared" si="10"/>
        <v>1</v>
      </c>
      <c r="H30" s="61"/>
      <c r="I30" s="77" t="s">
        <v>91</v>
      </c>
      <c r="J30" s="77">
        <f t="shared" ref="J30:K30" si="11">SUM(J31)</f>
        <v>1</v>
      </c>
      <c r="K30" s="79">
        <f t="shared" si="11"/>
        <v>1</v>
      </c>
    </row>
    <row r="31" spans="1:11" ht="13.5" customHeight="1">
      <c r="A31" s="67" t="s">
        <v>19</v>
      </c>
      <c r="B31" s="68">
        <v>0</v>
      </c>
      <c r="C31" s="68">
        <v>0</v>
      </c>
      <c r="D31" s="53">
        <v>1</v>
      </c>
      <c r="E31" s="53"/>
      <c r="F31" s="53">
        <f t="shared" ref="F31:F35" si="12">SUM(B31:E31)</f>
        <v>1</v>
      </c>
      <c r="G31" s="69">
        <f t="shared" ref="G31:G35" si="13">F31/$F$30</f>
        <v>1</v>
      </c>
      <c r="H31" s="61"/>
      <c r="I31" s="70" t="s">
        <v>105</v>
      </c>
      <c r="J31" s="71">
        <v>1</v>
      </c>
      <c r="K31" s="69">
        <f>J31/$J$30</f>
        <v>1</v>
      </c>
    </row>
    <row r="32" spans="1:11" ht="13.5" customHeight="1">
      <c r="A32" s="49" t="s">
        <v>15</v>
      </c>
      <c r="B32" s="53">
        <v>0</v>
      </c>
      <c r="C32" s="53">
        <v>0</v>
      </c>
      <c r="D32" s="53">
        <v>0</v>
      </c>
      <c r="E32" s="53"/>
      <c r="F32" s="53">
        <f t="shared" si="12"/>
        <v>0</v>
      </c>
      <c r="G32" s="69">
        <f t="shared" si="13"/>
        <v>0</v>
      </c>
      <c r="H32" s="61"/>
    </row>
    <row r="33" spans="1:11" ht="13.5" customHeight="1">
      <c r="A33" s="49" t="s">
        <v>16</v>
      </c>
      <c r="B33" s="53">
        <v>0</v>
      </c>
      <c r="C33" s="53">
        <v>0</v>
      </c>
      <c r="D33" s="53">
        <v>0</v>
      </c>
      <c r="E33" s="53"/>
      <c r="F33" s="53">
        <f t="shared" si="12"/>
        <v>0</v>
      </c>
      <c r="G33" s="69">
        <f t="shared" si="13"/>
        <v>0</v>
      </c>
      <c r="H33" s="61"/>
    </row>
    <row r="34" spans="1:11" ht="13.5" customHeight="1">
      <c r="A34" s="49" t="s">
        <v>18</v>
      </c>
      <c r="B34" s="53">
        <v>0</v>
      </c>
      <c r="C34" s="53">
        <v>0</v>
      </c>
      <c r="D34" s="53">
        <v>0</v>
      </c>
      <c r="E34" s="53"/>
      <c r="F34" s="53">
        <f t="shared" si="12"/>
        <v>0</v>
      </c>
      <c r="G34" s="69">
        <f t="shared" si="13"/>
        <v>0</v>
      </c>
      <c r="H34" s="61"/>
    </row>
    <row r="35" spans="1:11" ht="13.5" customHeight="1">
      <c r="A35" s="67" t="s">
        <v>20</v>
      </c>
      <c r="B35" s="68">
        <v>0</v>
      </c>
      <c r="C35" s="68">
        <v>0</v>
      </c>
      <c r="D35" s="53">
        <v>0</v>
      </c>
      <c r="E35" s="53"/>
      <c r="F35" s="53">
        <f t="shared" si="12"/>
        <v>0</v>
      </c>
      <c r="G35" s="69">
        <f t="shared" si="13"/>
        <v>0</v>
      </c>
    </row>
    <row r="36" spans="1:11" ht="13.5" customHeight="1"/>
    <row r="37" spans="1:11" ht="13.5" customHeight="1"/>
    <row r="38" spans="1:11" ht="13.5" customHeight="1">
      <c r="A38" s="76" t="s">
        <v>164</v>
      </c>
      <c r="B38" s="59" t="s">
        <v>4</v>
      </c>
      <c r="C38" s="60" t="s">
        <v>5</v>
      </c>
      <c r="D38" s="60" t="s">
        <v>6</v>
      </c>
      <c r="E38" s="60" t="s">
        <v>7</v>
      </c>
      <c r="F38" s="60" t="s">
        <v>158</v>
      </c>
      <c r="G38" s="60" t="s">
        <v>89</v>
      </c>
      <c r="H38" s="61"/>
      <c r="I38" s="62" t="s">
        <v>87</v>
      </c>
      <c r="J38" s="63" t="s">
        <v>88</v>
      </c>
      <c r="K38" s="60" t="s">
        <v>89</v>
      </c>
    </row>
    <row r="39" spans="1:11" ht="13.5" customHeight="1">
      <c r="A39" s="77" t="s">
        <v>159</v>
      </c>
      <c r="B39" s="78">
        <f t="shared" ref="B39:G39" si="14">SUM(B40:B44)</f>
        <v>0</v>
      </c>
      <c r="C39" s="78">
        <f t="shared" si="14"/>
        <v>1</v>
      </c>
      <c r="D39" s="78">
        <f t="shared" si="14"/>
        <v>0</v>
      </c>
      <c r="E39" s="78">
        <f t="shared" si="14"/>
        <v>0</v>
      </c>
      <c r="F39" s="78">
        <f t="shared" si="14"/>
        <v>1</v>
      </c>
      <c r="G39" s="79">
        <f t="shared" si="14"/>
        <v>1</v>
      </c>
      <c r="H39" s="61"/>
      <c r="I39" s="77" t="s">
        <v>91</v>
      </c>
      <c r="J39" s="77">
        <f t="shared" ref="J39:K39" si="15">SUM(J40)</f>
        <v>1</v>
      </c>
      <c r="K39" s="79">
        <f t="shared" si="15"/>
        <v>1</v>
      </c>
    </row>
    <row r="40" spans="1:11" ht="13.5" customHeight="1">
      <c r="A40" s="67" t="s">
        <v>19</v>
      </c>
      <c r="B40" s="68">
        <v>0</v>
      </c>
      <c r="C40" s="68">
        <v>1</v>
      </c>
      <c r="D40" s="68">
        <v>0</v>
      </c>
      <c r="E40" s="53"/>
      <c r="F40" s="53">
        <f t="shared" ref="F40:F44" si="16">SUM(B40:E40)</f>
        <v>1</v>
      </c>
      <c r="G40" s="69">
        <f t="shared" ref="G40:G44" si="17">F40/$F$39</f>
        <v>1</v>
      </c>
      <c r="H40" s="61"/>
      <c r="I40" s="70" t="s">
        <v>93</v>
      </c>
      <c r="J40" s="71">
        <v>1</v>
      </c>
      <c r="K40" s="69">
        <f>J40/$J$39</f>
        <v>1</v>
      </c>
    </row>
    <row r="41" spans="1:11" ht="13.5" customHeight="1">
      <c r="A41" s="49" t="s">
        <v>15</v>
      </c>
      <c r="B41" s="53">
        <v>0</v>
      </c>
      <c r="C41" s="53">
        <v>0</v>
      </c>
      <c r="D41" s="53">
        <v>0</v>
      </c>
      <c r="E41" s="53"/>
      <c r="F41" s="53">
        <f t="shared" si="16"/>
        <v>0</v>
      </c>
      <c r="G41" s="69">
        <f t="shared" si="17"/>
        <v>0</v>
      </c>
      <c r="H41" s="61"/>
    </row>
    <row r="42" spans="1:11" ht="13.5" customHeight="1">
      <c r="A42" s="49" t="s">
        <v>16</v>
      </c>
      <c r="B42" s="53">
        <v>0</v>
      </c>
      <c r="C42" s="53">
        <v>0</v>
      </c>
      <c r="D42" s="53">
        <v>0</v>
      </c>
      <c r="E42" s="53"/>
      <c r="F42" s="53">
        <f t="shared" si="16"/>
        <v>0</v>
      </c>
      <c r="G42" s="69">
        <f t="shared" si="17"/>
        <v>0</v>
      </c>
      <c r="H42" s="61"/>
    </row>
    <row r="43" spans="1:11" ht="13.5" customHeight="1">
      <c r="A43" s="49" t="s">
        <v>18</v>
      </c>
      <c r="B43" s="53">
        <v>0</v>
      </c>
      <c r="C43" s="53">
        <v>0</v>
      </c>
      <c r="D43" s="53">
        <v>0</v>
      </c>
      <c r="E43" s="53"/>
      <c r="F43" s="53">
        <f t="shared" si="16"/>
        <v>0</v>
      </c>
      <c r="G43" s="69">
        <f t="shared" si="17"/>
        <v>0</v>
      </c>
      <c r="H43" s="61"/>
    </row>
    <row r="44" spans="1:11" ht="13.5" customHeight="1">
      <c r="A44" s="67" t="s">
        <v>20</v>
      </c>
      <c r="B44" s="68">
        <v>0</v>
      </c>
      <c r="C44" s="68">
        <v>0</v>
      </c>
      <c r="D44" s="68">
        <v>0</v>
      </c>
      <c r="E44" s="53"/>
      <c r="F44" s="53">
        <f t="shared" si="16"/>
        <v>0</v>
      </c>
      <c r="G44" s="69">
        <f t="shared" si="17"/>
        <v>0</v>
      </c>
    </row>
    <row r="45" spans="1:11" ht="13.5" customHeight="1"/>
    <row r="46" spans="1:11" ht="13.5" customHeight="1"/>
    <row r="47" spans="1:11" ht="13.5" customHeight="1">
      <c r="A47" s="76" t="s">
        <v>165</v>
      </c>
      <c r="B47" s="59" t="s">
        <v>4</v>
      </c>
      <c r="C47" s="60" t="s">
        <v>5</v>
      </c>
      <c r="D47" s="60" t="s">
        <v>6</v>
      </c>
      <c r="E47" s="60" t="s">
        <v>7</v>
      </c>
      <c r="F47" s="60" t="s">
        <v>158</v>
      </c>
      <c r="G47" s="60" t="s">
        <v>89</v>
      </c>
      <c r="H47" s="61"/>
      <c r="I47" s="62" t="s">
        <v>87</v>
      </c>
      <c r="J47" s="63" t="s">
        <v>88</v>
      </c>
      <c r="K47" s="60" t="s">
        <v>89</v>
      </c>
    </row>
    <row r="48" spans="1:11" ht="13.5" customHeight="1">
      <c r="A48" s="77" t="s">
        <v>159</v>
      </c>
      <c r="B48" s="78">
        <f t="shared" ref="B48:G48" si="18">SUM(B49)</f>
        <v>1</v>
      </c>
      <c r="C48" s="78">
        <f t="shared" si="18"/>
        <v>0</v>
      </c>
      <c r="D48" s="78">
        <f t="shared" si="18"/>
        <v>0</v>
      </c>
      <c r="E48" s="78">
        <f t="shared" si="18"/>
        <v>0</v>
      </c>
      <c r="F48" s="78">
        <f t="shared" si="18"/>
        <v>1</v>
      </c>
      <c r="G48" s="79">
        <f t="shared" si="18"/>
        <v>1</v>
      </c>
      <c r="H48" s="61"/>
      <c r="I48" s="77" t="s">
        <v>91</v>
      </c>
      <c r="J48" s="77">
        <f t="shared" ref="J48:K48" si="19">SUM(J49)</f>
        <v>1</v>
      </c>
      <c r="K48" s="79">
        <f t="shared" si="19"/>
        <v>1</v>
      </c>
    </row>
    <row r="49" spans="1:11" ht="13.5" customHeight="1">
      <c r="A49" s="49" t="s">
        <v>15</v>
      </c>
      <c r="B49" s="53">
        <v>1</v>
      </c>
      <c r="C49" s="53">
        <v>0</v>
      </c>
      <c r="D49" s="53"/>
      <c r="E49" s="53"/>
      <c r="F49" s="53">
        <f>SUM(B49:E49)</f>
        <v>1</v>
      </c>
      <c r="G49" s="69">
        <f>F49/$F$48</f>
        <v>1</v>
      </c>
      <c r="H49" s="61"/>
      <c r="I49" s="70" t="s">
        <v>113</v>
      </c>
      <c r="J49" s="71">
        <v>1</v>
      </c>
      <c r="K49" s="69">
        <f>J49/$J$48</f>
        <v>1</v>
      </c>
    </row>
    <row r="50" spans="1:11" ht="13.5" customHeight="1"/>
    <row r="51" spans="1:11" ht="13.5" customHeight="1"/>
    <row r="52" spans="1:11" ht="13.5" customHeight="1"/>
    <row r="53" spans="1:11" ht="13.5" customHeight="1"/>
    <row r="54" spans="1:11" ht="13.5" customHeight="1"/>
    <row r="55" spans="1:11" ht="13.5" customHeight="1"/>
    <row r="56" spans="1:11" ht="13.5" customHeight="1"/>
    <row r="57" spans="1:11" ht="13.5" customHeight="1"/>
    <row r="58" spans="1:11" ht="13.5" customHeight="1"/>
    <row r="59" spans="1:11" ht="13.5" customHeight="1"/>
    <row r="60" spans="1:11" ht="13.5" customHeight="1"/>
    <row r="61" spans="1:11" ht="13.5" customHeight="1"/>
    <row r="62" spans="1:11" ht="13.5" customHeight="1"/>
    <row r="63" spans="1:11" ht="13.5" customHeight="1"/>
    <row r="64" spans="1:1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0866141732283472" right="0.70866141732283472" top="0.74803149606299213" bottom="0.74803149606299213" header="0" footer="0"/>
  <pageSetup paperSize="9" scale="9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59765625" defaultRowHeight="15" customHeight="1"/>
  <cols>
    <col min="1" max="1" width="33.3984375" customWidth="1"/>
    <col min="2" max="2" width="15" customWidth="1"/>
    <col min="3" max="3" width="14.09765625" customWidth="1"/>
    <col min="4" max="7" width="9.19921875" customWidth="1"/>
    <col min="8" max="8" width="5" customWidth="1"/>
    <col min="9" max="10" width="10.59765625" customWidth="1"/>
    <col min="11" max="11" width="6.19921875" customWidth="1"/>
    <col min="12" max="26" width="10.59765625" customWidth="1"/>
  </cols>
  <sheetData>
    <row r="1" spans="1:26" ht="13.5" customHeight="1">
      <c r="A1" s="75" t="s">
        <v>169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26" ht="13.5" customHeight="1">
      <c r="A2" s="47"/>
    </row>
    <row r="3" spans="1:26" ht="13.5" customHeight="1">
      <c r="A3" s="48" t="s">
        <v>11</v>
      </c>
      <c r="B3" s="48" t="s">
        <v>154</v>
      </c>
      <c r="C3" s="49" t="s">
        <v>155</v>
      </c>
      <c r="D3" s="50" t="s">
        <v>4</v>
      </c>
      <c r="E3" s="50" t="s">
        <v>5</v>
      </c>
      <c r="F3" s="50" t="s">
        <v>6</v>
      </c>
      <c r="G3" s="49" t="s">
        <v>7</v>
      </c>
    </row>
    <row r="4" spans="1:26" ht="13.5" customHeight="1">
      <c r="A4" s="52" t="s">
        <v>24</v>
      </c>
      <c r="B4" s="52" t="s">
        <v>128</v>
      </c>
      <c r="C4" s="49">
        <v>45661</v>
      </c>
      <c r="D4" s="53">
        <v>0</v>
      </c>
      <c r="E4" s="53">
        <v>0</v>
      </c>
      <c r="F4" s="53">
        <v>0</v>
      </c>
      <c r="G4" s="53">
        <v>0</v>
      </c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3.5" customHeight="1">
      <c r="A5" s="52" t="s">
        <v>25</v>
      </c>
      <c r="B5" s="52" t="s">
        <v>128</v>
      </c>
      <c r="C5" s="49">
        <v>45661</v>
      </c>
      <c r="D5" s="53">
        <v>0</v>
      </c>
      <c r="E5" s="53">
        <v>0</v>
      </c>
      <c r="F5" s="53">
        <v>0</v>
      </c>
      <c r="G5" s="53">
        <v>0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>
      <c r="A6" s="52" t="s">
        <v>26</v>
      </c>
      <c r="B6" s="52" t="s">
        <v>128</v>
      </c>
      <c r="C6" s="49">
        <v>45661</v>
      </c>
      <c r="D6" s="53">
        <v>0</v>
      </c>
      <c r="E6" s="53">
        <v>0</v>
      </c>
      <c r="F6" s="53">
        <v>0</v>
      </c>
      <c r="G6" s="53">
        <v>0</v>
      </c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>
      <c r="A7" s="52" t="s">
        <v>27</v>
      </c>
      <c r="B7" s="52" t="s">
        <v>81</v>
      </c>
      <c r="C7" s="49">
        <v>45661</v>
      </c>
      <c r="D7" s="53">
        <v>6</v>
      </c>
      <c r="E7" s="53">
        <v>3</v>
      </c>
      <c r="F7" s="53">
        <v>1</v>
      </c>
      <c r="G7" s="53">
        <v>4</v>
      </c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>
      <c r="A8" s="52" t="s">
        <v>28</v>
      </c>
      <c r="B8" s="52" t="s">
        <v>152</v>
      </c>
      <c r="C8" s="49">
        <v>45665</v>
      </c>
      <c r="D8" s="53">
        <v>1</v>
      </c>
      <c r="E8" s="53">
        <v>2</v>
      </c>
      <c r="F8" s="53">
        <v>0</v>
      </c>
      <c r="G8" s="53">
        <v>0</v>
      </c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>
      <c r="A9" s="52" t="s">
        <v>29</v>
      </c>
      <c r="B9" s="52" t="s">
        <v>152</v>
      </c>
      <c r="C9" s="49">
        <v>45665</v>
      </c>
      <c r="D9" s="53">
        <v>1</v>
      </c>
      <c r="E9" s="53">
        <v>2</v>
      </c>
      <c r="F9" s="53">
        <v>0</v>
      </c>
      <c r="G9" s="53">
        <v>4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3.5" customHeight="1">
      <c r="A10" s="52" t="s">
        <v>30</v>
      </c>
      <c r="B10" s="52" t="s">
        <v>81</v>
      </c>
      <c r="C10" s="49">
        <v>45667</v>
      </c>
      <c r="D10" s="53">
        <v>8</v>
      </c>
      <c r="E10" s="53">
        <v>7</v>
      </c>
      <c r="F10" s="53">
        <v>1</v>
      </c>
      <c r="G10" s="53">
        <v>1</v>
      </c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3.5" customHeight="1">
      <c r="A11" s="52" t="s">
        <v>31</v>
      </c>
      <c r="B11" s="52" t="s">
        <v>81</v>
      </c>
      <c r="C11" s="49">
        <v>45667</v>
      </c>
      <c r="D11" s="53">
        <v>6</v>
      </c>
      <c r="E11" s="53">
        <v>4</v>
      </c>
      <c r="F11" s="53">
        <v>5</v>
      </c>
      <c r="G11" s="53">
        <v>1</v>
      </c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3.5" customHeight="1">
      <c r="A12" s="52" t="s">
        <v>32</v>
      </c>
      <c r="B12" s="52" t="s">
        <v>81</v>
      </c>
      <c r="C12" s="49">
        <v>45678</v>
      </c>
      <c r="D12" s="53">
        <v>0</v>
      </c>
      <c r="E12" s="53">
        <v>1</v>
      </c>
      <c r="F12" s="53"/>
      <c r="G12" s="53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3.5" customHeight="1">
      <c r="A13" s="52" t="s">
        <v>33</v>
      </c>
      <c r="B13" s="52" t="s">
        <v>81</v>
      </c>
      <c r="C13" s="49">
        <v>45681</v>
      </c>
      <c r="D13" s="53">
        <v>0</v>
      </c>
      <c r="E13" s="53">
        <v>0</v>
      </c>
      <c r="F13" s="53"/>
      <c r="G13" s="53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3.5" customHeight="1">
      <c r="A14" s="52" t="s">
        <v>34</v>
      </c>
      <c r="B14" s="52" t="s">
        <v>128</v>
      </c>
      <c r="C14" s="49">
        <v>45688</v>
      </c>
      <c r="D14" s="53">
        <v>0</v>
      </c>
      <c r="E14" s="53"/>
      <c r="F14" s="53"/>
      <c r="G14" s="53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3.5" customHeight="1">
      <c r="A15" s="52" t="s">
        <v>35</v>
      </c>
      <c r="B15" s="52" t="s">
        <v>128</v>
      </c>
      <c r="C15" s="49">
        <v>45688</v>
      </c>
      <c r="D15" s="53">
        <v>0</v>
      </c>
      <c r="E15" s="53"/>
      <c r="F15" s="53"/>
      <c r="G15" s="53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3.5" customHeight="1">
      <c r="A16" s="52" t="s">
        <v>36</v>
      </c>
      <c r="B16" s="52" t="s">
        <v>128</v>
      </c>
      <c r="C16" s="49">
        <v>45688</v>
      </c>
      <c r="D16" s="53">
        <v>0</v>
      </c>
      <c r="E16" s="53"/>
      <c r="F16" s="53"/>
      <c r="G16" s="53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11" ht="13.5" customHeight="1"/>
    <row r="18" spans="1:11" ht="13.5" customHeight="1"/>
    <row r="19" spans="1:11" ht="13.5" customHeight="1">
      <c r="A19" s="80" t="s">
        <v>170</v>
      </c>
      <c r="B19" s="59" t="s">
        <v>4</v>
      </c>
      <c r="C19" s="60" t="s">
        <v>5</v>
      </c>
      <c r="D19" s="60" t="s">
        <v>6</v>
      </c>
      <c r="E19" s="60" t="s">
        <v>7</v>
      </c>
      <c r="F19" s="60" t="s">
        <v>158</v>
      </c>
      <c r="G19" s="60" t="s">
        <v>89</v>
      </c>
      <c r="H19" s="61"/>
      <c r="I19" s="62" t="s">
        <v>87</v>
      </c>
      <c r="J19" s="63" t="s">
        <v>88</v>
      </c>
      <c r="K19" s="60" t="s">
        <v>89</v>
      </c>
    </row>
    <row r="20" spans="1:11" ht="13.5" customHeight="1">
      <c r="A20" s="81" t="s">
        <v>159</v>
      </c>
      <c r="B20" s="82">
        <f t="shared" ref="B20:G20" si="0">SUM(B21:B24)</f>
        <v>6</v>
      </c>
      <c r="C20" s="82">
        <f t="shared" si="0"/>
        <v>3</v>
      </c>
      <c r="D20" s="82">
        <f t="shared" si="0"/>
        <v>1</v>
      </c>
      <c r="E20" s="82">
        <f t="shared" si="0"/>
        <v>4</v>
      </c>
      <c r="F20" s="82">
        <f t="shared" si="0"/>
        <v>14</v>
      </c>
      <c r="G20" s="83">
        <f t="shared" si="0"/>
        <v>1</v>
      </c>
      <c r="H20" s="61"/>
      <c r="I20" s="81" t="s">
        <v>91</v>
      </c>
      <c r="J20" s="81">
        <f>SUM(J21:J26)</f>
        <v>14</v>
      </c>
      <c r="K20" s="83">
        <f>SUM(K21:K25)</f>
        <v>0.92857142857142838</v>
      </c>
    </row>
    <row r="21" spans="1:11" ht="13.5" customHeight="1">
      <c r="A21" s="67" t="s">
        <v>15</v>
      </c>
      <c r="B21" s="68">
        <v>3</v>
      </c>
      <c r="C21" s="68">
        <v>1</v>
      </c>
      <c r="D21" s="68">
        <v>0</v>
      </c>
      <c r="E21" s="68">
        <v>2</v>
      </c>
      <c r="F21" s="68">
        <f t="shared" ref="F21:F24" si="1">SUM(B21:E21)</f>
        <v>6</v>
      </c>
      <c r="G21" s="69">
        <f t="shared" ref="G21:G24" si="2">F21/$F$20</f>
        <v>0.42857142857142855</v>
      </c>
      <c r="H21" s="61"/>
      <c r="I21" s="70" t="s">
        <v>95</v>
      </c>
      <c r="J21" s="71">
        <v>6</v>
      </c>
      <c r="K21" s="69">
        <f t="shared" ref="K21:K26" si="3">J21/$J$20</f>
        <v>0.42857142857142855</v>
      </c>
    </row>
    <row r="22" spans="1:11" ht="13.5" customHeight="1">
      <c r="A22" s="49" t="s">
        <v>19</v>
      </c>
      <c r="B22" s="53">
        <v>3</v>
      </c>
      <c r="C22" s="53">
        <v>0</v>
      </c>
      <c r="D22" s="53">
        <v>1</v>
      </c>
      <c r="E22" s="53">
        <v>2</v>
      </c>
      <c r="F22" s="53">
        <f t="shared" si="1"/>
        <v>6</v>
      </c>
      <c r="G22" s="84">
        <f t="shared" si="2"/>
        <v>0.42857142857142855</v>
      </c>
      <c r="H22" s="61"/>
      <c r="I22" s="70" t="s">
        <v>109</v>
      </c>
      <c r="J22" s="71">
        <v>3</v>
      </c>
      <c r="K22" s="69">
        <f t="shared" si="3"/>
        <v>0.21428571428571427</v>
      </c>
    </row>
    <row r="23" spans="1:11" ht="13.5" customHeight="1">
      <c r="A23" s="49" t="s">
        <v>16</v>
      </c>
      <c r="B23" s="53">
        <v>0</v>
      </c>
      <c r="C23" s="53">
        <v>2</v>
      </c>
      <c r="D23" s="53">
        <v>0</v>
      </c>
      <c r="E23" s="53">
        <v>0</v>
      </c>
      <c r="F23" s="53">
        <f t="shared" si="1"/>
        <v>2</v>
      </c>
      <c r="G23" s="84">
        <f t="shared" si="2"/>
        <v>0.14285714285714285</v>
      </c>
      <c r="H23" s="61"/>
      <c r="I23" s="70" t="s">
        <v>171</v>
      </c>
      <c r="J23" s="71">
        <v>2</v>
      </c>
      <c r="K23" s="69">
        <f t="shared" si="3"/>
        <v>0.14285714285714285</v>
      </c>
    </row>
    <row r="24" spans="1:11" ht="13.5" customHeight="1">
      <c r="A24" s="49" t="s">
        <v>18</v>
      </c>
      <c r="B24" s="53">
        <v>0</v>
      </c>
      <c r="C24" s="53">
        <v>0</v>
      </c>
      <c r="D24" s="53">
        <v>0</v>
      </c>
      <c r="E24" s="53">
        <v>0</v>
      </c>
      <c r="F24" s="53">
        <f t="shared" si="1"/>
        <v>0</v>
      </c>
      <c r="G24" s="84">
        <f t="shared" si="2"/>
        <v>0</v>
      </c>
      <c r="H24" s="61"/>
      <c r="I24" s="70" t="s">
        <v>106</v>
      </c>
      <c r="J24" s="71">
        <v>1</v>
      </c>
      <c r="K24" s="69">
        <f t="shared" si="3"/>
        <v>7.1428571428571425E-2</v>
      </c>
    </row>
    <row r="25" spans="1:11" ht="13.5" customHeight="1">
      <c r="A25" s="72"/>
      <c r="B25" s="73"/>
      <c r="C25" s="73"/>
      <c r="D25" s="73"/>
      <c r="E25" s="73"/>
      <c r="F25" s="73"/>
      <c r="G25" s="74"/>
      <c r="H25" s="61"/>
      <c r="I25" s="70" t="s">
        <v>172</v>
      </c>
      <c r="J25" s="71">
        <v>1</v>
      </c>
      <c r="K25" s="69">
        <f t="shared" si="3"/>
        <v>7.1428571428571425E-2</v>
      </c>
    </row>
    <row r="26" spans="1:11" ht="13.5" customHeight="1">
      <c r="A26" s="72"/>
      <c r="B26" s="73"/>
      <c r="C26" s="73"/>
      <c r="D26" s="73"/>
      <c r="E26" s="73"/>
      <c r="F26" s="73"/>
      <c r="G26" s="74"/>
      <c r="H26" s="61"/>
      <c r="I26" s="70" t="s">
        <v>93</v>
      </c>
      <c r="J26" s="71">
        <v>1</v>
      </c>
      <c r="K26" s="69">
        <f t="shared" si="3"/>
        <v>7.1428571428571425E-2</v>
      </c>
    </row>
    <row r="27" spans="1:11" ht="13.5" customHeight="1">
      <c r="A27" s="72"/>
      <c r="B27" s="73"/>
      <c r="C27" s="73"/>
      <c r="D27" s="73"/>
      <c r="E27" s="73"/>
      <c r="F27" s="73"/>
      <c r="G27" s="74"/>
      <c r="H27" s="61"/>
      <c r="I27" s="85"/>
      <c r="J27" s="86"/>
      <c r="K27" s="74"/>
    </row>
    <row r="28" spans="1:11" ht="13.5" customHeight="1"/>
    <row r="29" spans="1:11" ht="13.5" customHeight="1">
      <c r="A29" s="80" t="s">
        <v>173</v>
      </c>
      <c r="B29" s="59" t="s">
        <v>4</v>
      </c>
      <c r="C29" s="60" t="s">
        <v>5</v>
      </c>
      <c r="D29" s="60" t="s">
        <v>6</v>
      </c>
      <c r="E29" s="60" t="s">
        <v>7</v>
      </c>
      <c r="F29" s="60" t="s">
        <v>158</v>
      </c>
      <c r="G29" s="60" t="s">
        <v>89</v>
      </c>
      <c r="H29" s="61"/>
      <c r="I29" s="62" t="s">
        <v>87</v>
      </c>
      <c r="J29" s="63" t="s">
        <v>88</v>
      </c>
      <c r="K29" s="60" t="s">
        <v>89</v>
      </c>
    </row>
    <row r="30" spans="1:11" ht="13.5" customHeight="1">
      <c r="A30" s="81" t="s">
        <v>159</v>
      </c>
      <c r="B30" s="82">
        <f t="shared" ref="B30:G30" si="4">SUM(B31:B34)</f>
        <v>1</v>
      </c>
      <c r="C30" s="82">
        <f t="shared" si="4"/>
        <v>2</v>
      </c>
      <c r="D30" s="82">
        <f t="shared" si="4"/>
        <v>0</v>
      </c>
      <c r="E30" s="82">
        <f t="shared" si="4"/>
        <v>0</v>
      </c>
      <c r="F30" s="82">
        <f t="shared" si="4"/>
        <v>3</v>
      </c>
      <c r="G30" s="83">
        <f t="shared" si="4"/>
        <v>1</v>
      </c>
      <c r="H30" s="61"/>
      <c r="I30" s="81" t="s">
        <v>91</v>
      </c>
      <c r="J30" s="81">
        <f t="shared" ref="J30:K30" si="5">SUM(J31:J33)</f>
        <v>3</v>
      </c>
      <c r="K30" s="83">
        <f t="shared" si="5"/>
        <v>1</v>
      </c>
    </row>
    <row r="31" spans="1:11" ht="13.5" customHeight="1">
      <c r="A31" s="67" t="s">
        <v>15</v>
      </c>
      <c r="B31" s="68">
        <v>0</v>
      </c>
      <c r="C31" s="68">
        <v>1</v>
      </c>
      <c r="D31" s="68">
        <v>0</v>
      </c>
      <c r="E31" s="68">
        <v>0</v>
      </c>
      <c r="F31" s="68">
        <f t="shared" ref="F31:F34" si="6">SUM(B31:E31)</f>
        <v>1</v>
      </c>
      <c r="G31" s="69">
        <f t="shared" ref="G31:G34" si="7">F31/$F$30</f>
        <v>0.33333333333333331</v>
      </c>
      <c r="H31" s="61"/>
      <c r="I31" s="70" t="s">
        <v>113</v>
      </c>
      <c r="J31" s="71">
        <v>1</v>
      </c>
      <c r="K31" s="69">
        <f t="shared" ref="K31:K33" si="8">J31/$J$30</f>
        <v>0.33333333333333331</v>
      </c>
    </row>
    <row r="32" spans="1:11" ht="13.5" customHeight="1">
      <c r="A32" s="49" t="s">
        <v>16</v>
      </c>
      <c r="B32" s="53">
        <v>1</v>
      </c>
      <c r="C32" s="53">
        <v>0</v>
      </c>
      <c r="D32" s="53">
        <v>0</v>
      </c>
      <c r="E32" s="53">
        <v>0</v>
      </c>
      <c r="F32" s="53">
        <f t="shared" si="6"/>
        <v>1</v>
      </c>
      <c r="G32" s="69">
        <f t="shared" si="7"/>
        <v>0.33333333333333331</v>
      </c>
      <c r="H32" s="61"/>
      <c r="I32" s="70" t="s">
        <v>93</v>
      </c>
      <c r="J32" s="71">
        <v>1</v>
      </c>
      <c r="K32" s="69">
        <f t="shared" si="8"/>
        <v>0.33333333333333331</v>
      </c>
    </row>
    <row r="33" spans="1:11" ht="13.5" customHeight="1">
      <c r="A33" s="49" t="s">
        <v>18</v>
      </c>
      <c r="B33" s="53">
        <v>0</v>
      </c>
      <c r="C33" s="53">
        <v>1</v>
      </c>
      <c r="D33" s="53">
        <v>0</v>
      </c>
      <c r="E33" s="53">
        <v>0</v>
      </c>
      <c r="F33" s="53">
        <f t="shared" si="6"/>
        <v>1</v>
      </c>
      <c r="G33" s="69">
        <f t="shared" si="7"/>
        <v>0.33333333333333331</v>
      </c>
      <c r="H33" s="61"/>
      <c r="I33" s="70" t="s">
        <v>95</v>
      </c>
      <c r="J33" s="71">
        <v>1</v>
      </c>
      <c r="K33" s="69">
        <f t="shared" si="8"/>
        <v>0.33333333333333331</v>
      </c>
    </row>
    <row r="34" spans="1:11" ht="13.5" customHeight="1">
      <c r="A34" s="49" t="s">
        <v>17</v>
      </c>
      <c r="B34" s="53">
        <v>0</v>
      </c>
      <c r="C34" s="53">
        <v>0</v>
      </c>
      <c r="D34" s="53">
        <v>0</v>
      </c>
      <c r="E34" s="53">
        <v>0</v>
      </c>
      <c r="F34" s="53">
        <f t="shared" si="6"/>
        <v>0</v>
      </c>
      <c r="G34" s="69">
        <f t="shared" si="7"/>
        <v>0</v>
      </c>
      <c r="H34" s="61"/>
    </row>
    <row r="35" spans="1:11" ht="13.5" customHeight="1">
      <c r="A35" s="72"/>
      <c r="B35" s="73"/>
      <c r="C35" s="73"/>
      <c r="D35" s="73"/>
      <c r="E35" s="73"/>
      <c r="F35" s="73"/>
      <c r="G35" s="74"/>
      <c r="H35" s="61"/>
    </row>
    <row r="36" spans="1:11" ht="13.5" customHeight="1">
      <c r="A36" s="87"/>
    </row>
    <row r="37" spans="1:11" ht="13.5" customHeight="1">
      <c r="A37" s="80" t="s">
        <v>174</v>
      </c>
      <c r="B37" s="59" t="s">
        <v>4</v>
      </c>
      <c r="C37" s="60" t="s">
        <v>5</v>
      </c>
      <c r="D37" s="60" t="s">
        <v>6</v>
      </c>
      <c r="E37" s="60" t="s">
        <v>7</v>
      </c>
      <c r="F37" s="60" t="s">
        <v>158</v>
      </c>
      <c r="G37" s="60" t="s">
        <v>89</v>
      </c>
      <c r="H37" s="61"/>
      <c r="I37" s="62" t="s">
        <v>87</v>
      </c>
      <c r="J37" s="63" t="s">
        <v>88</v>
      </c>
      <c r="K37" s="60" t="s">
        <v>89</v>
      </c>
    </row>
    <row r="38" spans="1:11" ht="13.5" customHeight="1">
      <c r="A38" s="81" t="s">
        <v>159</v>
      </c>
      <c r="B38" s="82">
        <f t="shared" ref="B38:G38" si="9">SUM(B39:B42)</f>
        <v>1</v>
      </c>
      <c r="C38" s="82">
        <f t="shared" si="9"/>
        <v>2</v>
      </c>
      <c r="D38" s="82">
        <f t="shared" si="9"/>
        <v>0</v>
      </c>
      <c r="E38" s="82">
        <f t="shared" si="9"/>
        <v>4</v>
      </c>
      <c r="F38" s="82">
        <f t="shared" si="9"/>
        <v>7</v>
      </c>
      <c r="G38" s="83">
        <f t="shared" si="9"/>
        <v>0.99999999999999978</v>
      </c>
      <c r="H38" s="61"/>
      <c r="I38" s="81" t="s">
        <v>91</v>
      </c>
      <c r="J38" s="81">
        <f t="shared" ref="J38:K38" si="10">SUM(J39:J42)</f>
        <v>7</v>
      </c>
      <c r="K38" s="83">
        <f t="shared" si="10"/>
        <v>0.99999999999999978</v>
      </c>
    </row>
    <row r="39" spans="1:11" ht="13.5" customHeight="1">
      <c r="A39" s="67" t="s">
        <v>18</v>
      </c>
      <c r="B39" s="68">
        <v>0</v>
      </c>
      <c r="C39" s="68">
        <v>1</v>
      </c>
      <c r="D39" s="68">
        <v>0</v>
      </c>
      <c r="E39" s="68">
        <v>3</v>
      </c>
      <c r="F39" s="68">
        <f t="shared" ref="F39:F42" si="11">SUM(B39:E39)</f>
        <v>4</v>
      </c>
      <c r="G39" s="69">
        <f t="shared" ref="G39:G42" si="12">F39/$F$38</f>
        <v>0.5714285714285714</v>
      </c>
      <c r="H39" s="61"/>
      <c r="I39" s="70" t="s">
        <v>97</v>
      </c>
      <c r="J39" s="71">
        <v>4</v>
      </c>
      <c r="K39" s="69">
        <f t="shared" ref="K39:K42" si="13">J39/$J$38</f>
        <v>0.5714285714285714</v>
      </c>
    </row>
    <row r="40" spans="1:11" ht="13.5" customHeight="1">
      <c r="A40" s="49" t="s">
        <v>15</v>
      </c>
      <c r="B40" s="53">
        <v>0</v>
      </c>
      <c r="C40" s="53">
        <v>1</v>
      </c>
      <c r="D40" s="53">
        <v>0</v>
      </c>
      <c r="E40" s="53">
        <v>0</v>
      </c>
      <c r="F40" s="53">
        <f t="shared" si="11"/>
        <v>1</v>
      </c>
      <c r="G40" s="69">
        <f t="shared" si="12"/>
        <v>0.14285714285714285</v>
      </c>
      <c r="H40" s="61"/>
      <c r="I40" s="70" t="s">
        <v>113</v>
      </c>
      <c r="J40" s="71">
        <v>1</v>
      </c>
      <c r="K40" s="69">
        <f t="shared" si="13"/>
        <v>0.14285714285714285</v>
      </c>
    </row>
    <row r="41" spans="1:11" ht="13.5" customHeight="1">
      <c r="A41" s="49" t="s">
        <v>16</v>
      </c>
      <c r="B41" s="53">
        <v>1</v>
      </c>
      <c r="C41" s="53">
        <v>0</v>
      </c>
      <c r="D41" s="53">
        <v>0</v>
      </c>
      <c r="E41" s="53">
        <v>0</v>
      </c>
      <c r="F41" s="53">
        <f t="shared" si="11"/>
        <v>1</v>
      </c>
      <c r="G41" s="69">
        <f t="shared" si="12"/>
        <v>0.14285714285714285</v>
      </c>
      <c r="H41" s="61"/>
      <c r="I41" s="70" t="s">
        <v>93</v>
      </c>
      <c r="J41" s="71">
        <v>1</v>
      </c>
      <c r="K41" s="69">
        <f t="shared" si="13"/>
        <v>0.14285714285714285</v>
      </c>
    </row>
    <row r="42" spans="1:11" ht="13.5" customHeight="1">
      <c r="A42" s="49" t="s">
        <v>17</v>
      </c>
      <c r="B42" s="53">
        <v>0</v>
      </c>
      <c r="C42" s="53">
        <v>0</v>
      </c>
      <c r="D42" s="53">
        <v>0</v>
      </c>
      <c r="E42" s="53">
        <v>1</v>
      </c>
      <c r="F42" s="53">
        <f t="shared" si="11"/>
        <v>1</v>
      </c>
      <c r="G42" s="69">
        <f t="shared" si="12"/>
        <v>0.14285714285714285</v>
      </c>
      <c r="H42" s="61"/>
      <c r="I42" s="70" t="s">
        <v>95</v>
      </c>
      <c r="J42" s="71">
        <v>1</v>
      </c>
      <c r="K42" s="69">
        <f t="shared" si="13"/>
        <v>0.14285714285714285</v>
      </c>
    </row>
    <row r="43" spans="1:11" ht="13.5" customHeight="1"/>
    <row r="44" spans="1:11" ht="13.5" customHeight="1"/>
    <row r="45" spans="1:11" ht="13.5" customHeight="1">
      <c r="A45" s="80" t="s">
        <v>175</v>
      </c>
      <c r="B45" s="59" t="s">
        <v>4</v>
      </c>
      <c r="C45" s="60" t="s">
        <v>5</v>
      </c>
      <c r="D45" s="60" t="s">
        <v>6</v>
      </c>
      <c r="E45" s="60" t="s">
        <v>7</v>
      </c>
      <c r="F45" s="60" t="s">
        <v>158</v>
      </c>
      <c r="G45" s="60" t="s">
        <v>89</v>
      </c>
      <c r="H45" s="61"/>
      <c r="I45" s="62" t="s">
        <v>87</v>
      </c>
      <c r="J45" s="63" t="s">
        <v>88</v>
      </c>
      <c r="K45" s="60" t="s">
        <v>89</v>
      </c>
    </row>
    <row r="46" spans="1:11" ht="13.5" customHeight="1">
      <c r="A46" s="81" t="s">
        <v>159</v>
      </c>
      <c r="B46" s="82">
        <f t="shared" ref="B46:G46" si="14">SUM(B47:B51)</f>
        <v>8</v>
      </c>
      <c r="C46" s="82">
        <f t="shared" si="14"/>
        <v>7</v>
      </c>
      <c r="D46" s="82">
        <f t="shared" si="14"/>
        <v>1</v>
      </c>
      <c r="E46" s="82">
        <f t="shared" si="14"/>
        <v>1</v>
      </c>
      <c r="F46" s="82">
        <f t="shared" si="14"/>
        <v>17</v>
      </c>
      <c r="G46" s="83">
        <f t="shared" si="14"/>
        <v>1</v>
      </c>
      <c r="H46" s="61"/>
      <c r="I46" s="81" t="s">
        <v>91</v>
      </c>
      <c r="J46" s="81">
        <f t="shared" ref="J46:K46" si="15">SUM(J47:J51)</f>
        <v>17</v>
      </c>
      <c r="K46" s="83">
        <f t="shared" si="15"/>
        <v>1</v>
      </c>
    </row>
    <row r="47" spans="1:11" ht="13.5" customHeight="1">
      <c r="A47" s="67" t="s">
        <v>19</v>
      </c>
      <c r="B47" s="68">
        <v>6</v>
      </c>
      <c r="C47" s="68">
        <v>7</v>
      </c>
      <c r="D47" s="68">
        <v>0</v>
      </c>
      <c r="E47" s="68">
        <v>0</v>
      </c>
      <c r="F47" s="53">
        <f t="shared" ref="F47:F51" si="16">SUM(B47:E47)</f>
        <v>13</v>
      </c>
      <c r="G47" s="69">
        <f t="shared" ref="G47:G51" si="17">F47/$F$46</f>
        <v>0.76470588235294112</v>
      </c>
      <c r="H47" s="61"/>
      <c r="I47" s="70" t="s">
        <v>95</v>
      </c>
      <c r="J47" s="71">
        <v>6</v>
      </c>
      <c r="K47" s="69">
        <f t="shared" ref="K47:K51" si="18">J47/$J$46</f>
        <v>0.35294117647058826</v>
      </c>
    </row>
    <row r="48" spans="1:11" ht="13.5" customHeight="1">
      <c r="A48" s="49" t="s">
        <v>18</v>
      </c>
      <c r="B48" s="53">
        <v>2</v>
      </c>
      <c r="C48" s="53">
        <v>0</v>
      </c>
      <c r="D48" s="53">
        <v>1</v>
      </c>
      <c r="E48" s="53">
        <v>0</v>
      </c>
      <c r="F48" s="53">
        <f t="shared" si="16"/>
        <v>3</v>
      </c>
      <c r="G48" s="69">
        <f t="shared" si="17"/>
        <v>0.17647058823529413</v>
      </c>
      <c r="H48" s="61"/>
      <c r="I48" s="70" t="s">
        <v>176</v>
      </c>
      <c r="J48" s="71">
        <v>5</v>
      </c>
      <c r="K48" s="69">
        <f t="shared" si="18"/>
        <v>0.29411764705882354</v>
      </c>
    </row>
    <row r="49" spans="1:11" ht="13.5" customHeight="1">
      <c r="A49" s="49" t="s">
        <v>15</v>
      </c>
      <c r="B49" s="53">
        <v>0</v>
      </c>
      <c r="C49" s="53">
        <v>0</v>
      </c>
      <c r="D49" s="53">
        <v>0</v>
      </c>
      <c r="E49" s="53">
        <v>1</v>
      </c>
      <c r="F49" s="53">
        <f t="shared" si="16"/>
        <v>1</v>
      </c>
      <c r="G49" s="69">
        <f t="shared" si="17"/>
        <v>5.8823529411764705E-2</v>
      </c>
      <c r="H49" s="61"/>
      <c r="I49" s="70" t="s">
        <v>177</v>
      </c>
      <c r="J49" s="71">
        <v>4</v>
      </c>
      <c r="K49" s="69">
        <f t="shared" si="18"/>
        <v>0.23529411764705882</v>
      </c>
    </row>
    <row r="50" spans="1:11" ht="13.5" customHeight="1">
      <c r="A50" s="49" t="s">
        <v>16</v>
      </c>
      <c r="B50" s="53">
        <v>0</v>
      </c>
      <c r="C50" s="53">
        <v>0</v>
      </c>
      <c r="D50" s="53">
        <v>0</v>
      </c>
      <c r="E50" s="53">
        <v>0</v>
      </c>
      <c r="F50" s="53">
        <f t="shared" si="16"/>
        <v>0</v>
      </c>
      <c r="G50" s="69">
        <f t="shared" si="17"/>
        <v>0</v>
      </c>
      <c r="H50" s="61"/>
      <c r="I50" s="70" t="s">
        <v>113</v>
      </c>
      <c r="J50" s="71">
        <v>1</v>
      </c>
      <c r="K50" s="69">
        <f t="shared" si="18"/>
        <v>5.8823529411764705E-2</v>
      </c>
    </row>
    <row r="51" spans="1:11" ht="13.5" customHeight="1">
      <c r="A51" s="49" t="s">
        <v>17</v>
      </c>
      <c r="B51" s="53">
        <v>0</v>
      </c>
      <c r="C51" s="53">
        <v>0</v>
      </c>
      <c r="D51" s="53">
        <v>0</v>
      </c>
      <c r="E51" s="53">
        <v>0</v>
      </c>
      <c r="F51" s="53">
        <f t="shared" si="16"/>
        <v>0</v>
      </c>
      <c r="G51" s="69">
        <f t="shared" si="17"/>
        <v>0</v>
      </c>
      <c r="H51" s="61"/>
      <c r="I51" s="70" t="s">
        <v>97</v>
      </c>
      <c r="J51" s="71">
        <v>1</v>
      </c>
      <c r="K51" s="69">
        <f t="shared" si="18"/>
        <v>5.8823529411764705E-2</v>
      </c>
    </row>
    <row r="52" spans="1:11" ht="13.5" customHeight="1"/>
    <row r="53" spans="1:11" ht="13.5" customHeight="1"/>
    <row r="54" spans="1:11" ht="13.5" customHeight="1">
      <c r="A54" s="80" t="s">
        <v>178</v>
      </c>
      <c r="B54" s="59" t="s">
        <v>4</v>
      </c>
      <c r="C54" s="60" t="s">
        <v>5</v>
      </c>
      <c r="D54" s="60" t="s">
        <v>6</v>
      </c>
      <c r="E54" s="60" t="s">
        <v>7</v>
      </c>
      <c r="F54" s="60" t="s">
        <v>158</v>
      </c>
      <c r="G54" s="60" t="s">
        <v>89</v>
      </c>
      <c r="H54" s="61"/>
      <c r="I54" s="62" t="s">
        <v>87</v>
      </c>
      <c r="J54" s="63" t="s">
        <v>88</v>
      </c>
      <c r="K54" s="60" t="s">
        <v>89</v>
      </c>
    </row>
    <row r="55" spans="1:11" ht="13.5" customHeight="1">
      <c r="A55" s="81" t="s">
        <v>159</v>
      </c>
      <c r="B55" s="82">
        <f t="shared" ref="B55:G55" si="19">SUM(B56:B60)</f>
        <v>6</v>
      </c>
      <c r="C55" s="82">
        <f t="shared" si="19"/>
        <v>4</v>
      </c>
      <c r="D55" s="82">
        <f t="shared" si="19"/>
        <v>5</v>
      </c>
      <c r="E55" s="82">
        <f t="shared" si="19"/>
        <v>1</v>
      </c>
      <c r="F55" s="82">
        <f t="shared" si="19"/>
        <v>16</v>
      </c>
      <c r="G55" s="83">
        <f t="shared" si="19"/>
        <v>1</v>
      </c>
      <c r="H55" s="61"/>
      <c r="I55" s="81" t="s">
        <v>91</v>
      </c>
      <c r="J55" s="81">
        <f t="shared" ref="J55:K55" si="20">SUM(J56:J58)</f>
        <v>16</v>
      </c>
      <c r="K55" s="83">
        <f t="shared" si="20"/>
        <v>1</v>
      </c>
    </row>
    <row r="56" spans="1:11" ht="13.5" customHeight="1">
      <c r="A56" s="67" t="s">
        <v>15</v>
      </c>
      <c r="B56" s="68">
        <v>3</v>
      </c>
      <c r="C56" s="68">
        <v>2</v>
      </c>
      <c r="D56" s="68">
        <v>2</v>
      </c>
      <c r="E56" s="68">
        <v>0</v>
      </c>
      <c r="F56" s="53">
        <f t="shared" ref="F56:F60" si="21">SUM(B56:E56)</f>
        <v>7</v>
      </c>
      <c r="G56" s="69">
        <f t="shared" ref="G56:G60" si="22">F56/$F$55</f>
        <v>0.4375</v>
      </c>
      <c r="H56" s="61"/>
      <c r="I56" s="70" t="s">
        <v>95</v>
      </c>
      <c r="J56" s="71">
        <v>12</v>
      </c>
      <c r="K56" s="69">
        <f t="shared" ref="K56:K58" si="23">J56/$J$55</f>
        <v>0.75</v>
      </c>
    </row>
    <row r="57" spans="1:11" ht="13.5" customHeight="1">
      <c r="A57" s="49" t="s">
        <v>18</v>
      </c>
      <c r="B57" s="53">
        <v>1</v>
      </c>
      <c r="C57" s="53">
        <v>0</v>
      </c>
      <c r="D57" s="53">
        <v>3</v>
      </c>
      <c r="E57" s="53">
        <v>0</v>
      </c>
      <c r="F57" s="53">
        <f t="shared" si="21"/>
        <v>4</v>
      </c>
      <c r="G57" s="69">
        <f t="shared" si="22"/>
        <v>0.25</v>
      </c>
      <c r="H57" s="61"/>
      <c r="I57" s="70" t="s">
        <v>177</v>
      </c>
      <c r="J57" s="71">
        <v>2</v>
      </c>
      <c r="K57" s="69">
        <f t="shared" si="23"/>
        <v>0.125</v>
      </c>
    </row>
    <row r="58" spans="1:11" ht="13.5" customHeight="1">
      <c r="A58" s="49" t="s">
        <v>19</v>
      </c>
      <c r="B58" s="53">
        <v>0</v>
      </c>
      <c r="C58" s="53">
        <v>2</v>
      </c>
      <c r="D58" s="53">
        <v>0</v>
      </c>
      <c r="E58" s="53">
        <v>1</v>
      </c>
      <c r="F58" s="53">
        <f t="shared" si="21"/>
        <v>3</v>
      </c>
      <c r="G58" s="69">
        <f t="shared" si="22"/>
        <v>0.1875</v>
      </c>
      <c r="H58" s="61"/>
      <c r="I58" s="70" t="s">
        <v>106</v>
      </c>
      <c r="J58" s="71">
        <v>2</v>
      </c>
      <c r="K58" s="69">
        <f t="shared" si="23"/>
        <v>0.125</v>
      </c>
    </row>
    <row r="59" spans="1:11" ht="13.5" customHeight="1">
      <c r="A59" s="49" t="s">
        <v>16</v>
      </c>
      <c r="B59" s="53">
        <v>2</v>
      </c>
      <c r="C59" s="53">
        <v>0</v>
      </c>
      <c r="D59" s="53">
        <v>0</v>
      </c>
      <c r="E59" s="53">
        <v>0</v>
      </c>
      <c r="F59" s="53">
        <f t="shared" si="21"/>
        <v>2</v>
      </c>
      <c r="G59" s="69">
        <f t="shared" si="22"/>
        <v>0.125</v>
      </c>
      <c r="H59" s="61"/>
    </row>
    <row r="60" spans="1:11" ht="13.5" customHeight="1">
      <c r="A60" s="49" t="s">
        <v>17</v>
      </c>
      <c r="B60" s="53">
        <v>0</v>
      </c>
      <c r="C60" s="53">
        <v>0</v>
      </c>
      <c r="D60" s="53">
        <v>0</v>
      </c>
      <c r="E60" s="53">
        <v>0</v>
      </c>
      <c r="F60" s="53">
        <f t="shared" si="21"/>
        <v>0</v>
      </c>
      <c r="G60" s="69">
        <f t="shared" si="22"/>
        <v>0</v>
      </c>
      <c r="H60" s="61"/>
    </row>
    <row r="61" spans="1:11" ht="13.5" customHeight="1"/>
    <row r="62" spans="1:11" ht="13.5" customHeight="1"/>
    <row r="63" spans="1:11" ht="13.5" customHeight="1">
      <c r="A63" s="80" t="s">
        <v>167</v>
      </c>
      <c r="B63" s="59" t="s">
        <v>4</v>
      </c>
      <c r="C63" s="60" t="s">
        <v>5</v>
      </c>
      <c r="D63" s="60" t="s">
        <v>6</v>
      </c>
      <c r="E63" s="60" t="s">
        <v>7</v>
      </c>
      <c r="F63" s="60" t="s">
        <v>158</v>
      </c>
      <c r="G63" s="60" t="s">
        <v>89</v>
      </c>
      <c r="H63" s="61"/>
      <c r="I63" s="62" t="s">
        <v>87</v>
      </c>
      <c r="J63" s="63" t="s">
        <v>88</v>
      </c>
      <c r="K63" s="60" t="s">
        <v>89</v>
      </c>
    </row>
    <row r="64" spans="1:11" ht="13.5" customHeight="1">
      <c r="A64" s="81" t="s">
        <v>159</v>
      </c>
      <c r="B64" s="82">
        <f t="shared" ref="B64:G64" si="24">SUM(B65:B68)</f>
        <v>0</v>
      </c>
      <c r="C64" s="82">
        <f t="shared" si="24"/>
        <v>1</v>
      </c>
      <c r="D64" s="82">
        <f t="shared" si="24"/>
        <v>0</v>
      </c>
      <c r="E64" s="82">
        <f t="shared" si="24"/>
        <v>0</v>
      </c>
      <c r="F64" s="82">
        <f t="shared" si="24"/>
        <v>1</v>
      </c>
      <c r="G64" s="83">
        <f t="shared" si="24"/>
        <v>1</v>
      </c>
      <c r="H64" s="61"/>
      <c r="I64" s="81" t="s">
        <v>91</v>
      </c>
      <c r="J64" s="81">
        <f t="shared" ref="J64:K64" si="25">SUM(J65:J67)</f>
        <v>1</v>
      </c>
      <c r="K64" s="83">
        <f t="shared" si="25"/>
        <v>1</v>
      </c>
    </row>
    <row r="65" spans="1:11" ht="13.5" customHeight="1">
      <c r="A65" s="67" t="s">
        <v>16</v>
      </c>
      <c r="B65" s="68">
        <v>0</v>
      </c>
      <c r="C65" s="68">
        <v>1</v>
      </c>
      <c r="D65" s="68"/>
      <c r="E65" s="68"/>
      <c r="F65" s="53">
        <f t="shared" ref="F65:F68" si="26">SUM(B65:E65)</f>
        <v>1</v>
      </c>
      <c r="G65" s="69">
        <f t="shared" ref="G65:G68" si="27">F65/$F$64</f>
        <v>1</v>
      </c>
      <c r="H65" s="61"/>
      <c r="I65" s="70" t="s">
        <v>93</v>
      </c>
      <c r="J65" s="71">
        <v>1</v>
      </c>
      <c r="K65" s="69">
        <f>J65/$J$64</f>
        <v>1</v>
      </c>
    </row>
    <row r="66" spans="1:11" ht="13.5" customHeight="1">
      <c r="A66" s="49" t="s">
        <v>15</v>
      </c>
      <c r="B66" s="53">
        <v>0</v>
      </c>
      <c r="C66" s="53">
        <v>0</v>
      </c>
      <c r="D66" s="53"/>
      <c r="E66" s="53"/>
      <c r="F66" s="53">
        <f t="shared" si="26"/>
        <v>0</v>
      </c>
      <c r="G66" s="69">
        <f t="shared" si="27"/>
        <v>0</v>
      </c>
      <c r="H66" s="61"/>
    </row>
    <row r="67" spans="1:11" ht="13.5" customHeight="1">
      <c r="A67" s="49" t="s">
        <v>18</v>
      </c>
      <c r="B67" s="53">
        <v>0</v>
      </c>
      <c r="C67" s="53">
        <v>0</v>
      </c>
      <c r="D67" s="53"/>
      <c r="E67" s="53"/>
      <c r="F67" s="53">
        <f t="shared" si="26"/>
        <v>0</v>
      </c>
      <c r="G67" s="69">
        <f t="shared" si="27"/>
        <v>0</v>
      </c>
      <c r="H67" s="61"/>
    </row>
    <row r="68" spans="1:11" ht="13.5" customHeight="1">
      <c r="A68" s="49" t="s">
        <v>19</v>
      </c>
      <c r="B68" s="53">
        <v>0</v>
      </c>
      <c r="C68" s="53">
        <v>0</v>
      </c>
      <c r="D68" s="53"/>
      <c r="E68" s="53"/>
      <c r="F68" s="53">
        <f t="shared" si="26"/>
        <v>0</v>
      </c>
      <c r="G68" s="69">
        <f t="shared" si="27"/>
        <v>0</v>
      </c>
      <c r="H68" s="61"/>
    </row>
    <row r="69" spans="1:11" ht="13.5" customHeight="1"/>
    <row r="70" spans="1:11" ht="13.5" customHeight="1"/>
    <row r="71" spans="1:11" ht="13.5" customHeight="1"/>
    <row r="72" spans="1:11" ht="13.5" customHeight="1"/>
    <row r="73" spans="1:11" ht="13.5" customHeight="1"/>
    <row r="74" spans="1:11" ht="13.5" customHeight="1"/>
    <row r="75" spans="1:11" ht="13.5" customHeight="1"/>
    <row r="76" spans="1:11" ht="13.5" customHeight="1"/>
    <row r="77" spans="1:11" ht="13.5" customHeight="1"/>
    <row r="78" spans="1:11" ht="13.5" customHeight="1"/>
    <row r="79" spans="1:11" ht="13.5" customHeight="1"/>
    <row r="80" spans="1:11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0866141732283472" right="0.70866141732283472" top="0.74803149606299213" bottom="0.74803149606299213" header="0" footer="0"/>
  <pageSetup paperSize="9" scale="9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showGridLines="0" workbookViewId="0"/>
  </sheetViews>
  <sheetFormatPr baseColWidth="10" defaultColWidth="12.59765625" defaultRowHeight="15" customHeight="1"/>
  <cols>
    <col min="1" max="1" width="33.3984375" customWidth="1"/>
    <col min="2" max="3" width="14.09765625" customWidth="1"/>
    <col min="4" max="6" width="10.69921875" customWidth="1"/>
    <col min="7" max="7" width="9.19921875" customWidth="1"/>
    <col min="8" max="8" width="7.59765625" customWidth="1"/>
    <col min="9" max="10" width="10.59765625" customWidth="1"/>
    <col min="11" max="11" width="6.19921875" customWidth="1"/>
    <col min="12" max="26" width="10.59765625" customWidth="1"/>
  </cols>
  <sheetData>
    <row r="1" spans="1:11" ht="13.5" customHeight="1">
      <c r="A1" s="75" t="s">
        <v>179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3.5" customHeight="1">
      <c r="A2" s="47"/>
    </row>
    <row r="3" spans="1:11" ht="13.5" customHeight="1">
      <c r="A3" s="48" t="s">
        <v>11</v>
      </c>
      <c r="B3" s="48" t="s">
        <v>154</v>
      </c>
      <c r="C3" s="49" t="s">
        <v>155</v>
      </c>
      <c r="D3" s="50" t="s">
        <v>4</v>
      </c>
      <c r="E3" s="50" t="s">
        <v>5</v>
      </c>
      <c r="F3" s="50" t="s">
        <v>6</v>
      </c>
      <c r="G3" s="49" t="s">
        <v>7</v>
      </c>
    </row>
    <row r="4" spans="1:11" ht="13.5" customHeight="1">
      <c r="A4" s="88" t="s">
        <v>21</v>
      </c>
      <c r="B4" s="88" t="s">
        <v>128</v>
      </c>
      <c r="C4" s="89">
        <v>45652</v>
      </c>
      <c r="D4" s="90">
        <v>0</v>
      </c>
      <c r="E4" s="90">
        <v>0</v>
      </c>
      <c r="F4" s="90">
        <v>0</v>
      </c>
      <c r="G4" s="90">
        <v>0</v>
      </c>
    </row>
    <row r="5" spans="1:11" ht="13.5" customHeight="1">
      <c r="A5" s="88" t="s">
        <v>22</v>
      </c>
      <c r="B5" s="88" t="s">
        <v>128</v>
      </c>
      <c r="C5" s="89">
        <v>45652</v>
      </c>
      <c r="D5" s="90">
        <v>0</v>
      </c>
      <c r="E5" s="90">
        <v>0</v>
      </c>
      <c r="F5" s="90">
        <v>0</v>
      </c>
      <c r="G5" s="90">
        <v>0</v>
      </c>
    </row>
    <row r="6" spans="1:11" ht="13.5" customHeight="1">
      <c r="A6" s="88" t="s">
        <v>23</v>
      </c>
      <c r="B6" s="88" t="s">
        <v>128</v>
      </c>
      <c r="C6" s="89">
        <v>45652</v>
      </c>
      <c r="D6" s="90">
        <v>0</v>
      </c>
      <c r="E6" s="90">
        <v>0</v>
      </c>
      <c r="F6" s="90">
        <v>0</v>
      </c>
      <c r="G6" s="90">
        <v>0</v>
      </c>
    </row>
    <row r="7" spans="1:11" ht="13.5" customHeight="1">
      <c r="A7" s="88" t="s">
        <v>24</v>
      </c>
      <c r="B7" s="88" t="s">
        <v>128</v>
      </c>
      <c r="C7" s="89">
        <v>45661</v>
      </c>
      <c r="D7" s="90">
        <v>0</v>
      </c>
      <c r="E7" s="90">
        <v>0</v>
      </c>
      <c r="F7" s="90"/>
      <c r="G7" s="90"/>
    </row>
    <row r="8" spans="1:11" ht="13.5" customHeight="1">
      <c r="A8" s="88" t="s">
        <v>25</v>
      </c>
      <c r="B8" s="88" t="s">
        <v>128</v>
      </c>
      <c r="C8" s="89">
        <v>45661</v>
      </c>
      <c r="D8" s="90">
        <v>0</v>
      </c>
      <c r="E8" s="90">
        <v>0</v>
      </c>
      <c r="F8" s="90"/>
      <c r="G8" s="90"/>
    </row>
    <row r="9" spans="1:11" ht="13.5" customHeight="1">
      <c r="A9" s="88" t="s">
        <v>26</v>
      </c>
      <c r="B9" s="88" t="s">
        <v>128</v>
      </c>
      <c r="C9" s="89">
        <v>45661</v>
      </c>
      <c r="D9" s="90">
        <v>0</v>
      </c>
      <c r="E9" s="90">
        <v>0</v>
      </c>
      <c r="F9" s="90"/>
      <c r="G9" s="90"/>
    </row>
    <row r="10" spans="1:11" ht="13.5" customHeight="1">
      <c r="A10" s="88" t="s">
        <v>27</v>
      </c>
      <c r="B10" s="88" t="s">
        <v>81</v>
      </c>
      <c r="C10" s="89">
        <v>45661</v>
      </c>
      <c r="D10" s="90">
        <v>6</v>
      </c>
      <c r="E10" s="90">
        <v>3</v>
      </c>
      <c r="F10" s="90"/>
      <c r="G10" s="90"/>
    </row>
    <row r="11" spans="1:11" ht="13.5" customHeight="1">
      <c r="A11" s="88" t="s">
        <v>28</v>
      </c>
      <c r="B11" s="88" t="s">
        <v>152</v>
      </c>
      <c r="C11" s="89">
        <v>45665</v>
      </c>
      <c r="D11" s="90">
        <v>1</v>
      </c>
      <c r="E11" s="90">
        <v>2</v>
      </c>
      <c r="F11" s="90"/>
      <c r="G11" s="90"/>
    </row>
    <row r="12" spans="1:11" ht="13.5" customHeight="1">
      <c r="A12" s="88" t="s">
        <v>29</v>
      </c>
      <c r="B12" s="88" t="s">
        <v>152</v>
      </c>
      <c r="C12" s="89">
        <v>45665</v>
      </c>
      <c r="D12" s="90">
        <v>1</v>
      </c>
      <c r="E12" s="90">
        <v>2</v>
      </c>
      <c r="F12" s="90"/>
      <c r="G12" s="90"/>
    </row>
    <row r="13" spans="1:11" ht="13.5" customHeight="1">
      <c r="A13" s="88" t="s">
        <v>30</v>
      </c>
      <c r="B13" s="88" t="s">
        <v>81</v>
      </c>
      <c r="C13" s="89">
        <v>45667</v>
      </c>
      <c r="D13" s="90">
        <v>8</v>
      </c>
      <c r="E13" s="90">
        <v>7</v>
      </c>
      <c r="F13" s="90"/>
      <c r="G13" s="90"/>
    </row>
    <row r="14" spans="1:11" ht="13.5" customHeight="1">
      <c r="A14" s="88" t="s">
        <v>31</v>
      </c>
      <c r="B14" s="88" t="s">
        <v>81</v>
      </c>
      <c r="C14" s="89">
        <v>45667</v>
      </c>
      <c r="D14" s="90">
        <v>6</v>
      </c>
      <c r="E14" s="90">
        <v>4</v>
      </c>
      <c r="F14" s="90"/>
      <c r="G14" s="90"/>
    </row>
    <row r="15" spans="1:11" ht="13.5" customHeight="1"/>
    <row r="16" spans="1:11" ht="13.5" customHeight="1"/>
    <row r="17" spans="1:11" ht="13.5" customHeight="1">
      <c r="A17" s="91" t="s">
        <v>170</v>
      </c>
      <c r="B17" s="59" t="s">
        <v>4</v>
      </c>
      <c r="C17" s="60" t="s">
        <v>5</v>
      </c>
      <c r="D17" s="60" t="s">
        <v>6</v>
      </c>
      <c r="E17" s="60" t="s">
        <v>7</v>
      </c>
      <c r="F17" s="60" t="s">
        <v>158</v>
      </c>
      <c r="G17" s="60" t="s">
        <v>89</v>
      </c>
      <c r="H17" s="61"/>
      <c r="I17" s="62" t="s">
        <v>87</v>
      </c>
      <c r="J17" s="63" t="s">
        <v>88</v>
      </c>
      <c r="K17" s="60" t="s">
        <v>89</v>
      </c>
    </row>
    <row r="18" spans="1:11" ht="13.5" customHeight="1">
      <c r="A18" s="92" t="s">
        <v>159</v>
      </c>
      <c r="B18" s="93">
        <f t="shared" ref="B18:G18" si="0">SUM(B19:B22)</f>
        <v>6</v>
      </c>
      <c r="C18" s="93">
        <f t="shared" si="0"/>
        <v>3</v>
      </c>
      <c r="D18" s="93">
        <f t="shared" si="0"/>
        <v>0</v>
      </c>
      <c r="E18" s="93">
        <f t="shared" si="0"/>
        <v>0</v>
      </c>
      <c r="F18" s="93">
        <f t="shared" si="0"/>
        <v>9</v>
      </c>
      <c r="G18" s="94">
        <f t="shared" si="0"/>
        <v>1</v>
      </c>
      <c r="H18" s="61"/>
      <c r="I18" s="92" t="s">
        <v>91</v>
      </c>
      <c r="J18" s="92">
        <f t="shared" ref="J18:K18" si="1">SUM(J19:J23)</f>
        <v>9</v>
      </c>
      <c r="K18" s="94">
        <f t="shared" si="1"/>
        <v>1</v>
      </c>
    </row>
    <row r="19" spans="1:11" ht="13.5" customHeight="1">
      <c r="A19" s="67" t="s">
        <v>15</v>
      </c>
      <c r="B19" s="68">
        <v>3</v>
      </c>
      <c r="C19" s="68">
        <v>1</v>
      </c>
      <c r="D19" s="68"/>
      <c r="E19" s="68"/>
      <c r="F19" s="68">
        <f t="shared" ref="F19:F22" si="2">SUM(B19:E19)</f>
        <v>4</v>
      </c>
      <c r="G19" s="69">
        <f t="shared" ref="G19:G22" si="3">F19/$F$18</f>
        <v>0.44444444444444442</v>
      </c>
      <c r="H19" s="61"/>
      <c r="I19" s="70" t="s">
        <v>95</v>
      </c>
      <c r="J19" s="71">
        <v>4</v>
      </c>
      <c r="K19" s="69">
        <f t="shared" ref="K19:K23" si="4">J19/$J$18</f>
        <v>0.44444444444444442</v>
      </c>
    </row>
    <row r="20" spans="1:11" ht="13.5" customHeight="1">
      <c r="A20" s="49" t="s">
        <v>16</v>
      </c>
      <c r="B20" s="53">
        <v>0</v>
      </c>
      <c r="C20" s="53">
        <v>2</v>
      </c>
      <c r="D20" s="53"/>
      <c r="E20" s="53"/>
      <c r="F20" s="53">
        <f t="shared" si="2"/>
        <v>2</v>
      </c>
      <c r="G20" s="84">
        <f t="shared" si="3"/>
        <v>0.22222222222222221</v>
      </c>
      <c r="H20" s="61"/>
      <c r="I20" s="70" t="s">
        <v>171</v>
      </c>
      <c r="J20" s="71">
        <v>2</v>
      </c>
      <c r="K20" s="84">
        <f t="shared" si="4"/>
        <v>0.22222222222222221</v>
      </c>
    </row>
    <row r="21" spans="1:11" ht="13.5" customHeight="1">
      <c r="A21" s="49" t="s">
        <v>18</v>
      </c>
      <c r="B21" s="53">
        <v>0</v>
      </c>
      <c r="C21" s="53">
        <v>0</v>
      </c>
      <c r="D21" s="53"/>
      <c r="E21" s="53"/>
      <c r="F21" s="53">
        <f t="shared" si="2"/>
        <v>0</v>
      </c>
      <c r="G21" s="84">
        <f t="shared" si="3"/>
        <v>0</v>
      </c>
      <c r="H21" s="61"/>
      <c r="I21" s="70" t="s">
        <v>109</v>
      </c>
      <c r="J21" s="71">
        <v>1</v>
      </c>
      <c r="K21" s="84">
        <f t="shared" si="4"/>
        <v>0.1111111111111111</v>
      </c>
    </row>
    <row r="22" spans="1:11" ht="13.5" customHeight="1">
      <c r="A22" s="49" t="s">
        <v>19</v>
      </c>
      <c r="B22" s="53">
        <v>3</v>
      </c>
      <c r="C22" s="53">
        <v>0</v>
      </c>
      <c r="D22" s="53"/>
      <c r="E22" s="53"/>
      <c r="F22" s="53">
        <f t="shared" si="2"/>
        <v>3</v>
      </c>
      <c r="G22" s="84">
        <f t="shared" si="3"/>
        <v>0.33333333333333331</v>
      </c>
      <c r="H22" s="61"/>
      <c r="I22" s="70" t="s">
        <v>106</v>
      </c>
      <c r="J22" s="71">
        <v>1</v>
      </c>
      <c r="K22" s="84">
        <f t="shared" si="4"/>
        <v>0.1111111111111111</v>
      </c>
    </row>
    <row r="23" spans="1:11" ht="13.5" customHeight="1">
      <c r="A23" s="72"/>
      <c r="B23" s="73"/>
      <c r="C23" s="73"/>
      <c r="D23" s="73"/>
      <c r="E23" s="73"/>
      <c r="F23" s="73"/>
      <c r="G23" s="74"/>
      <c r="H23" s="61"/>
      <c r="I23" s="70" t="s">
        <v>172</v>
      </c>
      <c r="J23" s="71">
        <v>1</v>
      </c>
      <c r="K23" s="84">
        <f t="shared" si="4"/>
        <v>0.1111111111111111</v>
      </c>
    </row>
    <row r="24" spans="1:11" ht="13.5" customHeight="1">
      <c r="A24" s="72"/>
      <c r="B24" s="73"/>
      <c r="C24" s="73"/>
      <c r="D24" s="73"/>
      <c r="E24" s="73"/>
      <c r="F24" s="73"/>
      <c r="G24" s="74"/>
      <c r="H24" s="61"/>
      <c r="I24" s="85"/>
      <c r="J24" s="86"/>
      <c r="K24" s="74"/>
    </row>
    <row r="25" spans="1:11" ht="13.5" customHeight="1"/>
    <row r="26" spans="1:11" ht="13.5" customHeight="1">
      <c r="A26" s="91" t="s">
        <v>173</v>
      </c>
      <c r="B26" s="59" t="s">
        <v>4</v>
      </c>
      <c r="C26" s="60" t="s">
        <v>5</v>
      </c>
      <c r="D26" s="60" t="s">
        <v>6</v>
      </c>
      <c r="E26" s="60" t="s">
        <v>7</v>
      </c>
      <c r="F26" s="60" t="s">
        <v>158</v>
      </c>
      <c r="G26" s="60" t="s">
        <v>89</v>
      </c>
      <c r="H26" s="61"/>
      <c r="I26" s="62" t="s">
        <v>87</v>
      </c>
      <c r="J26" s="63" t="s">
        <v>88</v>
      </c>
      <c r="K26" s="60" t="s">
        <v>89</v>
      </c>
    </row>
    <row r="27" spans="1:11" ht="13.5" customHeight="1">
      <c r="A27" s="92" t="s">
        <v>159</v>
      </c>
      <c r="B27" s="93">
        <f t="shared" ref="B27:E27" si="5">SUM(B28:B31)</f>
        <v>1</v>
      </c>
      <c r="C27" s="93">
        <f t="shared" si="5"/>
        <v>2</v>
      </c>
      <c r="D27" s="93">
        <f t="shared" si="5"/>
        <v>0</v>
      </c>
      <c r="E27" s="93">
        <f t="shared" si="5"/>
        <v>0</v>
      </c>
      <c r="F27" s="93">
        <f t="shared" ref="F27:F31" si="6">SUM(B27:E27)</f>
        <v>3</v>
      </c>
      <c r="G27" s="94">
        <f>SUM(G28:G31)</f>
        <v>1</v>
      </c>
      <c r="H27" s="61"/>
      <c r="I27" s="92" t="s">
        <v>91</v>
      </c>
      <c r="J27" s="92">
        <f t="shared" ref="J27:K27" si="7">SUM(J28:J30)</f>
        <v>3</v>
      </c>
      <c r="K27" s="94">
        <f t="shared" si="7"/>
        <v>1</v>
      </c>
    </row>
    <row r="28" spans="1:11" ht="13.5" customHeight="1">
      <c r="A28" s="67" t="s">
        <v>15</v>
      </c>
      <c r="B28" s="68">
        <v>0</v>
      </c>
      <c r="C28" s="68">
        <v>1</v>
      </c>
      <c r="D28" s="68"/>
      <c r="E28" s="68"/>
      <c r="F28" s="68">
        <f t="shared" si="6"/>
        <v>1</v>
      </c>
      <c r="G28" s="69">
        <f t="shared" ref="G28:G31" si="8">F28/$F$27</f>
        <v>0.33333333333333331</v>
      </c>
      <c r="H28" s="61"/>
      <c r="I28" s="70" t="s">
        <v>113</v>
      </c>
      <c r="J28" s="71">
        <v>1</v>
      </c>
      <c r="K28" s="69">
        <f t="shared" ref="K28:K30" si="9">J28/$J$27</f>
        <v>0.33333333333333331</v>
      </c>
    </row>
    <row r="29" spans="1:11" ht="13.5" customHeight="1">
      <c r="A29" s="49" t="s">
        <v>16</v>
      </c>
      <c r="B29" s="53">
        <v>1</v>
      </c>
      <c r="C29" s="53">
        <v>0</v>
      </c>
      <c r="D29" s="53"/>
      <c r="E29" s="53"/>
      <c r="F29" s="53">
        <f t="shared" si="6"/>
        <v>1</v>
      </c>
      <c r="G29" s="69">
        <f t="shared" si="8"/>
        <v>0.33333333333333331</v>
      </c>
      <c r="H29" s="61"/>
      <c r="I29" s="70" t="s">
        <v>93</v>
      </c>
      <c r="J29" s="71">
        <v>1</v>
      </c>
      <c r="K29" s="69">
        <f t="shared" si="9"/>
        <v>0.33333333333333331</v>
      </c>
    </row>
    <row r="30" spans="1:11" ht="13.5" customHeight="1">
      <c r="A30" s="49" t="s">
        <v>17</v>
      </c>
      <c r="B30" s="53">
        <v>0</v>
      </c>
      <c r="C30" s="53">
        <v>0</v>
      </c>
      <c r="D30" s="53"/>
      <c r="E30" s="53"/>
      <c r="F30" s="53">
        <f t="shared" si="6"/>
        <v>0</v>
      </c>
      <c r="G30" s="69">
        <f t="shared" si="8"/>
        <v>0</v>
      </c>
      <c r="H30" s="61"/>
      <c r="I30" s="70" t="s">
        <v>95</v>
      </c>
      <c r="J30" s="71">
        <v>1</v>
      </c>
      <c r="K30" s="69">
        <f t="shared" si="9"/>
        <v>0.33333333333333331</v>
      </c>
    </row>
    <row r="31" spans="1:11" ht="13.5" customHeight="1">
      <c r="A31" s="49" t="s">
        <v>18</v>
      </c>
      <c r="B31" s="53">
        <v>0</v>
      </c>
      <c r="C31" s="53">
        <v>1</v>
      </c>
      <c r="D31" s="53"/>
      <c r="E31" s="53"/>
      <c r="F31" s="53">
        <f t="shared" si="6"/>
        <v>1</v>
      </c>
      <c r="G31" s="69">
        <f t="shared" si="8"/>
        <v>0.33333333333333331</v>
      </c>
      <c r="H31" s="61"/>
    </row>
    <row r="32" spans="1:11" ht="13.5" customHeight="1">
      <c r="A32" s="72"/>
      <c r="B32" s="73"/>
      <c r="C32" s="73"/>
      <c r="D32" s="73"/>
      <c r="E32" s="73"/>
      <c r="F32" s="73"/>
      <c r="G32" s="74"/>
      <c r="H32" s="61"/>
    </row>
    <row r="33" spans="1:11" ht="13.5" customHeight="1">
      <c r="A33" s="87"/>
    </row>
    <row r="34" spans="1:11" ht="13.5" customHeight="1">
      <c r="A34" s="91" t="s">
        <v>174</v>
      </c>
      <c r="B34" s="59" t="s">
        <v>4</v>
      </c>
      <c r="C34" s="60" t="s">
        <v>5</v>
      </c>
      <c r="D34" s="60" t="s">
        <v>6</v>
      </c>
      <c r="E34" s="60" t="s">
        <v>7</v>
      </c>
      <c r="F34" s="60" t="s">
        <v>158</v>
      </c>
      <c r="G34" s="60" t="s">
        <v>89</v>
      </c>
      <c r="H34" s="61"/>
      <c r="I34" s="62" t="s">
        <v>87</v>
      </c>
      <c r="J34" s="63" t="s">
        <v>88</v>
      </c>
      <c r="K34" s="60" t="s">
        <v>89</v>
      </c>
    </row>
    <row r="35" spans="1:11" ht="13.5" customHeight="1">
      <c r="A35" s="92" t="s">
        <v>159</v>
      </c>
      <c r="B35" s="93">
        <f t="shared" ref="B35:E35" si="10">SUM(B36:B39)</f>
        <v>1</v>
      </c>
      <c r="C35" s="93">
        <f t="shared" si="10"/>
        <v>2</v>
      </c>
      <c r="D35" s="93">
        <f t="shared" si="10"/>
        <v>0</v>
      </c>
      <c r="E35" s="93">
        <f t="shared" si="10"/>
        <v>0</v>
      </c>
      <c r="F35" s="93">
        <f t="shared" ref="F35:F39" si="11">SUM(B35:E35)</f>
        <v>3</v>
      </c>
      <c r="G35" s="94">
        <f>SUM(G36:G39)</f>
        <v>1</v>
      </c>
      <c r="H35" s="61"/>
      <c r="I35" s="92" t="s">
        <v>91</v>
      </c>
      <c r="J35" s="92">
        <f t="shared" ref="J35:K35" si="12">SUM(J36:J39)</f>
        <v>3</v>
      </c>
      <c r="K35" s="94">
        <f t="shared" si="12"/>
        <v>1</v>
      </c>
    </row>
    <row r="36" spans="1:11" ht="13.5" customHeight="1">
      <c r="A36" s="67" t="s">
        <v>15</v>
      </c>
      <c r="B36" s="68">
        <v>0</v>
      </c>
      <c r="C36" s="68">
        <v>1</v>
      </c>
      <c r="D36" s="68"/>
      <c r="E36" s="68"/>
      <c r="F36" s="68">
        <f t="shared" si="11"/>
        <v>1</v>
      </c>
      <c r="G36" s="69">
        <f t="shared" ref="G36:G39" si="13">F36/$F$35</f>
        <v>0.33333333333333331</v>
      </c>
      <c r="H36" s="61"/>
      <c r="I36" s="70" t="s">
        <v>113</v>
      </c>
      <c r="J36" s="71">
        <v>1</v>
      </c>
      <c r="K36" s="69">
        <f t="shared" ref="K36:K38" si="14">J36/$J$35</f>
        <v>0.33333333333333331</v>
      </c>
    </row>
    <row r="37" spans="1:11" ht="13.5" customHeight="1">
      <c r="A37" s="49" t="s">
        <v>16</v>
      </c>
      <c r="B37" s="53">
        <v>1</v>
      </c>
      <c r="C37" s="53">
        <v>0</v>
      </c>
      <c r="D37" s="53"/>
      <c r="E37" s="53"/>
      <c r="F37" s="53">
        <f t="shared" si="11"/>
        <v>1</v>
      </c>
      <c r="G37" s="69">
        <f t="shared" si="13"/>
        <v>0.33333333333333331</v>
      </c>
      <c r="H37" s="61"/>
      <c r="I37" s="70" t="s">
        <v>93</v>
      </c>
      <c r="J37" s="71">
        <v>1</v>
      </c>
      <c r="K37" s="69">
        <f t="shared" si="14"/>
        <v>0.33333333333333331</v>
      </c>
    </row>
    <row r="38" spans="1:11" ht="13.5" customHeight="1">
      <c r="A38" s="49" t="s">
        <v>17</v>
      </c>
      <c r="B38" s="53">
        <v>0</v>
      </c>
      <c r="C38" s="53">
        <v>0</v>
      </c>
      <c r="D38" s="53"/>
      <c r="E38" s="53"/>
      <c r="F38" s="53">
        <f t="shared" si="11"/>
        <v>0</v>
      </c>
      <c r="G38" s="69">
        <f t="shared" si="13"/>
        <v>0</v>
      </c>
      <c r="H38" s="61"/>
      <c r="I38" s="70" t="s">
        <v>95</v>
      </c>
      <c r="J38" s="71">
        <v>1</v>
      </c>
      <c r="K38" s="69">
        <f t="shared" si="14"/>
        <v>0.33333333333333331</v>
      </c>
    </row>
    <row r="39" spans="1:11" ht="13.5" customHeight="1">
      <c r="A39" s="49" t="s">
        <v>18</v>
      </c>
      <c r="B39" s="53">
        <v>0</v>
      </c>
      <c r="C39" s="53">
        <v>1</v>
      </c>
      <c r="D39" s="53"/>
      <c r="E39" s="53"/>
      <c r="F39" s="53">
        <f t="shared" si="11"/>
        <v>1</v>
      </c>
      <c r="G39" s="69">
        <f t="shared" si="13"/>
        <v>0.33333333333333331</v>
      </c>
      <c r="H39" s="61"/>
    </row>
    <row r="40" spans="1:11" ht="13.5" customHeight="1"/>
    <row r="41" spans="1:11" ht="13.5" customHeight="1"/>
    <row r="42" spans="1:11" ht="13.5" customHeight="1">
      <c r="A42" s="91" t="s">
        <v>175</v>
      </c>
      <c r="B42" s="59" t="s">
        <v>4</v>
      </c>
      <c r="C42" s="60" t="s">
        <v>5</v>
      </c>
      <c r="D42" s="60" t="s">
        <v>6</v>
      </c>
      <c r="E42" s="60" t="s">
        <v>7</v>
      </c>
      <c r="F42" s="60" t="s">
        <v>158</v>
      </c>
      <c r="G42" s="60" t="s">
        <v>89</v>
      </c>
      <c r="H42" s="61"/>
      <c r="I42" s="62" t="s">
        <v>87</v>
      </c>
      <c r="J42" s="63" t="s">
        <v>88</v>
      </c>
      <c r="K42" s="60" t="s">
        <v>89</v>
      </c>
    </row>
    <row r="43" spans="1:11" ht="13.5" customHeight="1">
      <c r="A43" s="92" t="s">
        <v>159</v>
      </c>
      <c r="B43" s="93">
        <f t="shared" ref="B43:E43" si="15">SUM(B44:B48)</f>
        <v>8</v>
      </c>
      <c r="C43" s="93">
        <f t="shared" si="15"/>
        <v>7</v>
      </c>
      <c r="D43" s="93">
        <f t="shared" si="15"/>
        <v>0</v>
      </c>
      <c r="E43" s="93">
        <f t="shared" si="15"/>
        <v>0</v>
      </c>
      <c r="F43" s="93">
        <f>SUM(B43:E43)</f>
        <v>15</v>
      </c>
      <c r="G43" s="94">
        <f>SUM(G44:G48)</f>
        <v>0</v>
      </c>
      <c r="H43" s="61"/>
      <c r="I43" s="92" t="s">
        <v>91</v>
      </c>
      <c r="J43" s="92">
        <f t="shared" ref="J43:K43" si="16">SUM(J44:J47)</f>
        <v>15</v>
      </c>
      <c r="K43" s="94">
        <f t="shared" si="16"/>
        <v>1</v>
      </c>
    </row>
    <row r="44" spans="1:11" ht="13.5" customHeight="1">
      <c r="A44" s="67" t="s">
        <v>16</v>
      </c>
      <c r="B44" s="68">
        <v>0</v>
      </c>
      <c r="C44" s="68">
        <v>0</v>
      </c>
      <c r="D44" s="68"/>
      <c r="E44" s="68"/>
      <c r="F44" s="68"/>
      <c r="G44" s="69">
        <f t="shared" ref="G44:G48" si="17">F44/$F$27</f>
        <v>0</v>
      </c>
      <c r="H44" s="61"/>
      <c r="I44" s="70" t="s">
        <v>176</v>
      </c>
      <c r="J44" s="71">
        <v>5</v>
      </c>
      <c r="K44" s="69">
        <f t="shared" ref="K44:K47" si="18">J44/$J$43</f>
        <v>0.33333333333333331</v>
      </c>
    </row>
    <row r="45" spans="1:11" ht="13.5" customHeight="1">
      <c r="A45" s="49" t="s">
        <v>15</v>
      </c>
      <c r="B45" s="53">
        <v>0</v>
      </c>
      <c r="C45" s="53">
        <v>0</v>
      </c>
      <c r="D45" s="53"/>
      <c r="E45" s="53"/>
      <c r="F45" s="53"/>
      <c r="G45" s="69">
        <f t="shared" si="17"/>
        <v>0</v>
      </c>
      <c r="H45" s="61"/>
      <c r="I45" s="70" t="s">
        <v>95</v>
      </c>
      <c r="J45" s="71">
        <v>5</v>
      </c>
      <c r="K45" s="69">
        <f t="shared" si="18"/>
        <v>0.33333333333333331</v>
      </c>
    </row>
    <row r="46" spans="1:11" ht="13.5" customHeight="1">
      <c r="A46" s="49" t="s">
        <v>17</v>
      </c>
      <c r="B46" s="53">
        <v>0</v>
      </c>
      <c r="C46" s="53">
        <v>0</v>
      </c>
      <c r="D46" s="53"/>
      <c r="E46" s="53"/>
      <c r="F46" s="53"/>
      <c r="G46" s="69">
        <f t="shared" si="17"/>
        <v>0</v>
      </c>
      <c r="H46" s="61"/>
      <c r="I46" s="70" t="s">
        <v>177</v>
      </c>
      <c r="J46" s="71">
        <v>4</v>
      </c>
      <c r="K46" s="69">
        <f t="shared" si="18"/>
        <v>0.26666666666666666</v>
      </c>
    </row>
    <row r="47" spans="1:11" ht="13.5" customHeight="1">
      <c r="A47" s="49" t="s">
        <v>18</v>
      </c>
      <c r="B47" s="53">
        <v>2</v>
      </c>
      <c r="C47" s="53">
        <v>0</v>
      </c>
      <c r="D47" s="53"/>
      <c r="E47" s="53"/>
      <c r="F47" s="53"/>
      <c r="G47" s="69">
        <f t="shared" si="17"/>
        <v>0</v>
      </c>
      <c r="H47" s="61"/>
      <c r="I47" s="70" t="s">
        <v>113</v>
      </c>
      <c r="J47" s="71">
        <v>1</v>
      </c>
      <c r="K47" s="69">
        <f t="shared" si="18"/>
        <v>6.6666666666666666E-2</v>
      </c>
    </row>
    <row r="48" spans="1:11" ht="13.5" customHeight="1">
      <c r="A48" s="49" t="s">
        <v>19</v>
      </c>
      <c r="B48" s="53">
        <v>6</v>
      </c>
      <c r="C48" s="53">
        <v>7</v>
      </c>
      <c r="D48" s="53"/>
      <c r="E48" s="53"/>
      <c r="F48" s="53"/>
      <c r="G48" s="69">
        <f t="shared" si="17"/>
        <v>0</v>
      </c>
      <c r="H48" s="61"/>
    </row>
    <row r="49" spans="1:11" ht="13.5" customHeight="1"/>
    <row r="50" spans="1:11" ht="13.5" customHeight="1"/>
    <row r="51" spans="1:11" ht="13.5" customHeight="1">
      <c r="A51" s="91" t="s">
        <v>178</v>
      </c>
      <c r="B51" s="59" t="s">
        <v>4</v>
      </c>
      <c r="C51" s="60" t="s">
        <v>5</v>
      </c>
      <c r="D51" s="60" t="s">
        <v>6</v>
      </c>
      <c r="E51" s="60" t="s">
        <v>7</v>
      </c>
      <c r="F51" s="60" t="s">
        <v>158</v>
      </c>
      <c r="G51" s="60" t="s">
        <v>89</v>
      </c>
      <c r="H51" s="61"/>
      <c r="I51" s="62" t="s">
        <v>87</v>
      </c>
      <c r="J51" s="63" t="s">
        <v>88</v>
      </c>
      <c r="K51" s="60" t="s">
        <v>89</v>
      </c>
    </row>
    <row r="52" spans="1:11" ht="13.5" customHeight="1">
      <c r="A52" s="92" t="s">
        <v>159</v>
      </c>
      <c r="B52" s="93">
        <f t="shared" ref="B52:E52" si="19">SUM(B53:B57)</f>
        <v>6</v>
      </c>
      <c r="C52" s="93">
        <f t="shared" si="19"/>
        <v>4</v>
      </c>
      <c r="D52" s="93">
        <f t="shared" si="19"/>
        <v>0</v>
      </c>
      <c r="E52" s="93">
        <f t="shared" si="19"/>
        <v>0</v>
      </c>
      <c r="F52" s="93">
        <f>SUM(B52:E52)</f>
        <v>10</v>
      </c>
      <c r="G52" s="94">
        <f>SUM(G53:G57)</f>
        <v>0</v>
      </c>
      <c r="H52" s="61"/>
      <c r="I52" s="92" t="s">
        <v>91</v>
      </c>
      <c r="J52" s="92">
        <f t="shared" ref="J52:K52" si="20">SUM(J53:J55)</f>
        <v>10</v>
      </c>
      <c r="K52" s="94">
        <f t="shared" si="20"/>
        <v>0.99999999999999989</v>
      </c>
    </row>
    <row r="53" spans="1:11" ht="13.5" customHeight="1">
      <c r="A53" s="67" t="s">
        <v>16</v>
      </c>
      <c r="B53" s="68">
        <v>2</v>
      </c>
      <c r="C53" s="68">
        <v>0</v>
      </c>
      <c r="D53" s="68"/>
      <c r="E53" s="68"/>
      <c r="F53" s="68"/>
      <c r="G53" s="69">
        <f t="shared" ref="G53:G57" si="21">F53/$F$27</f>
        <v>0</v>
      </c>
      <c r="H53" s="61"/>
      <c r="I53" s="70" t="s">
        <v>95</v>
      </c>
      <c r="J53" s="71">
        <v>7</v>
      </c>
      <c r="K53" s="69">
        <f t="shared" ref="K53:K55" si="22">J53/$J$52</f>
        <v>0.7</v>
      </c>
    </row>
    <row r="54" spans="1:11" ht="13.5" customHeight="1">
      <c r="A54" s="49" t="s">
        <v>15</v>
      </c>
      <c r="B54" s="53">
        <v>3</v>
      </c>
      <c r="C54" s="53">
        <v>2</v>
      </c>
      <c r="D54" s="53"/>
      <c r="E54" s="53"/>
      <c r="F54" s="53"/>
      <c r="G54" s="69">
        <f t="shared" si="21"/>
        <v>0</v>
      </c>
      <c r="H54" s="61"/>
      <c r="I54" s="70" t="s">
        <v>177</v>
      </c>
      <c r="J54" s="71">
        <v>2</v>
      </c>
      <c r="K54" s="69">
        <f t="shared" si="22"/>
        <v>0.2</v>
      </c>
    </row>
    <row r="55" spans="1:11" ht="13.5" customHeight="1">
      <c r="A55" s="49" t="s">
        <v>17</v>
      </c>
      <c r="B55" s="53">
        <v>0</v>
      </c>
      <c r="C55" s="53">
        <v>0</v>
      </c>
      <c r="D55" s="53"/>
      <c r="E55" s="53"/>
      <c r="F55" s="53"/>
      <c r="G55" s="69">
        <f t="shared" si="21"/>
        <v>0</v>
      </c>
      <c r="H55" s="61"/>
      <c r="I55" s="70" t="s">
        <v>106</v>
      </c>
      <c r="J55" s="71">
        <v>1</v>
      </c>
      <c r="K55" s="69">
        <f t="shared" si="22"/>
        <v>0.1</v>
      </c>
    </row>
    <row r="56" spans="1:11" ht="13.5" customHeight="1">
      <c r="A56" s="49" t="s">
        <v>18</v>
      </c>
      <c r="B56" s="53">
        <v>1</v>
      </c>
      <c r="C56" s="53">
        <v>0</v>
      </c>
      <c r="D56" s="53"/>
      <c r="E56" s="53"/>
      <c r="F56" s="53"/>
      <c r="G56" s="69">
        <f t="shared" si="21"/>
        <v>0</v>
      </c>
      <c r="H56" s="61"/>
    </row>
    <row r="57" spans="1:11" ht="13.5" customHeight="1">
      <c r="A57" s="49" t="s">
        <v>19</v>
      </c>
      <c r="B57" s="53">
        <v>0</v>
      </c>
      <c r="C57" s="53">
        <v>2</v>
      </c>
      <c r="D57" s="53"/>
      <c r="E57" s="53"/>
      <c r="F57" s="53"/>
      <c r="G57" s="69">
        <f t="shared" si="21"/>
        <v>0</v>
      </c>
      <c r="H57" s="61"/>
    </row>
    <row r="58" spans="1:11" ht="13.5" customHeight="1"/>
    <row r="59" spans="1:11" ht="13.5" customHeight="1"/>
    <row r="60" spans="1:11" ht="13.5" customHeight="1"/>
    <row r="61" spans="1:11" ht="13.5" customHeight="1"/>
    <row r="62" spans="1:11" ht="13.5" customHeight="1"/>
    <row r="63" spans="1:11" ht="13.5" customHeight="1"/>
    <row r="64" spans="1:11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showGridLines="0" workbookViewId="0"/>
  </sheetViews>
  <sheetFormatPr baseColWidth="10" defaultColWidth="12.59765625" defaultRowHeight="15" customHeight="1"/>
  <cols>
    <col min="1" max="1" width="25.59765625" customWidth="1"/>
    <col min="2" max="3" width="14.09765625" customWidth="1"/>
    <col min="4" max="6" width="10.69921875" customWidth="1"/>
    <col min="7" max="7" width="9.19921875" customWidth="1"/>
    <col min="8" max="8" width="7.59765625" customWidth="1"/>
    <col min="9" max="10" width="10.59765625" customWidth="1"/>
    <col min="11" max="11" width="6.19921875" customWidth="1"/>
    <col min="12" max="26" width="10.59765625" customWidth="1"/>
  </cols>
  <sheetData>
    <row r="1" spans="1:11" ht="13.5" customHeight="1">
      <c r="A1" s="75" t="s">
        <v>180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3.5" customHeight="1">
      <c r="A2" s="47"/>
    </row>
    <row r="3" spans="1:11" ht="13.5" customHeight="1">
      <c r="A3" s="48" t="s">
        <v>11</v>
      </c>
      <c r="B3" s="48" t="s">
        <v>154</v>
      </c>
      <c r="C3" s="49" t="s">
        <v>155</v>
      </c>
      <c r="D3" s="50" t="s">
        <v>4</v>
      </c>
      <c r="E3" s="50" t="s">
        <v>5</v>
      </c>
      <c r="F3" s="50" t="s">
        <v>6</v>
      </c>
      <c r="G3" s="49" t="s">
        <v>7</v>
      </c>
    </row>
    <row r="4" spans="1:11" ht="13.5" customHeight="1">
      <c r="A4" s="88" t="s">
        <v>21</v>
      </c>
      <c r="B4" s="88" t="s">
        <v>128</v>
      </c>
      <c r="C4" s="89">
        <v>45652</v>
      </c>
      <c r="D4" s="90">
        <v>0</v>
      </c>
      <c r="E4" s="90">
        <v>0</v>
      </c>
      <c r="F4" s="90">
        <v>0</v>
      </c>
      <c r="G4" s="90"/>
    </row>
    <row r="5" spans="1:11" ht="13.5" customHeight="1">
      <c r="A5" s="88" t="s">
        <v>22</v>
      </c>
      <c r="B5" s="88" t="s">
        <v>128</v>
      </c>
      <c r="C5" s="89">
        <v>45652</v>
      </c>
      <c r="D5" s="90">
        <v>0</v>
      </c>
      <c r="E5" s="90">
        <v>0</v>
      </c>
      <c r="F5" s="90">
        <v>0</v>
      </c>
      <c r="G5" s="90"/>
    </row>
    <row r="6" spans="1:11" ht="13.5" customHeight="1">
      <c r="A6" s="88" t="s">
        <v>23</v>
      </c>
      <c r="B6" s="88" t="s">
        <v>128</v>
      </c>
      <c r="C6" s="89">
        <v>45652</v>
      </c>
      <c r="D6" s="90">
        <v>0</v>
      </c>
      <c r="E6" s="90">
        <v>0</v>
      </c>
      <c r="F6" s="90">
        <v>0</v>
      </c>
      <c r="G6" s="90"/>
    </row>
    <row r="7" spans="1:11" ht="13.5" customHeight="1">
      <c r="A7" s="88" t="s">
        <v>24</v>
      </c>
      <c r="B7" s="88" t="s">
        <v>128</v>
      </c>
      <c r="C7" s="89">
        <v>45661</v>
      </c>
      <c r="D7" s="90">
        <v>0</v>
      </c>
      <c r="E7" s="90"/>
      <c r="F7" s="90"/>
      <c r="G7" s="90"/>
    </row>
    <row r="8" spans="1:11" ht="13.5" customHeight="1">
      <c r="A8" s="88" t="s">
        <v>25</v>
      </c>
      <c r="B8" s="88" t="s">
        <v>128</v>
      </c>
      <c r="C8" s="89">
        <v>45661</v>
      </c>
      <c r="D8" s="90">
        <v>0</v>
      </c>
      <c r="E8" s="90"/>
      <c r="F8" s="90"/>
      <c r="G8" s="90"/>
    </row>
    <row r="9" spans="1:11" ht="13.5" customHeight="1">
      <c r="A9" s="88" t="s">
        <v>26</v>
      </c>
      <c r="B9" s="88" t="s">
        <v>128</v>
      </c>
      <c r="C9" s="89">
        <v>45661</v>
      </c>
      <c r="D9" s="90">
        <v>0</v>
      </c>
      <c r="E9" s="90"/>
      <c r="F9" s="90"/>
      <c r="G9" s="90"/>
    </row>
    <row r="10" spans="1:11" ht="13.5" customHeight="1">
      <c r="A10" s="88" t="s">
        <v>27</v>
      </c>
      <c r="B10" s="88" t="s">
        <v>81</v>
      </c>
      <c r="C10" s="89">
        <v>45661</v>
      </c>
      <c r="D10" s="90">
        <v>6</v>
      </c>
      <c r="E10" s="90"/>
      <c r="F10" s="90"/>
      <c r="G10" s="90"/>
    </row>
    <row r="11" spans="1:11" ht="13.5" customHeight="1">
      <c r="A11" s="88" t="s">
        <v>28</v>
      </c>
      <c r="B11" s="88" t="s">
        <v>152</v>
      </c>
      <c r="C11" s="89">
        <v>45665</v>
      </c>
      <c r="D11" s="90">
        <v>1</v>
      </c>
      <c r="E11" s="90"/>
      <c r="F11" s="90"/>
      <c r="G11" s="90"/>
    </row>
    <row r="12" spans="1:11" ht="13.5" customHeight="1">
      <c r="A12" s="88" t="s">
        <v>29</v>
      </c>
      <c r="B12" s="88" t="s">
        <v>152</v>
      </c>
      <c r="C12" s="89">
        <v>45665</v>
      </c>
      <c r="D12" s="90">
        <v>1</v>
      </c>
      <c r="E12" s="90"/>
      <c r="F12" s="90"/>
      <c r="G12" s="90"/>
    </row>
    <row r="13" spans="1:11" ht="13.5" customHeight="1"/>
    <row r="14" spans="1:11" ht="13.5" customHeight="1"/>
    <row r="15" spans="1:11" ht="13.5" customHeight="1">
      <c r="A15" s="95" t="s">
        <v>170</v>
      </c>
      <c r="B15" s="59" t="s">
        <v>4</v>
      </c>
      <c r="C15" s="60" t="s">
        <v>5</v>
      </c>
      <c r="D15" s="60" t="s">
        <v>6</v>
      </c>
      <c r="E15" s="60" t="s">
        <v>7</v>
      </c>
      <c r="F15" s="60" t="s">
        <v>158</v>
      </c>
      <c r="G15" s="60" t="s">
        <v>89</v>
      </c>
      <c r="H15" s="61"/>
      <c r="I15" s="62" t="s">
        <v>87</v>
      </c>
      <c r="J15" s="63" t="s">
        <v>88</v>
      </c>
      <c r="K15" s="60" t="s">
        <v>89</v>
      </c>
    </row>
    <row r="16" spans="1:11" ht="13.5" customHeight="1">
      <c r="A16" s="96" t="s">
        <v>159</v>
      </c>
      <c r="B16" s="97">
        <f t="shared" ref="B16:G16" si="0">SUM(B17:B20)</f>
        <v>6</v>
      </c>
      <c r="C16" s="97">
        <f t="shared" si="0"/>
        <v>0</v>
      </c>
      <c r="D16" s="97">
        <f t="shared" si="0"/>
        <v>0</v>
      </c>
      <c r="E16" s="97">
        <f t="shared" si="0"/>
        <v>0</v>
      </c>
      <c r="F16" s="97">
        <f t="shared" si="0"/>
        <v>6</v>
      </c>
      <c r="G16" s="98">
        <f t="shared" si="0"/>
        <v>1</v>
      </c>
      <c r="H16" s="61"/>
      <c r="I16" s="96" t="s">
        <v>91</v>
      </c>
      <c r="J16" s="96">
        <f t="shared" ref="J16:K16" si="1">SUM(J17:J20)</f>
        <v>6</v>
      </c>
      <c r="K16" s="98">
        <f t="shared" si="1"/>
        <v>0.99999999999999989</v>
      </c>
    </row>
    <row r="17" spans="1:11" ht="13.5" customHeight="1">
      <c r="A17" s="67" t="s">
        <v>15</v>
      </c>
      <c r="B17" s="68">
        <v>3</v>
      </c>
      <c r="C17" s="68"/>
      <c r="D17" s="68"/>
      <c r="E17" s="68"/>
      <c r="F17" s="68">
        <f t="shared" ref="F17:F20" si="2">SUM(B17:E17)</f>
        <v>3</v>
      </c>
      <c r="G17" s="69">
        <f t="shared" ref="G17:G20" si="3">F17/$F$16</f>
        <v>0.5</v>
      </c>
      <c r="H17" s="61"/>
      <c r="I17" s="70" t="s">
        <v>95</v>
      </c>
      <c r="J17" s="71">
        <v>2</v>
      </c>
      <c r="K17" s="69">
        <f t="shared" ref="K17:K20" si="4">J17/$J$16</f>
        <v>0.33333333333333331</v>
      </c>
    </row>
    <row r="18" spans="1:11" ht="13.5" customHeight="1">
      <c r="A18" s="49" t="s">
        <v>19</v>
      </c>
      <c r="B18" s="53">
        <v>3</v>
      </c>
      <c r="C18" s="53"/>
      <c r="D18" s="53"/>
      <c r="E18" s="53"/>
      <c r="F18" s="53">
        <f t="shared" si="2"/>
        <v>3</v>
      </c>
      <c r="G18" s="84">
        <f t="shared" si="3"/>
        <v>0.5</v>
      </c>
      <c r="H18" s="61"/>
      <c r="I18" s="70" t="s">
        <v>171</v>
      </c>
      <c r="J18" s="71">
        <v>2</v>
      </c>
      <c r="K18" s="84">
        <f t="shared" si="4"/>
        <v>0.33333333333333331</v>
      </c>
    </row>
    <row r="19" spans="1:11" ht="13.5" customHeight="1">
      <c r="A19" s="49" t="s">
        <v>16</v>
      </c>
      <c r="B19" s="53">
        <v>0</v>
      </c>
      <c r="C19" s="53"/>
      <c r="D19" s="53"/>
      <c r="E19" s="53"/>
      <c r="F19" s="53">
        <f t="shared" si="2"/>
        <v>0</v>
      </c>
      <c r="G19" s="84">
        <f t="shared" si="3"/>
        <v>0</v>
      </c>
      <c r="H19" s="61"/>
      <c r="I19" s="70" t="s">
        <v>109</v>
      </c>
      <c r="J19" s="71">
        <v>1</v>
      </c>
      <c r="K19" s="84">
        <f t="shared" si="4"/>
        <v>0.16666666666666666</v>
      </c>
    </row>
    <row r="20" spans="1:11" ht="13.5" customHeight="1">
      <c r="A20" s="49" t="s">
        <v>18</v>
      </c>
      <c r="B20" s="53">
        <v>0</v>
      </c>
      <c r="C20" s="53"/>
      <c r="D20" s="53"/>
      <c r="E20" s="53"/>
      <c r="F20" s="53">
        <f t="shared" si="2"/>
        <v>0</v>
      </c>
      <c r="G20" s="84">
        <f t="shared" si="3"/>
        <v>0</v>
      </c>
      <c r="H20" s="61"/>
      <c r="I20" s="70" t="s">
        <v>106</v>
      </c>
      <c r="J20" s="71">
        <v>1</v>
      </c>
      <c r="K20" s="84">
        <f t="shared" si="4"/>
        <v>0.16666666666666666</v>
      </c>
    </row>
    <row r="21" spans="1:11" ht="13.5" customHeight="1">
      <c r="A21" s="72"/>
      <c r="B21" s="73"/>
      <c r="C21" s="73"/>
      <c r="D21" s="73"/>
      <c r="E21" s="73"/>
      <c r="F21" s="73"/>
      <c r="G21" s="74"/>
      <c r="H21" s="61"/>
      <c r="I21" s="85"/>
      <c r="J21" s="86"/>
    </row>
    <row r="22" spans="1:11" ht="13.5" customHeight="1"/>
    <row r="23" spans="1:11" ht="13.5" customHeight="1">
      <c r="A23" s="95" t="s">
        <v>173</v>
      </c>
      <c r="B23" s="59" t="s">
        <v>4</v>
      </c>
      <c r="C23" s="60" t="s">
        <v>5</v>
      </c>
      <c r="D23" s="60" t="s">
        <v>6</v>
      </c>
      <c r="E23" s="60" t="s">
        <v>7</v>
      </c>
      <c r="F23" s="60" t="s">
        <v>158</v>
      </c>
      <c r="G23" s="60" t="s">
        <v>89</v>
      </c>
      <c r="H23" s="61"/>
      <c r="I23" s="62" t="s">
        <v>87</v>
      </c>
      <c r="J23" s="63" t="s">
        <v>88</v>
      </c>
      <c r="K23" s="60" t="s">
        <v>89</v>
      </c>
    </row>
    <row r="24" spans="1:11" ht="13.5" customHeight="1">
      <c r="A24" s="96" t="s">
        <v>159</v>
      </c>
      <c r="B24" s="97">
        <f t="shared" ref="B24:E24" si="5">SUM(B25:B28)</f>
        <v>1</v>
      </c>
      <c r="C24" s="97">
        <f t="shared" si="5"/>
        <v>0</v>
      </c>
      <c r="D24" s="97">
        <f t="shared" si="5"/>
        <v>0</v>
      </c>
      <c r="E24" s="97">
        <f t="shared" si="5"/>
        <v>0</v>
      </c>
      <c r="F24" s="97">
        <f t="shared" ref="F24:F28" si="6">SUM(B24:E24)</f>
        <v>1</v>
      </c>
      <c r="G24" s="98">
        <f>SUM(G25:G28)</f>
        <v>1</v>
      </c>
      <c r="H24" s="61"/>
      <c r="I24" s="96"/>
      <c r="J24" s="96">
        <f t="shared" ref="J24:K24" si="7">SUM(J25)</f>
        <v>1</v>
      </c>
      <c r="K24" s="98">
        <f t="shared" si="7"/>
        <v>1</v>
      </c>
    </row>
    <row r="25" spans="1:11" ht="13.5" customHeight="1">
      <c r="A25" s="67" t="s">
        <v>16</v>
      </c>
      <c r="B25" s="68">
        <v>1</v>
      </c>
      <c r="C25" s="68"/>
      <c r="D25" s="68"/>
      <c r="E25" s="68"/>
      <c r="F25" s="68">
        <f t="shared" si="6"/>
        <v>1</v>
      </c>
      <c r="G25" s="69">
        <f t="shared" ref="G25:G28" si="8">F25/$F$24</f>
        <v>1</v>
      </c>
      <c r="H25" s="61"/>
      <c r="I25" s="70" t="s">
        <v>95</v>
      </c>
      <c r="J25" s="71">
        <v>1</v>
      </c>
      <c r="K25" s="69">
        <f>J25/$J$24</f>
        <v>1</v>
      </c>
    </row>
    <row r="26" spans="1:11" ht="13.5" customHeight="1">
      <c r="A26" s="49" t="s">
        <v>15</v>
      </c>
      <c r="B26" s="53">
        <v>0</v>
      </c>
      <c r="C26" s="53"/>
      <c r="D26" s="53"/>
      <c r="E26" s="53"/>
      <c r="F26" s="53">
        <f t="shared" si="6"/>
        <v>0</v>
      </c>
      <c r="G26" s="69">
        <f t="shared" si="8"/>
        <v>0</v>
      </c>
      <c r="H26" s="61"/>
    </row>
    <row r="27" spans="1:11" ht="13.5" customHeight="1">
      <c r="A27" s="49" t="s">
        <v>17</v>
      </c>
      <c r="B27" s="53">
        <v>0</v>
      </c>
      <c r="C27" s="53"/>
      <c r="D27" s="53"/>
      <c r="E27" s="53"/>
      <c r="F27" s="53">
        <f t="shared" si="6"/>
        <v>0</v>
      </c>
      <c r="G27" s="69">
        <f t="shared" si="8"/>
        <v>0</v>
      </c>
      <c r="H27" s="61"/>
    </row>
    <row r="28" spans="1:11" ht="13.5" customHeight="1">
      <c r="A28" s="49" t="s">
        <v>18</v>
      </c>
      <c r="B28" s="53">
        <v>0</v>
      </c>
      <c r="C28" s="53"/>
      <c r="D28" s="53"/>
      <c r="E28" s="53"/>
      <c r="F28" s="53">
        <f t="shared" si="6"/>
        <v>0</v>
      </c>
      <c r="G28" s="69">
        <f t="shared" si="8"/>
        <v>0</v>
      </c>
      <c r="H28" s="61"/>
    </row>
    <row r="29" spans="1:11" ht="13.5" customHeight="1">
      <c r="A29" s="72"/>
      <c r="B29" s="73"/>
      <c r="C29" s="73"/>
      <c r="D29" s="73"/>
      <c r="E29" s="73"/>
      <c r="F29" s="73"/>
      <c r="G29" s="74"/>
      <c r="H29" s="61"/>
    </row>
    <row r="30" spans="1:11" ht="13.5" customHeight="1">
      <c r="A30" s="87"/>
    </row>
    <row r="31" spans="1:11" ht="13.5" customHeight="1">
      <c r="A31" s="95" t="s">
        <v>174</v>
      </c>
      <c r="B31" s="59" t="s">
        <v>4</v>
      </c>
      <c r="C31" s="60" t="s">
        <v>5</v>
      </c>
      <c r="D31" s="60" t="s">
        <v>6</v>
      </c>
      <c r="E31" s="60" t="s">
        <v>7</v>
      </c>
      <c r="F31" s="60" t="s">
        <v>158</v>
      </c>
      <c r="G31" s="60" t="s">
        <v>89</v>
      </c>
      <c r="H31" s="61"/>
      <c r="I31" s="62" t="s">
        <v>87</v>
      </c>
      <c r="J31" s="63" t="s">
        <v>88</v>
      </c>
      <c r="K31" s="60" t="s">
        <v>89</v>
      </c>
    </row>
    <row r="32" spans="1:11" ht="13.5" customHeight="1">
      <c r="A32" s="96" t="s">
        <v>159</v>
      </c>
      <c r="B32" s="97">
        <f t="shared" ref="B32:E32" si="9">SUM(B33:B36)</f>
        <v>1</v>
      </c>
      <c r="C32" s="97">
        <f t="shared" si="9"/>
        <v>0</v>
      </c>
      <c r="D32" s="97">
        <f t="shared" si="9"/>
        <v>0</v>
      </c>
      <c r="E32" s="97">
        <f t="shared" si="9"/>
        <v>0</v>
      </c>
      <c r="F32" s="97">
        <f t="shared" ref="F32:F36" si="10">SUM(B32:E32)</f>
        <v>1</v>
      </c>
      <c r="G32" s="98">
        <f>SUM(G33:G36)</f>
        <v>1</v>
      </c>
      <c r="H32" s="61"/>
      <c r="I32" s="96"/>
      <c r="J32" s="96">
        <f t="shared" ref="J32:K32" si="11">SUM(J33)</f>
        <v>1</v>
      </c>
      <c r="K32" s="98">
        <f t="shared" si="11"/>
        <v>1</v>
      </c>
    </row>
    <row r="33" spans="1:11" ht="13.5" customHeight="1">
      <c r="A33" s="67" t="s">
        <v>16</v>
      </c>
      <c r="B33" s="68">
        <v>1</v>
      </c>
      <c r="C33" s="68"/>
      <c r="D33" s="68"/>
      <c r="E33" s="68"/>
      <c r="F33" s="68">
        <f t="shared" si="10"/>
        <v>1</v>
      </c>
      <c r="G33" s="69">
        <f t="shared" ref="G33:G36" si="12">F33/$F$32</f>
        <v>1</v>
      </c>
      <c r="H33" s="61"/>
      <c r="I33" s="70" t="s">
        <v>95</v>
      </c>
      <c r="J33" s="71">
        <v>1</v>
      </c>
      <c r="K33" s="69">
        <f>J33/$J$24</f>
        <v>1</v>
      </c>
    </row>
    <row r="34" spans="1:11" ht="13.5" customHeight="1">
      <c r="A34" s="49" t="s">
        <v>15</v>
      </c>
      <c r="B34" s="53">
        <v>0</v>
      </c>
      <c r="C34" s="53"/>
      <c r="D34" s="53"/>
      <c r="E34" s="53"/>
      <c r="F34" s="53">
        <f t="shared" si="10"/>
        <v>0</v>
      </c>
      <c r="G34" s="69">
        <f t="shared" si="12"/>
        <v>0</v>
      </c>
      <c r="H34" s="61"/>
    </row>
    <row r="35" spans="1:11" ht="13.5" customHeight="1">
      <c r="A35" s="49" t="s">
        <v>17</v>
      </c>
      <c r="B35" s="53">
        <v>0</v>
      </c>
      <c r="C35" s="53"/>
      <c r="D35" s="53"/>
      <c r="E35" s="53"/>
      <c r="F35" s="53">
        <f t="shared" si="10"/>
        <v>0</v>
      </c>
      <c r="G35" s="69">
        <f t="shared" si="12"/>
        <v>0</v>
      </c>
      <c r="H35" s="61"/>
    </row>
    <row r="36" spans="1:11" ht="13.5" customHeight="1">
      <c r="A36" s="49" t="s">
        <v>18</v>
      </c>
      <c r="B36" s="53">
        <v>0</v>
      </c>
      <c r="C36" s="53"/>
      <c r="D36" s="53"/>
      <c r="E36" s="53"/>
      <c r="F36" s="53">
        <f t="shared" si="10"/>
        <v>0</v>
      </c>
      <c r="G36" s="69">
        <f t="shared" si="12"/>
        <v>0</v>
      </c>
      <c r="H36" s="61"/>
    </row>
    <row r="37" spans="1:11" ht="13.5" customHeight="1"/>
    <row r="38" spans="1:11" ht="13.5" customHeight="1"/>
    <row r="39" spans="1:11" ht="13.5" customHeight="1"/>
    <row r="40" spans="1:11" ht="13.5" customHeight="1"/>
    <row r="41" spans="1:11" ht="13.5" customHeight="1"/>
    <row r="42" spans="1:11" ht="13.5" customHeight="1"/>
    <row r="43" spans="1:11" ht="13.5" customHeight="1"/>
    <row r="44" spans="1:11" ht="13.5" customHeight="1"/>
    <row r="45" spans="1:11" ht="13.5" customHeight="1"/>
    <row r="46" spans="1:11" ht="13.5" customHeight="1"/>
    <row r="47" spans="1:11" ht="13.5" customHeight="1"/>
    <row r="48" spans="1:1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59765625" defaultRowHeight="15" customHeight="1"/>
  <cols>
    <col min="1" max="1" width="11.59765625" customWidth="1"/>
    <col min="2" max="2" width="49.09765625" customWidth="1"/>
    <col min="3" max="3" width="12" customWidth="1"/>
    <col min="4" max="4" width="6.59765625" customWidth="1"/>
    <col min="5" max="5" width="9.8984375" customWidth="1"/>
    <col min="6" max="6" width="14" customWidth="1"/>
    <col min="7" max="7" width="9.3984375" customWidth="1"/>
    <col min="8" max="8" width="11.09765625" customWidth="1"/>
    <col min="9" max="10" width="15.19921875" customWidth="1"/>
    <col min="11" max="12" width="11.59765625" customWidth="1"/>
    <col min="13" max="13" width="6.19921875" customWidth="1"/>
    <col min="14" max="26" width="11.59765625" customWidth="1"/>
  </cols>
  <sheetData>
    <row r="1" spans="1:26" ht="13.5" customHeight="1">
      <c r="A1" s="55"/>
      <c r="B1" s="99" t="s">
        <v>181</v>
      </c>
      <c r="C1" s="100"/>
      <c r="D1" s="46"/>
      <c r="E1" s="46"/>
      <c r="F1" s="46"/>
      <c r="G1" s="46"/>
      <c r="H1" s="46"/>
      <c r="I1" s="46"/>
      <c r="J1" s="46"/>
      <c r="K1" s="46"/>
      <c r="L1" s="46"/>
      <c r="M1" s="46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3.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3.5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3.5" customHeight="1">
      <c r="A4" s="101"/>
      <c r="B4" s="102" t="s">
        <v>11</v>
      </c>
      <c r="C4" s="102" t="s">
        <v>182</v>
      </c>
      <c r="D4" s="103" t="s">
        <v>183</v>
      </c>
      <c r="E4" s="103" t="s">
        <v>184</v>
      </c>
      <c r="F4" s="103" t="s">
        <v>185</v>
      </c>
      <c r="G4" s="103" t="s">
        <v>186</v>
      </c>
      <c r="H4" s="103" t="s">
        <v>187</v>
      </c>
      <c r="I4" s="103" t="s">
        <v>188</v>
      </c>
      <c r="J4" s="104" t="s">
        <v>189</v>
      </c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13.5" customHeight="1">
      <c r="A5" s="55"/>
      <c r="B5" s="105" t="s">
        <v>190</v>
      </c>
      <c r="C5" s="106">
        <v>29990</v>
      </c>
      <c r="D5" s="48"/>
      <c r="E5" s="48"/>
      <c r="F5" s="48"/>
      <c r="G5" s="48"/>
      <c r="H5" s="48">
        <v>18</v>
      </c>
      <c r="I5" s="48">
        <v>13</v>
      </c>
      <c r="J5" s="107">
        <f t="shared" ref="J5:J12" si="0">SUM(D5:I5)</f>
        <v>31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3.5" customHeight="1">
      <c r="A6" s="55"/>
      <c r="B6" s="105" t="s">
        <v>191</v>
      </c>
      <c r="C6" s="106">
        <v>49990</v>
      </c>
      <c r="D6" s="48">
        <v>6</v>
      </c>
      <c r="E6" s="48">
        <v>14</v>
      </c>
      <c r="F6" s="48">
        <v>6</v>
      </c>
      <c r="G6" s="48">
        <v>14</v>
      </c>
      <c r="H6" s="48">
        <v>15</v>
      </c>
      <c r="I6" s="48">
        <v>15</v>
      </c>
      <c r="J6" s="107">
        <f t="shared" si="0"/>
        <v>70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3.5" customHeight="1">
      <c r="A7" s="55"/>
      <c r="B7" s="105" t="s">
        <v>192</v>
      </c>
      <c r="C7" s="106">
        <v>7990</v>
      </c>
      <c r="D7" s="48"/>
      <c r="E7" s="48"/>
      <c r="F7" s="48"/>
      <c r="G7" s="48"/>
      <c r="H7" s="48">
        <v>17</v>
      </c>
      <c r="I7" s="48">
        <v>25</v>
      </c>
      <c r="J7" s="107">
        <f t="shared" si="0"/>
        <v>42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3.5" customHeight="1">
      <c r="A8" s="55"/>
      <c r="B8" s="105" t="s">
        <v>193</v>
      </c>
      <c r="C8" s="106">
        <v>7990</v>
      </c>
      <c r="D8" s="48"/>
      <c r="E8" s="48"/>
      <c r="F8" s="48"/>
      <c r="G8" s="48"/>
      <c r="H8" s="48">
        <v>11</v>
      </c>
      <c r="I8" s="48">
        <v>6</v>
      </c>
      <c r="J8" s="107">
        <f t="shared" si="0"/>
        <v>17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3.5" customHeight="1">
      <c r="A9" s="55"/>
      <c r="B9" s="105" t="s">
        <v>194</v>
      </c>
      <c r="C9" s="106">
        <v>7990</v>
      </c>
      <c r="D9" s="48"/>
      <c r="E9" s="48"/>
      <c r="F9" s="48"/>
      <c r="G9" s="48"/>
      <c r="H9" s="48">
        <v>7</v>
      </c>
      <c r="I9" s="48">
        <v>1</v>
      </c>
      <c r="J9" s="107">
        <f t="shared" si="0"/>
        <v>8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3.5" customHeight="1">
      <c r="A10" s="55"/>
      <c r="B10" s="105" t="s">
        <v>195</v>
      </c>
      <c r="C10" s="106">
        <v>49990</v>
      </c>
      <c r="D10" s="48"/>
      <c r="E10" s="48"/>
      <c r="F10" s="48"/>
      <c r="G10" s="48">
        <v>46</v>
      </c>
      <c r="H10" s="48">
        <v>63</v>
      </c>
      <c r="I10" s="48">
        <v>30</v>
      </c>
      <c r="J10" s="107">
        <f t="shared" si="0"/>
        <v>139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3.5" customHeight="1">
      <c r="A11" s="55"/>
      <c r="B11" s="105" t="s">
        <v>196</v>
      </c>
      <c r="C11" s="106">
        <v>49990</v>
      </c>
      <c r="D11" s="48"/>
      <c r="E11" s="48"/>
      <c r="F11" s="48"/>
      <c r="G11" s="48">
        <v>16</v>
      </c>
      <c r="H11" s="48">
        <v>17</v>
      </c>
      <c r="I11" s="48">
        <v>5</v>
      </c>
      <c r="J11" s="107">
        <f t="shared" si="0"/>
        <v>38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3.5" customHeight="1">
      <c r="A12" s="55"/>
      <c r="B12" s="105" t="s">
        <v>197</v>
      </c>
      <c r="C12" s="106">
        <v>49990</v>
      </c>
      <c r="D12" s="48"/>
      <c r="E12" s="48"/>
      <c r="F12" s="48"/>
      <c r="G12" s="48">
        <v>3</v>
      </c>
      <c r="H12" s="48">
        <v>9</v>
      </c>
      <c r="I12" s="48">
        <v>4</v>
      </c>
      <c r="J12" s="107">
        <f t="shared" si="0"/>
        <v>16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3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3.5" customHeight="1">
      <c r="A15" s="101"/>
      <c r="B15" s="102" t="s">
        <v>11</v>
      </c>
      <c r="C15" s="102" t="s">
        <v>182</v>
      </c>
      <c r="D15" s="103" t="s">
        <v>15</v>
      </c>
      <c r="E15" s="103" t="s">
        <v>16</v>
      </c>
      <c r="F15" s="103" t="s">
        <v>198</v>
      </c>
      <c r="G15" s="103" t="s">
        <v>18</v>
      </c>
      <c r="H15" s="103" t="s">
        <v>20</v>
      </c>
      <c r="I15" s="104" t="s">
        <v>189</v>
      </c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 ht="13.5" customHeight="1">
      <c r="A16" s="55"/>
      <c r="B16" s="105" t="s">
        <v>190</v>
      </c>
      <c r="C16" s="106">
        <v>29990</v>
      </c>
      <c r="D16" s="48">
        <v>18</v>
      </c>
      <c r="E16" s="48">
        <v>1</v>
      </c>
      <c r="F16" s="48"/>
      <c r="G16" s="48">
        <v>12</v>
      </c>
      <c r="H16" s="48"/>
      <c r="I16" s="107">
        <f t="shared" ref="I16:I23" si="1">SUM(D16:H16)</f>
        <v>31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3.5" customHeight="1">
      <c r="A17" s="55"/>
      <c r="B17" s="105" t="s">
        <v>191</v>
      </c>
      <c r="C17" s="106">
        <v>49990</v>
      </c>
      <c r="D17" s="48">
        <v>21</v>
      </c>
      <c r="E17" s="48"/>
      <c r="F17" s="48">
        <v>1</v>
      </c>
      <c r="G17" s="48">
        <v>48</v>
      </c>
      <c r="H17" s="48"/>
      <c r="I17" s="107">
        <f t="shared" si="1"/>
        <v>70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3.5" customHeight="1">
      <c r="A18" s="55"/>
      <c r="B18" s="105" t="s">
        <v>192</v>
      </c>
      <c r="C18" s="106">
        <v>7990</v>
      </c>
      <c r="D18" s="48">
        <v>20</v>
      </c>
      <c r="E18" s="48">
        <v>3</v>
      </c>
      <c r="F18" s="48"/>
      <c r="G18" s="48">
        <v>14</v>
      </c>
      <c r="H18" s="48">
        <v>5</v>
      </c>
      <c r="I18" s="107">
        <f t="shared" si="1"/>
        <v>42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3.5" customHeight="1">
      <c r="A19" s="55"/>
      <c r="B19" s="105" t="s">
        <v>193</v>
      </c>
      <c r="C19" s="106">
        <v>7990</v>
      </c>
      <c r="D19" s="48">
        <v>5</v>
      </c>
      <c r="E19" s="48">
        <v>1</v>
      </c>
      <c r="F19" s="48">
        <v>3</v>
      </c>
      <c r="G19" s="48">
        <v>3</v>
      </c>
      <c r="H19" s="48">
        <v>5</v>
      </c>
      <c r="I19" s="107">
        <f t="shared" si="1"/>
        <v>17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3.5" customHeight="1">
      <c r="A20" s="55"/>
      <c r="B20" s="105" t="s">
        <v>194</v>
      </c>
      <c r="C20" s="106">
        <v>7990</v>
      </c>
      <c r="D20" s="48">
        <v>1</v>
      </c>
      <c r="E20" s="48">
        <v>1</v>
      </c>
      <c r="F20" s="48"/>
      <c r="G20" s="48">
        <v>6</v>
      </c>
      <c r="H20" s="48"/>
      <c r="I20" s="107">
        <f t="shared" si="1"/>
        <v>8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3.5" customHeight="1">
      <c r="A21" s="55"/>
      <c r="B21" s="105" t="s">
        <v>195</v>
      </c>
      <c r="C21" s="106">
        <v>49990</v>
      </c>
      <c r="D21" s="48">
        <v>37</v>
      </c>
      <c r="E21" s="48">
        <v>36</v>
      </c>
      <c r="F21" s="48"/>
      <c r="G21" s="48">
        <v>47</v>
      </c>
      <c r="H21" s="48">
        <v>19</v>
      </c>
      <c r="I21" s="107">
        <f t="shared" si="1"/>
        <v>139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3.5" customHeight="1">
      <c r="A22" s="55"/>
      <c r="B22" s="105" t="s">
        <v>196</v>
      </c>
      <c r="C22" s="106">
        <v>49990</v>
      </c>
      <c r="D22" s="48">
        <v>12</v>
      </c>
      <c r="E22" s="48">
        <v>7</v>
      </c>
      <c r="F22" s="48"/>
      <c r="G22" s="48">
        <v>18</v>
      </c>
      <c r="H22" s="48">
        <v>1</v>
      </c>
      <c r="I22" s="107">
        <f t="shared" si="1"/>
        <v>38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3.5" customHeight="1">
      <c r="A23" s="55"/>
      <c r="B23" s="105" t="s">
        <v>197</v>
      </c>
      <c r="C23" s="106">
        <v>49990</v>
      </c>
      <c r="D23" s="48">
        <v>9</v>
      </c>
      <c r="E23" s="48">
        <v>4</v>
      </c>
      <c r="F23" s="48"/>
      <c r="G23" s="48">
        <v>2</v>
      </c>
      <c r="H23" s="48">
        <v>1</v>
      </c>
      <c r="I23" s="107">
        <f t="shared" si="1"/>
        <v>16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3.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3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3.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3.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3.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3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3.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3.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3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3.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3.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3.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3.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3.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3.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3.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3.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3.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3.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3.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3.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3.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3.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3.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3.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3.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3.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3.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3.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3.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3.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3.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3.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3.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3.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3.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3.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3.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3.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3.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3.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3.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3.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3.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3.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3.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3.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3.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3.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3.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3.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3.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3.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3.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3.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3.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3.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3.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3.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3.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3.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3.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3.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3.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3.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3.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3.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3.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3.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3.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3.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3.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3.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3.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3.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3.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3.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3.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3.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3.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3.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3.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3.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3.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3.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3.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3.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3.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3.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3.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3.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3.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3.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3.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3.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3.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3.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3.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3.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3.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3.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3.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3.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3.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3.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3.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3.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3.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3.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3.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3.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3.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3.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3.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3.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3.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3.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3.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3.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3.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3.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3.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3.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3.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3.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3.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3.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3.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3.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3.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3.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3.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3.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3.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3.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3.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3.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3.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3.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3.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3.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3.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3.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3.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3.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3.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3.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3.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3.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3.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3.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3.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3.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3.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3.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3.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3.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3.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3.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3.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3.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3.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3.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3.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3.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3.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3.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3.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3.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3.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3.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3.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3.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3.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3.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3.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3.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3.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3.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3.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3.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3.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3.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3.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3.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3.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3.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3.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3.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3.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3.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3.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3.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3.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3.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3.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3.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3.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3.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3.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3.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3.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3.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3.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3.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3.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3.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3.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3.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3.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3.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3.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3.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3.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3.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3.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3.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3.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3.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3.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3.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3.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3.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3.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3.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3.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3.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3.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3.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3.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3.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3.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3.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3.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3.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3.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3.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3.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3.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3.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3.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3.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3.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3.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3.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3.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3.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3.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3.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3.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3.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3.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3.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3.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3.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3.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3.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3.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3.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3.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3.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3.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3.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3.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3.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3.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3.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3.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3.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3.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3.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3.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3.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3.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3.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3.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3.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3.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3.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3.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3.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3.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3.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3.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3.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3.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3.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3.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3.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3.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3.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3.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3.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3.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3.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3.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3.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3.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3.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3.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3.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3.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3.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3.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3.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3.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3.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3.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3.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3.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3.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3.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3.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3.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3.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3.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3.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3.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3.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3.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3.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3.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3.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3.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3.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3.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3.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3.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3.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3.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3.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3.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3.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3.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3.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3.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3.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3.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3.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3.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3.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3.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3.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3.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3.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3.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3.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3.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3.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3.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3.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3.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3.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3.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3.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3.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3.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3.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3.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3.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3.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3.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3.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3.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3.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3.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3.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3.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3.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3.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3.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3.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3.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3.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3.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3.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3.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3.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3.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3.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3.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3.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3.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3.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3.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3.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3.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3.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3.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3.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3.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3.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3.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3.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3.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3.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3.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3.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3.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3.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3.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3.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3.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3.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3.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3.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3.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3.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3.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3.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3.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3.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3.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3.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3.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3.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3.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3.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3.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3.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3.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3.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3.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3.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3.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3.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3.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3.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3.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3.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3.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3.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3.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3.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3.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3.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3.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3.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3.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3.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3.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3.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3.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3.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3.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3.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3.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3.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3.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3.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3.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3.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3.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3.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3.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3.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3.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3.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3.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3.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3.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3.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3.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3.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3.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3.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3.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3.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3.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3.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3.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3.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3.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3.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3.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3.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3.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3.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3.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3.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3.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3.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3.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3.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3.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3.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3.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3.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3.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3.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3.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3.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3.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3.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3.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3.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3.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3.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3.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3.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3.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3.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3.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3.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3.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3.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3.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3.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3.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3.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3.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3.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3.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3.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3.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3.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3.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3.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3.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3.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3.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3.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3.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3.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3.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3.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3.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3.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3.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3.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3.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3.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3.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3.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3.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3.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3.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3.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3.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3.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3.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3.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3.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3.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3.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3.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3.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3.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3.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3.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3.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3.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3.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3.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3.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3.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3.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3.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3.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3.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3.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3.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3.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3.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3.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3.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3.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3.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3.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3.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3.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3.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3.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3.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3.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3.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3.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3.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3.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3.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3.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3.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3.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3.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3.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3.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3.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3.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3.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3.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3.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3.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3.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3.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3.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3.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3.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3.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3.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3.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3.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3.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3.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3.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3.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3.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3.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3.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3.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3.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3.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3.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3.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3.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3.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3.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3.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3.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3.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3.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3.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3.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3.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3.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3.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3.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3.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3.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3.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3.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3.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3.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3.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3.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3.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3.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3.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3.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3.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3.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3.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3.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3.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3.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3.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3.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3.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3.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3.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3.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3.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3.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3.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3.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3.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3.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3.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3.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3.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3.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3.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3.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3.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3.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3.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3.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3.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3.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3.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3.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3.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3.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3.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3.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3.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3.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3.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3.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3.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3.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3.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3.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3.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3.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3.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3.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3.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3.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3.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3.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3.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3.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3.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3.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3.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3.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3.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3.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3.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3.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3.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3.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3.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3.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3.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3.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3.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3.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3.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3.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3.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3.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3.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3.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3.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3.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3.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3.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3.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3.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3.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3.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3.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3.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3.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3.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3.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3.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3.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3.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3.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3.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3.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3.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3.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3.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3.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3.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3.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3.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3.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3.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3.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3.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3.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3.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3.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3.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3.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3.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3.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3.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3.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3.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3.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3.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3.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3.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3.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3.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3.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3.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3.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3.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3.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3.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3.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3.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3.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3.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3.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3.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3.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3.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3.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3.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3.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3.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3.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3.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3.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3.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3.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3.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3.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3.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3.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3.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3.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3.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3.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3.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3.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3.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3.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3.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3.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3.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3.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3.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3.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3.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3.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3.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3.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3.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3.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3.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3.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3.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3.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3.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3.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3.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3.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3.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3.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3.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3.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3.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3.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3.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3.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3.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3.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3.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3.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3.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3.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3.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3.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3.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3.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3.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3.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3.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3.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3.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3.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3.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3.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3.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3.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3.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3.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3.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3.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3.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3.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3.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3.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3.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3.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3.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3.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3.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3.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3.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3.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3.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3.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3.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3.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3.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3.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3.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3.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3.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3.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3.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3.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3.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3.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3.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3.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3.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3.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3.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3.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3.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3.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3.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3.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3.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3.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3.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3.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3.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3.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3.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3.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3.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3.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3.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3.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3.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3.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3.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3.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3.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3.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3.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3.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3.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3.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3.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3.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3.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3.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3.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3.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3.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3.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3.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3.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3.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3.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3.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3.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3.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3.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3.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3.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3.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3.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3.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3.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3.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3.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3.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3.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3.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3.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3.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3.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3.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3.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3.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3.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3.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3.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3.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3.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3.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3.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3.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3.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3.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3.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3.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3.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3.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3.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3.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3.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3.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3.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3.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3.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3.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3.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3.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3.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3.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baseColWidth="10" defaultColWidth="12.59765625" defaultRowHeight="15" customHeight="1"/>
  <cols>
    <col min="1" max="1" width="3.59765625" customWidth="1"/>
    <col min="2" max="2" width="10.59765625" customWidth="1"/>
    <col min="3" max="10" width="15.69921875" customWidth="1"/>
    <col min="11" max="11" width="6.59765625" customWidth="1"/>
    <col min="12" max="12" width="7" customWidth="1"/>
    <col min="13" max="26" width="10.59765625" customWidth="1"/>
  </cols>
  <sheetData>
    <row r="1" spans="1:26" ht="13.5" customHeight="1">
      <c r="K1" s="108"/>
      <c r="L1" s="108"/>
    </row>
    <row r="2" spans="1:26" ht="13.5" customHeight="1">
      <c r="A2" s="55"/>
      <c r="B2" s="105" t="s">
        <v>87</v>
      </c>
      <c r="C2" s="109" t="s">
        <v>190</v>
      </c>
      <c r="D2" s="109" t="s">
        <v>191</v>
      </c>
      <c r="E2" s="109" t="s">
        <v>192</v>
      </c>
      <c r="F2" s="109" t="s">
        <v>193</v>
      </c>
      <c r="G2" s="109" t="s">
        <v>194</v>
      </c>
      <c r="H2" s="109" t="s">
        <v>195</v>
      </c>
      <c r="I2" s="109" t="s">
        <v>196</v>
      </c>
      <c r="J2" s="109" t="s">
        <v>197</v>
      </c>
      <c r="K2" s="110" t="s">
        <v>199</v>
      </c>
      <c r="L2" s="110" t="s">
        <v>200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3.5" customHeight="1">
      <c r="B3" s="105" t="s">
        <v>97</v>
      </c>
      <c r="C3" s="48">
        <v>11</v>
      </c>
      <c r="D3" s="48">
        <v>42</v>
      </c>
      <c r="E3" s="48">
        <v>21</v>
      </c>
      <c r="F3" s="48">
        <v>6</v>
      </c>
      <c r="G3" s="48">
        <v>4</v>
      </c>
      <c r="H3" s="48">
        <v>67</v>
      </c>
      <c r="I3" s="48">
        <v>23</v>
      </c>
      <c r="J3" s="48">
        <v>13</v>
      </c>
      <c r="K3" s="110">
        <f t="shared" ref="K3:K23" si="0">SUM(C3:J3)</f>
        <v>187</v>
      </c>
      <c r="L3" s="111">
        <f t="shared" ref="L3:L23" si="1">K3/SUM($K$3:$K$23)</f>
        <v>0.51800554016620504</v>
      </c>
    </row>
    <row r="4" spans="1:26" ht="13.5" customHeight="1">
      <c r="B4" s="105" t="s">
        <v>95</v>
      </c>
      <c r="C4" s="48">
        <v>9</v>
      </c>
      <c r="D4" s="48">
        <v>12</v>
      </c>
      <c r="E4" s="48">
        <v>7</v>
      </c>
      <c r="F4" s="48"/>
      <c r="G4" s="48"/>
      <c r="H4" s="48">
        <v>30</v>
      </c>
      <c r="I4" s="48">
        <v>5</v>
      </c>
      <c r="J4" s="48"/>
      <c r="K4" s="110">
        <f t="shared" si="0"/>
        <v>63</v>
      </c>
      <c r="L4" s="111">
        <f t="shared" si="1"/>
        <v>0.17451523545706371</v>
      </c>
    </row>
    <row r="5" spans="1:26" ht="13.5" customHeight="1">
      <c r="B5" s="105" t="s">
        <v>106</v>
      </c>
      <c r="C5" s="48">
        <v>1</v>
      </c>
      <c r="D5" s="48">
        <v>3</v>
      </c>
      <c r="E5" s="48">
        <v>4</v>
      </c>
      <c r="F5" s="48">
        <v>4</v>
      </c>
      <c r="G5" s="48"/>
      <c r="H5" s="48">
        <v>10</v>
      </c>
      <c r="I5" s="48">
        <v>7</v>
      </c>
      <c r="J5" s="48"/>
      <c r="K5" s="110">
        <f t="shared" si="0"/>
        <v>29</v>
      </c>
      <c r="L5" s="111">
        <f t="shared" si="1"/>
        <v>8.0332409972299165E-2</v>
      </c>
    </row>
    <row r="6" spans="1:26" ht="13.5" customHeight="1">
      <c r="B6" s="105" t="s">
        <v>105</v>
      </c>
      <c r="C6" s="48">
        <v>6</v>
      </c>
      <c r="D6" s="48">
        <v>2</v>
      </c>
      <c r="E6" s="48"/>
      <c r="F6" s="48"/>
      <c r="G6" s="48"/>
      <c r="H6" s="48">
        <v>6</v>
      </c>
      <c r="I6" s="48"/>
      <c r="J6" s="48"/>
      <c r="K6" s="110">
        <f t="shared" si="0"/>
        <v>14</v>
      </c>
      <c r="L6" s="111">
        <f t="shared" si="1"/>
        <v>3.8781163434903045E-2</v>
      </c>
    </row>
    <row r="7" spans="1:26" ht="13.5" customHeight="1">
      <c r="B7" s="105" t="s">
        <v>109</v>
      </c>
      <c r="C7" s="48"/>
      <c r="D7" s="48">
        <v>3</v>
      </c>
      <c r="E7" s="48">
        <v>1</v>
      </c>
      <c r="F7" s="48">
        <v>2</v>
      </c>
      <c r="G7" s="48"/>
      <c r="H7" s="48">
        <v>3</v>
      </c>
      <c r="I7" s="48"/>
      <c r="J7" s="48"/>
      <c r="K7" s="110">
        <f t="shared" si="0"/>
        <v>9</v>
      </c>
      <c r="L7" s="111">
        <f t="shared" si="1"/>
        <v>2.4930747922437674E-2</v>
      </c>
    </row>
    <row r="8" spans="1:26" ht="13.5" customHeight="1">
      <c r="B8" s="105" t="s">
        <v>171</v>
      </c>
      <c r="C8" s="48">
        <v>1</v>
      </c>
      <c r="D8" s="48"/>
      <c r="E8" s="48">
        <v>5</v>
      </c>
      <c r="F8" s="48">
        <v>1</v>
      </c>
      <c r="G8" s="48"/>
      <c r="H8" s="48">
        <v>2</v>
      </c>
      <c r="I8" s="48"/>
      <c r="J8" s="48"/>
      <c r="K8" s="110">
        <f t="shared" si="0"/>
        <v>9</v>
      </c>
      <c r="L8" s="111">
        <f t="shared" si="1"/>
        <v>2.4930747922437674E-2</v>
      </c>
    </row>
    <row r="9" spans="1:26" ht="13.5" customHeight="1">
      <c r="B9" s="105" t="s">
        <v>93</v>
      </c>
      <c r="C9" s="48"/>
      <c r="D9" s="48"/>
      <c r="E9" s="48"/>
      <c r="F9" s="48"/>
      <c r="G9" s="48">
        <v>3</v>
      </c>
      <c r="H9" s="48">
        <v>4</v>
      </c>
      <c r="I9" s="48"/>
      <c r="J9" s="48">
        <v>2</v>
      </c>
      <c r="K9" s="110">
        <f t="shared" si="0"/>
        <v>9</v>
      </c>
      <c r="L9" s="111">
        <f t="shared" si="1"/>
        <v>2.4930747922437674E-2</v>
      </c>
    </row>
    <row r="10" spans="1:26" ht="13.5" customHeight="1">
      <c r="B10" s="105" t="s">
        <v>125</v>
      </c>
      <c r="C10" s="48"/>
      <c r="D10" s="48">
        <v>1</v>
      </c>
      <c r="E10" s="48">
        <v>3</v>
      </c>
      <c r="F10" s="48">
        <v>1</v>
      </c>
      <c r="G10" s="48"/>
      <c r="H10" s="48">
        <v>3</v>
      </c>
      <c r="I10" s="48">
        <v>1</v>
      </c>
      <c r="J10" s="48"/>
      <c r="K10" s="110">
        <f t="shared" si="0"/>
        <v>9</v>
      </c>
      <c r="L10" s="111">
        <f t="shared" si="1"/>
        <v>2.4930747922437674E-2</v>
      </c>
    </row>
    <row r="11" spans="1:26" ht="13.5" customHeight="1">
      <c r="B11" s="105" t="s">
        <v>177</v>
      </c>
      <c r="C11" s="48"/>
      <c r="D11" s="48"/>
      <c r="E11" s="48">
        <v>1</v>
      </c>
      <c r="F11" s="48"/>
      <c r="G11" s="48"/>
      <c r="H11" s="48">
        <v>5</v>
      </c>
      <c r="I11" s="48">
        <v>1</v>
      </c>
      <c r="J11" s="48">
        <v>1</v>
      </c>
      <c r="K11" s="110">
        <f t="shared" si="0"/>
        <v>8</v>
      </c>
      <c r="L11" s="111">
        <f t="shared" si="1"/>
        <v>2.2160664819944598E-2</v>
      </c>
    </row>
    <row r="12" spans="1:26" ht="13.5" customHeight="1">
      <c r="B12" s="105" t="s">
        <v>113</v>
      </c>
      <c r="C12" s="48"/>
      <c r="D12" s="48">
        <v>5</v>
      </c>
      <c r="E12" s="48"/>
      <c r="F12" s="48"/>
      <c r="G12" s="48"/>
      <c r="H12" s="48"/>
      <c r="I12" s="48">
        <v>1</v>
      </c>
      <c r="J12" s="48"/>
      <c r="K12" s="110">
        <f t="shared" si="0"/>
        <v>6</v>
      </c>
      <c r="L12" s="111">
        <f t="shared" si="1"/>
        <v>1.662049861495845E-2</v>
      </c>
    </row>
    <row r="13" spans="1:26" ht="13.5" customHeight="1">
      <c r="B13" s="105" t="s">
        <v>115</v>
      </c>
      <c r="C13" s="48"/>
      <c r="D13" s="48"/>
      <c r="E13" s="48"/>
      <c r="F13" s="48">
        <v>3</v>
      </c>
      <c r="G13" s="48">
        <v>1</v>
      </c>
      <c r="H13" s="48"/>
      <c r="I13" s="48"/>
      <c r="J13" s="48"/>
      <c r="K13" s="110">
        <f t="shared" si="0"/>
        <v>4</v>
      </c>
      <c r="L13" s="111">
        <f t="shared" si="1"/>
        <v>1.1080332409972299E-2</v>
      </c>
    </row>
    <row r="14" spans="1:26" ht="13.5" customHeight="1">
      <c r="B14" s="105" t="s">
        <v>121</v>
      </c>
      <c r="C14" s="48">
        <v>2</v>
      </c>
      <c r="D14" s="48"/>
      <c r="E14" s="48"/>
      <c r="F14" s="48"/>
      <c r="G14" s="48"/>
      <c r="H14" s="48"/>
      <c r="I14" s="48"/>
      <c r="J14" s="48"/>
      <c r="K14" s="110">
        <f t="shared" si="0"/>
        <v>2</v>
      </c>
      <c r="L14" s="111">
        <f t="shared" si="1"/>
        <v>5.5401662049861496E-3</v>
      </c>
    </row>
    <row r="15" spans="1:26" ht="13.5" customHeight="1">
      <c r="B15" s="105" t="s">
        <v>201</v>
      </c>
      <c r="C15" s="48"/>
      <c r="D15" s="48"/>
      <c r="E15" s="48"/>
      <c r="F15" s="48"/>
      <c r="G15" s="48"/>
      <c r="H15" s="48">
        <v>2</v>
      </c>
      <c r="I15" s="48"/>
      <c r="J15" s="48"/>
      <c r="K15" s="110">
        <f t="shared" si="0"/>
        <v>2</v>
      </c>
      <c r="L15" s="111">
        <f t="shared" si="1"/>
        <v>5.5401662049861496E-3</v>
      </c>
    </row>
    <row r="16" spans="1:26" ht="13.5" customHeight="1">
      <c r="B16" s="105" t="s">
        <v>202</v>
      </c>
      <c r="C16" s="48"/>
      <c r="D16" s="48"/>
      <c r="E16" s="48"/>
      <c r="F16" s="48"/>
      <c r="G16" s="48"/>
      <c r="H16" s="48">
        <v>2</v>
      </c>
      <c r="I16" s="48"/>
      <c r="J16" s="48"/>
      <c r="K16" s="110">
        <f t="shared" si="0"/>
        <v>2</v>
      </c>
      <c r="L16" s="111">
        <f t="shared" si="1"/>
        <v>5.5401662049861496E-3</v>
      </c>
    </row>
    <row r="17" spans="2:12" ht="13.5" customHeight="1">
      <c r="B17" s="105" t="s">
        <v>203</v>
      </c>
      <c r="C17" s="48"/>
      <c r="D17" s="48"/>
      <c r="E17" s="48"/>
      <c r="F17" s="48"/>
      <c r="G17" s="48"/>
      <c r="H17" s="48">
        <v>2</v>
      </c>
      <c r="I17" s="48"/>
      <c r="J17" s="48"/>
      <c r="K17" s="110">
        <f t="shared" si="0"/>
        <v>2</v>
      </c>
      <c r="L17" s="111">
        <f t="shared" si="1"/>
        <v>5.5401662049861496E-3</v>
      </c>
    </row>
    <row r="18" spans="2:12" ht="13.5" customHeight="1">
      <c r="B18" s="105" t="s">
        <v>117</v>
      </c>
      <c r="C18" s="48"/>
      <c r="D18" s="48"/>
      <c r="E18" s="48"/>
      <c r="F18" s="48"/>
      <c r="G18" s="48"/>
      <c r="H18" s="48">
        <v>1</v>
      </c>
      <c r="I18" s="48"/>
      <c r="J18" s="48"/>
      <c r="K18" s="110">
        <f t="shared" si="0"/>
        <v>1</v>
      </c>
      <c r="L18" s="111">
        <f t="shared" si="1"/>
        <v>2.7700831024930748E-3</v>
      </c>
    </row>
    <row r="19" spans="2:12" ht="13.5" customHeight="1">
      <c r="B19" s="105" t="s">
        <v>122</v>
      </c>
      <c r="C19" s="48"/>
      <c r="D19" s="48">
        <v>1</v>
      </c>
      <c r="E19" s="48"/>
      <c r="F19" s="48"/>
      <c r="G19" s="48"/>
      <c r="H19" s="48"/>
      <c r="I19" s="48"/>
      <c r="J19" s="48"/>
      <c r="K19" s="110">
        <f t="shared" si="0"/>
        <v>1</v>
      </c>
      <c r="L19" s="111">
        <f t="shared" si="1"/>
        <v>2.7700831024930748E-3</v>
      </c>
    </row>
    <row r="20" spans="2:12" ht="13.5" customHeight="1">
      <c r="B20" s="105" t="s">
        <v>204</v>
      </c>
      <c r="C20" s="48">
        <v>1</v>
      </c>
      <c r="D20" s="48"/>
      <c r="E20" s="48"/>
      <c r="F20" s="48"/>
      <c r="G20" s="48"/>
      <c r="H20" s="48"/>
      <c r="I20" s="48"/>
      <c r="J20" s="48"/>
      <c r="K20" s="110">
        <f t="shared" si="0"/>
        <v>1</v>
      </c>
      <c r="L20" s="111">
        <f t="shared" si="1"/>
        <v>2.7700831024930748E-3</v>
      </c>
    </row>
    <row r="21" spans="2:12" ht="13.5" customHeight="1">
      <c r="B21" s="105" t="s">
        <v>176</v>
      </c>
      <c r="C21" s="48"/>
      <c r="D21" s="48"/>
      <c r="E21" s="48"/>
      <c r="F21" s="48"/>
      <c r="G21" s="48"/>
      <c r="H21" s="48">
        <v>1</v>
      </c>
      <c r="I21" s="48"/>
      <c r="J21" s="48"/>
      <c r="K21" s="110">
        <f t="shared" si="0"/>
        <v>1</v>
      </c>
      <c r="L21" s="111">
        <f t="shared" si="1"/>
        <v>2.7700831024930748E-3</v>
      </c>
    </row>
    <row r="22" spans="2:12" ht="13.5" customHeight="1">
      <c r="B22" s="105" t="s">
        <v>205</v>
      </c>
      <c r="C22" s="48"/>
      <c r="D22" s="48"/>
      <c r="E22" s="48"/>
      <c r="F22" s="48"/>
      <c r="G22" s="48"/>
      <c r="H22" s="48">
        <v>1</v>
      </c>
      <c r="I22" s="48"/>
      <c r="J22" s="48"/>
      <c r="K22" s="110">
        <f t="shared" si="0"/>
        <v>1</v>
      </c>
      <c r="L22" s="111">
        <f t="shared" si="1"/>
        <v>2.7700831024930748E-3</v>
      </c>
    </row>
    <row r="23" spans="2:12" ht="13.5" customHeight="1">
      <c r="B23" s="105" t="s">
        <v>172</v>
      </c>
      <c r="C23" s="48"/>
      <c r="D23" s="48">
        <v>1</v>
      </c>
      <c r="E23" s="48"/>
      <c r="F23" s="48"/>
      <c r="G23" s="48"/>
      <c r="H23" s="48"/>
      <c r="I23" s="48"/>
      <c r="J23" s="48"/>
      <c r="K23" s="110">
        <f t="shared" si="0"/>
        <v>1</v>
      </c>
      <c r="L23" s="111">
        <f t="shared" si="1"/>
        <v>2.7700831024930748E-3</v>
      </c>
    </row>
    <row r="24" spans="2:12" ht="13.5" customHeight="1">
      <c r="B24" s="112" t="s">
        <v>91</v>
      </c>
      <c r="C24" s="110">
        <f t="shared" ref="C24:K24" si="2">SUM(C3:C23)</f>
        <v>31</v>
      </c>
      <c r="D24" s="110">
        <f t="shared" si="2"/>
        <v>70</v>
      </c>
      <c r="E24" s="110">
        <f t="shared" si="2"/>
        <v>42</v>
      </c>
      <c r="F24" s="110">
        <f t="shared" si="2"/>
        <v>17</v>
      </c>
      <c r="G24" s="110">
        <f t="shared" si="2"/>
        <v>8</v>
      </c>
      <c r="H24" s="110">
        <f t="shared" si="2"/>
        <v>139</v>
      </c>
      <c r="I24" s="110">
        <f t="shared" si="2"/>
        <v>38</v>
      </c>
      <c r="J24" s="110">
        <f t="shared" si="2"/>
        <v>16</v>
      </c>
      <c r="K24" s="110">
        <f t="shared" si="2"/>
        <v>361</v>
      </c>
      <c r="L24" s="111"/>
    </row>
    <row r="25" spans="2:12" ht="13.5" customHeight="1">
      <c r="K25" s="108"/>
      <c r="L25" s="108"/>
    </row>
    <row r="26" spans="2:12" ht="13.5" customHeight="1">
      <c r="K26" s="108"/>
      <c r="L26" s="108"/>
    </row>
    <row r="27" spans="2:12" ht="13.5" customHeight="1">
      <c r="K27" s="108"/>
      <c r="L27" s="108"/>
    </row>
    <row r="28" spans="2:12" ht="13.5" customHeight="1">
      <c r="K28" s="108"/>
      <c r="L28" s="108"/>
    </row>
    <row r="29" spans="2:12" ht="13.5" customHeight="1">
      <c r="K29" s="108"/>
      <c r="L29" s="108"/>
    </row>
    <row r="30" spans="2:12" ht="13.5" customHeight="1">
      <c r="K30" s="108"/>
      <c r="L30" s="108"/>
    </row>
    <row r="31" spans="2:12" ht="13.5" customHeight="1">
      <c r="K31" s="108"/>
      <c r="L31" s="108"/>
    </row>
    <row r="32" spans="2:12" ht="13.5" customHeight="1">
      <c r="K32" s="108"/>
      <c r="L32" s="108"/>
    </row>
    <row r="33" spans="11:12" ht="13.5" customHeight="1">
      <c r="K33" s="108"/>
      <c r="L33" s="108"/>
    </row>
    <row r="34" spans="11:12" ht="13.5" customHeight="1">
      <c r="K34" s="108"/>
      <c r="L34" s="108"/>
    </row>
    <row r="35" spans="11:12" ht="13.5" customHeight="1">
      <c r="K35" s="108"/>
      <c r="L35" s="108"/>
    </row>
    <row r="36" spans="11:12" ht="13.5" customHeight="1">
      <c r="K36" s="108"/>
      <c r="L36" s="108"/>
    </row>
    <row r="37" spans="11:12" ht="13.5" customHeight="1">
      <c r="K37" s="108"/>
      <c r="L37" s="108"/>
    </row>
    <row r="38" spans="11:12" ht="13.5" customHeight="1">
      <c r="K38" s="108"/>
      <c r="L38" s="108"/>
    </row>
    <row r="39" spans="11:12" ht="13.5" customHeight="1">
      <c r="K39" s="108"/>
      <c r="L39" s="108"/>
    </row>
    <row r="40" spans="11:12" ht="13.5" customHeight="1">
      <c r="K40" s="108"/>
      <c r="L40" s="108"/>
    </row>
    <row r="41" spans="11:12" ht="13.5" customHeight="1">
      <c r="K41" s="108"/>
      <c r="L41" s="108"/>
    </row>
    <row r="42" spans="11:12" ht="13.5" customHeight="1">
      <c r="K42" s="108"/>
      <c r="L42" s="108"/>
    </row>
    <row r="43" spans="11:12" ht="13.5" customHeight="1">
      <c r="K43" s="108"/>
      <c r="L43" s="108"/>
    </row>
    <row r="44" spans="11:12" ht="13.5" customHeight="1">
      <c r="K44" s="108"/>
      <c r="L44" s="108"/>
    </row>
    <row r="45" spans="11:12" ht="13.5" customHeight="1">
      <c r="K45" s="108"/>
      <c r="L45" s="108"/>
    </row>
    <row r="46" spans="11:12" ht="13.5" customHeight="1">
      <c r="K46" s="108"/>
      <c r="L46" s="108"/>
    </row>
    <row r="47" spans="11:12" ht="13.5" customHeight="1">
      <c r="K47" s="108"/>
      <c r="L47" s="108"/>
    </row>
    <row r="48" spans="11:12" ht="13.5" customHeight="1">
      <c r="K48" s="108"/>
      <c r="L48" s="108"/>
    </row>
    <row r="49" spans="11:12" ht="13.5" customHeight="1">
      <c r="K49" s="108"/>
      <c r="L49" s="108"/>
    </row>
    <row r="50" spans="11:12" ht="13.5" customHeight="1">
      <c r="K50" s="108"/>
      <c r="L50" s="108"/>
    </row>
    <row r="51" spans="11:12" ht="13.5" customHeight="1">
      <c r="K51" s="108"/>
      <c r="L51" s="108"/>
    </row>
    <row r="52" spans="11:12" ht="13.5" customHeight="1">
      <c r="K52" s="108"/>
      <c r="L52" s="108"/>
    </row>
    <row r="53" spans="11:12" ht="13.5" customHeight="1">
      <c r="K53" s="108"/>
      <c r="L53" s="108"/>
    </row>
    <row r="54" spans="11:12" ht="13.5" customHeight="1">
      <c r="K54" s="108"/>
      <c r="L54" s="108"/>
    </row>
    <row r="55" spans="11:12" ht="13.5" customHeight="1">
      <c r="K55" s="108"/>
      <c r="L55" s="108"/>
    </row>
    <row r="56" spans="11:12" ht="13.5" customHeight="1">
      <c r="K56" s="108"/>
      <c r="L56" s="108"/>
    </row>
    <row r="57" spans="11:12" ht="13.5" customHeight="1">
      <c r="K57" s="108"/>
      <c r="L57" s="108"/>
    </row>
    <row r="58" spans="11:12" ht="13.5" customHeight="1">
      <c r="K58" s="108"/>
      <c r="L58" s="108"/>
    </row>
    <row r="59" spans="11:12" ht="13.5" customHeight="1">
      <c r="K59" s="108"/>
      <c r="L59" s="108"/>
    </row>
    <row r="60" spans="11:12" ht="13.5" customHeight="1">
      <c r="K60" s="108"/>
      <c r="L60" s="108"/>
    </row>
    <row r="61" spans="11:12" ht="13.5" customHeight="1">
      <c r="K61" s="108"/>
      <c r="L61" s="108"/>
    </row>
    <row r="62" spans="11:12" ht="13.5" customHeight="1">
      <c r="K62" s="108"/>
      <c r="L62" s="108"/>
    </row>
    <row r="63" spans="11:12" ht="13.5" customHeight="1">
      <c r="K63" s="108"/>
      <c r="L63" s="108"/>
    </row>
    <row r="64" spans="11:12" ht="13.5" customHeight="1">
      <c r="K64" s="108"/>
      <c r="L64" s="108"/>
    </row>
    <row r="65" spans="11:12" ht="13.5" customHeight="1">
      <c r="K65" s="108"/>
      <c r="L65" s="108"/>
    </row>
    <row r="66" spans="11:12" ht="13.5" customHeight="1">
      <c r="K66" s="108"/>
      <c r="L66" s="108"/>
    </row>
    <row r="67" spans="11:12" ht="13.5" customHeight="1">
      <c r="K67" s="108"/>
      <c r="L67" s="108"/>
    </row>
    <row r="68" spans="11:12" ht="13.5" customHeight="1">
      <c r="K68" s="108"/>
      <c r="L68" s="108"/>
    </row>
    <row r="69" spans="11:12" ht="13.5" customHeight="1">
      <c r="K69" s="108"/>
      <c r="L69" s="108"/>
    </row>
    <row r="70" spans="11:12" ht="13.5" customHeight="1">
      <c r="K70" s="108"/>
      <c r="L70" s="108"/>
    </row>
    <row r="71" spans="11:12" ht="13.5" customHeight="1">
      <c r="K71" s="108"/>
      <c r="L71" s="108"/>
    </row>
    <row r="72" spans="11:12" ht="13.5" customHeight="1">
      <c r="K72" s="108"/>
      <c r="L72" s="108"/>
    </row>
    <row r="73" spans="11:12" ht="13.5" customHeight="1">
      <c r="K73" s="108"/>
      <c r="L73" s="108"/>
    </row>
    <row r="74" spans="11:12" ht="13.5" customHeight="1">
      <c r="K74" s="108"/>
      <c r="L74" s="108"/>
    </row>
    <row r="75" spans="11:12" ht="13.5" customHeight="1">
      <c r="K75" s="108"/>
      <c r="L75" s="108"/>
    </row>
    <row r="76" spans="11:12" ht="13.5" customHeight="1">
      <c r="K76" s="108"/>
      <c r="L76" s="108"/>
    </row>
    <row r="77" spans="11:12" ht="13.5" customHeight="1">
      <c r="K77" s="108"/>
      <c r="L77" s="108"/>
    </row>
    <row r="78" spans="11:12" ht="13.5" customHeight="1">
      <c r="K78" s="108"/>
      <c r="L78" s="108"/>
    </row>
    <row r="79" spans="11:12" ht="13.5" customHeight="1">
      <c r="K79" s="108"/>
      <c r="L79" s="108"/>
    </row>
    <row r="80" spans="11:12" ht="13.5" customHeight="1">
      <c r="K80" s="108"/>
      <c r="L80" s="108"/>
    </row>
    <row r="81" spans="11:12" ht="13.5" customHeight="1">
      <c r="K81" s="108"/>
      <c r="L81" s="108"/>
    </row>
    <row r="82" spans="11:12" ht="13.5" customHeight="1">
      <c r="K82" s="108"/>
      <c r="L82" s="108"/>
    </row>
    <row r="83" spans="11:12" ht="13.5" customHeight="1">
      <c r="K83" s="108"/>
      <c r="L83" s="108"/>
    </row>
    <row r="84" spans="11:12" ht="13.5" customHeight="1">
      <c r="K84" s="108"/>
      <c r="L84" s="108"/>
    </row>
    <row r="85" spans="11:12" ht="13.5" customHeight="1">
      <c r="K85" s="108"/>
      <c r="L85" s="108"/>
    </row>
    <row r="86" spans="11:12" ht="13.5" customHeight="1">
      <c r="K86" s="108"/>
      <c r="L86" s="108"/>
    </row>
    <row r="87" spans="11:12" ht="13.5" customHeight="1">
      <c r="K87" s="108"/>
      <c r="L87" s="108"/>
    </row>
    <row r="88" spans="11:12" ht="13.5" customHeight="1">
      <c r="K88" s="108"/>
      <c r="L88" s="108"/>
    </row>
    <row r="89" spans="11:12" ht="13.5" customHeight="1">
      <c r="K89" s="108"/>
      <c r="L89" s="108"/>
    </row>
    <row r="90" spans="11:12" ht="13.5" customHeight="1">
      <c r="K90" s="108"/>
      <c r="L90" s="108"/>
    </row>
    <row r="91" spans="11:12" ht="13.5" customHeight="1">
      <c r="K91" s="108"/>
      <c r="L91" s="108"/>
    </row>
    <row r="92" spans="11:12" ht="13.5" customHeight="1">
      <c r="K92" s="108"/>
      <c r="L92" s="108"/>
    </row>
    <row r="93" spans="11:12" ht="13.5" customHeight="1">
      <c r="K93" s="108"/>
      <c r="L93" s="108"/>
    </row>
    <row r="94" spans="11:12" ht="13.5" customHeight="1">
      <c r="K94" s="108"/>
      <c r="L94" s="108"/>
    </row>
    <row r="95" spans="11:12" ht="13.5" customHeight="1">
      <c r="K95" s="108"/>
      <c r="L95" s="108"/>
    </row>
    <row r="96" spans="11:12" ht="13.5" customHeight="1">
      <c r="K96" s="108"/>
      <c r="L96" s="108"/>
    </row>
    <row r="97" spans="11:12" ht="13.5" customHeight="1">
      <c r="K97" s="108"/>
      <c r="L97" s="108"/>
    </row>
    <row r="98" spans="11:12" ht="13.5" customHeight="1">
      <c r="K98" s="108"/>
      <c r="L98" s="108"/>
    </row>
    <row r="99" spans="11:12" ht="13.5" customHeight="1">
      <c r="K99" s="108"/>
      <c r="L99" s="108"/>
    </row>
    <row r="100" spans="11:12" ht="13.5" customHeight="1">
      <c r="K100" s="108"/>
      <c r="L100" s="108"/>
    </row>
    <row r="101" spans="11:12" ht="13.5" customHeight="1">
      <c r="K101" s="108"/>
      <c r="L101" s="108"/>
    </row>
    <row r="102" spans="11:12" ht="13.5" customHeight="1">
      <c r="K102" s="108"/>
      <c r="L102" s="108"/>
    </row>
    <row r="103" spans="11:12" ht="13.5" customHeight="1">
      <c r="K103" s="108"/>
      <c r="L103" s="108"/>
    </row>
    <row r="104" spans="11:12" ht="13.5" customHeight="1">
      <c r="K104" s="108"/>
      <c r="L104" s="108"/>
    </row>
    <row r="105" spans="11:12" ht="13.5" customHeight="1">
      <c r="K105" s="108"/>
      <c r="L105" s="108"/>
    </row>
    <row r="106" spans="11:12" ht="13.5" customHeight="1">
      <c r="K106" s="108"/>
      <c r="L106" s="108"/>
    </row>
    <row r="107" spans="11:12" ht="13.5" customHeight="1">
      <c r="K107" s="108"/>
      <c r="L107" s="108"/>
    </row>
    <row r="108" spans="11:12" ht="13.5" customHeight="1">
      <c r="K108" s="108"/>
      <c r="L108" s="108"/>
    </row>
    <row r="109" spans="11:12" ht="13.5" customHeight="1">
      <c r="K109" s="108"/>
      <c r="L109" s="108"/>
    </row>
    <row r="110" spans="11:12" ht="13.5" customHeight="1">
      <c r="K110" s="108"/>
      <c r="L110" s="108"/>
    </row>
    <row r="111" spans="11:12" ht="13.5" customHeight="1">
      <c r="K111" s="108"/>
      <c r="L111" s="108"/>
    </row>
    <row r="112" spans="11:12" ht="13.5" customHeight="1">
      <c r="K112" s="108"/>
      <c r="L112" s="108"/>
    </row>
    <row r="113" spans="11:12" ht="13.5" customHeight="1">
      <c r="K113" s="108"/>
      <c r="L113" s="108"/>
    </row>
    <row r="114" spans="11:12" ht="13.5" customHeight="1">
      <c r="K114" s="108"/>
      <c r="L114" s="108"/>
    </row>
    <row r="115" spans="11:12" ht="13.5" customHeight="1">
      <c r="K115" s="108"/>
      <c r="L115" s="108"/>
    </row>
    <row r="116" spans="11:12" ht="13.5" customHeight="1">
      <c r="K116" s="108"/>
      <c r="L116" s="108"/>
    </row>
    <row r="117" spans="11:12" ht="13.5" customHeight="1">
      <c r="K117" s="108"/>
      <c r="L117" s="108"/>
    </row>
    <row r="118" spans="11:12" ht="13.5" customHeight="1">
      <c r="K118" s="108"/>
      <c r="L118" s="108"/>
    </row>
    <row r="119" spans="11:12" ht="13.5" customHeight="1">
      <c r="K119" s="108"/>
      <c r="L119" s="108"/>
    </row>
    <row r="120" spans="11:12" ht="13.5" customHeight="1">
      <c r="K120" s="108"/>
      <c r="L120" s="108"/>
    </row>
    <row r="121" spans="11:12" ht="13.5" customHeight="1">
      <c r="K121" s="108"/>
      <c r="L121" s="108"/>
    </row>
    <row r="122" spans="11:12" ht="13.5" customHeight="1">
      <c r="K122" s="108"/>
      <c r="L122" s="108"/>
    </row>
    <row r="123" spans="11:12" ht="13.5" customHeight="1">
      <c r="K123" s="108"/>
      <c r="L123" s="108"/>
    </row>
    <row r="124" spans="11:12" ht="13.5" customHeight="1">
      <c r="K124" s="108"/>
      <c r="L124" s="108"/>
    </row>
    <row r="125" spans="11:12" ht="13.5" customHeight="1">
      <c r="K125" s="108"/>
      <c r="L125" s="108"/>
    </row>
    <row r="126" spans="11:12" ht="13.5" customHeight="1">
      <c r="K126" s="108"/>
      <c r="L126" s="108"/>
    </row>
    <row r="127" spans="11:12" ht="13.5" customHeight="1">
      <c r="K127" s="108"/>
      <c r="L127" s="108"/>
    </row>
    <row r="128" spans="11:12" ht="13.5" customHeight="1">
      <c r="K128" s="108"/>
      <c r="L128" s="108"/>
    </row>
    <row r="129" spans="11:12" ht="13.5" customHeight="1">
      <c r="K129" s="108"/>
      <c r="L129" s="108"/>
    </row>
    <row r="130" spans="11:12" ht="13.5" customHeight="1">
      <c r="K130" s="108"/>
      <c r="L130" s="108"/>
    </row>
    <row r="131" spans="11:12" ht="13.5" customHeight="1">
      <c r="K131" s="108"/>
      <c r="L131" s="108"/>
    </row>
    <row r="132" spans="11:12" ht="13.5" customHeight="1">
      <c r="K132" s="108"/>
      <c r="L132" s="108"/>
    </row>
    <row r="133" spans="11:12" ht="13.5" customHeight="1">
      <c r="K133" s="108"/>
      <c r="L133" s="108"/>
    </row>
    <row r="134" spans="11:12" ht="13.5" customHeight="1">
      <c r="K134" s="108"/>
      <c r="L134" s="108"/>
    </row>
    <row r="135" spans="11:12" ht="13.5" customHeight="1">
      <c r="K135" s="108"/>
      <c r="L135" s="108"/>
    </row>
    <row r="136" spans="11:12" ht="13.5" customHeight="1">
      <c r="K136" s="108"/>
      <c r="L136" s="108"/>
    </row>
    <row r="137" spans="11:12" ht="13.5" customHeight="1">
      <c r="K137" s="108"/>
      <c r="L137" s="108"/>
    </row>
    <row r="138" spans="11:12" ht="13.5" customHeight="1">
      <c r="K138" s="108"/>
      <c r="L138" s="108"/>
    </row>
    <row r="139" spans="11:12" ht="13.5" customHeight="1">
      <c r="K139" s="108"/>
      <c r="L139" s="108"/>
    </row>
    <row r="140" spans="11:12" ht="13.5" customHeight="1">
      <c r="K140" s="108"/>
      <c r="L140" s="108"/>
    </row>
    <row r="141" spans="11:12" ht="13.5" customHeight="1">
      <c r="K141" s="108"/>
      <c r="L141" s="108"/>
    </row>
    <row r="142" spans="11:12" ht="13.5" customHeight="1">
      <c r="K142" s="108"/>
      <c r="L142" s="108"/>
    </row>
    <row r="143" spans="11:12" ht="13.5" customHeight="1">
      <c r="K143" s="108"/>
      <c r="L143" s="108"/>
    </row>
    <row r="144" spans="11:12" ht="13.5" customHeight="1">
      <c r="K144" s="108"/>
      <c r="L144" s="108"/>
    </row>
    <row r="145" spans="11:12" ht="13.5" customHeight="1">
      <c r="K145" s="108"/>
      <c r="L145" s="108"/>
    </row>
    <row r="146" spans="11:12" ht="13.5" customHeight="1">
      <c r="K146" s="108"/>
      <c r="L146" s="108"/>
    </row>
    <row r="147" spans="11:12" ht="13.5" customHeight="1">
      <c r="K147" s="108"/>
      <c r="L147" s="108"/>
    </row>
    <row r="148" spans="11:12" ht="13.5" customHeight="1">
      <c r="K148" s="108"/>
      <c r="L148" s="108"/>
    </row>
    <row r="149" spans="11:12" ht="13.5" customHeight="1">
      <c r="K149" s="108"/>
      <c r="L149" s="108"/>
    </row>
    <row r="150" spans="11:12" ht="13.5" customHeight="1">
      <c r="K150" s="108"/>
      <c r="L150" s="108"/>
    </row>
    <row r="151" spans="11:12" ht="13.5" customHeight="1">
      <c r="K151" s="108"/>
      <c r="L151" s="108"/>
    </row>
    <row r="152" spans="11:12" ht="13.5" customHeight="1">
      <c r="K152" s="108"/>
      <c r="L152" s="108"/>
    </row>
    <row r="153" spans="11:12" ht="13.5" customHeight="1">
      <c r="K153" s="108"/>
      <c r="L153" s="108"/>
    </row>
    <row r="154" spans="11:12" ht="13.5" customHeight="1">
      <c r="K154" s="108"/>
      <c r="L154" s="108"/>
    </row>
    <row r="155" spans="11:12" ht="13.5" customHeight="1">
      <c r="K155" s="108"/>
      <c r="L155" s="108"/>
    </row>
    <row r="156" spans="11:12" ht="13.5" customHeight="1">
      <c r="K156" s="108"/>
      <c r="L156" s="108"/>
    </row>
    <row r="157" spans="11:12" ht="13.5" customHeight="1">
      <c r="K157" s="108"/>
      <c r="L157" s="108"/>
    </row>
    <row r="158" spans="11:12" ht="13.5" customHeight="1">
      <c r="K158" s="108"/>
      <c r="L158" s="108"/>
    </row>
    <row r="159" spans="11:12" ht="13.5" customHeight="1">
      <c r="K159" s="108"/>
      <c r="L159" s="108"/>
    </row>
    <row r="160" spans="11:12" ht="13.5" customHeight="1">
      <c r="K160" s="108"/>
      <c r="L160" s="108"/>
    </row>
    <row r="161" spans="11:12" ht="13.5" customHeight="1">
      <c r="K161" s="108"/>
      <c r="L161" s="108"/>
    </row>
    <row r="162" spans="11:12" ht="13.5" customHeight="1">
      <c r="K162" s="108"/>
      <c r="L162" s="108"/>
    </row>
    <row r="163" spans="11:12" ht="13.5" customHeight="1">
      <c r="K163" s="108"/>
      <c r="L163" s="108"/>
    </row>
    <row r="164" spans="11:12" ht="13.5" customHeight="1">
      <c r="K164" s="108"/>
      <c r="L164" s="108"/>
    </row>
    <row r="165" spans="11:12" ht="13.5" customHeight="1">
      <c r="K165" s="108"/>
      <c r="L165" s="108"/>
    </row>
    <row r="166" spans="11:12" ht="13.5" customHeight="1">
      <c r="K166" s="108"/>
      <c r="L166" s="108"/>
    </row>
    <row r="167" spans="11:12" ht="13.5" customHeight="1">
      <c r="K167" s="108"/>
      <c r="L167" s="108"/>
    </row>
    <row r="168" spans="11:12" ht="13.5" customHeight="1">
      <c r="K168" s="108"/>
      <c r="L168" s="108"/>
    </row>
    <row r="169" spans="11:12" ht="13.5" customHeight="1">
      <c r="K169" s="108"/>
      <c r="L169" s="108"/>
    </row>
    <row r="170" spans="11:12" ht="13.5" customHeight="1">
      <c r="K170" s="108"/>
      <c r="L170" s="108"/>
    </row>
    <row r="171" spans="11:12" ht="13.5" customHeight="1">
      <c r="K171" s="108"/>
      <c r="L171" s="108"/>
    </row>
    <row r="172" spans="11:12" ht="13.5" customHeight="1">
      <c r="K172" s="108"/>
      <c r="L172" s="108"/>
    </row>
    <row r="173" spans="11:12" ht="13.5" customHeight="1">
      <c r="K173" s="108"/>
      <c r="L173" s="108"/>
    </row>
    <row r="174" spans="11:12" ht="13.5" customHeight="1">
      <c r="K174" s="108"/>
      <c r="L174" s="108"/>
    </row>
    <row r="175" spans="11:12" ht="13.5" customHeight="1">
      <c r="K175" s="108"/>
      <c r="L175" s="108"/>
    </row>
    <row r="176" spans="11:12" ht="13.5" customHeight="1">
      <c r="K176" s="108"/>
      <c r="L176" s="108"/>
    </row>
    <row r="177" spans="11:12" ht="13.5" customHeight="1">
      <c r="K177" s="108"/>
      <c r="L177" s="108"/>
    </row>
    <row r="178" spans="11:12" ht="13.5" customHeight="1">
      <c r="K178" s="108"/>
      <c r="L178" s="108"/>
    </row>
    <row r="179" spans="11:12" ht="13.5" customHeight="1">
      <c r="K179" s="108"/>
      <c r="L179" s="108"/>
    </row>
    <row r="180" spans="11:12" ht="13.5" customHeight="1">
      <c r="K180" s="108"/>
      <c r="L180" s="108"/>
    </row>
    <row r="181" spans="11:12" ht="13.5" customHeight="1">
      <c r="K181" s="108"/>
      <c r="L181" s="108"/>
    </row>
    <row r="182" spans="11:12" ht="13.5" customHeight="1">
      <c r="K182" s="108"/>
      <c r="L182" s="108"/>
    </row>
    <row r="183" spans="11:12" ht="13.5" customHeight="1">
      <c r="K183" s="108"/>
      <c r="L183" s="108"/>
    </row>
    <row r="184" spans="11:12" ht="13.5" customHeight="1">
      <c r="K184" s="108"/>
      <c r="L184" s="108"/>
    </row>
    <row r="185" spans="11:12" ht="13.5" customHeight="1">
      <c r="K185" s="108"/>
      <c r="L185" s="108"/>
    </row>
    <row r="186" spans="11:12" ht="13.5" customHeight="1">
      <c r="K186" s="108"/>
      <c r="L186" s="108"/>
    </row>
    <row r="187" spans="11:12" ht="13.5" customHeight="1">
      <c r="K187" s="108"/>
      <c r="L187" s="108"/>
    </row>
    <row r="188" spans="11:12" ht="13.5" customHeight="1">
      <c r="K188" s="108"/>
      <c r="L188" s="108"/>
    </row>
    <row r="189" spans="11:12" ht="13.5" customHeight="1">
      <c r="K189" s="108"/>
      <c r="L189" s="108"/>
    </row>
    <row r="190" spans="11:12" ht="13.5" customHeight="1">
      <c r="K190" s="108"/>
      <c r="L190" s="108"/>
    </row>
    <row r="191" spans="11:12" ht="13.5" customHeight="1">
      <c r="K191" s="108"/>
      <c r="L191" s="108"/>
    </row>
    <row r="192" spans="11:12" ht="13.5" customHeight="1">
      <c r="K192" s="108"/>
      <c r="L192" s="108"/>
    </row>
    <row r="193" spans="11:12" ht="13.5" customHeight="1">
      <c r="K193" s="108"/>
      <c r="L193" s="108"/>
    </row>
    <row r="194" spans="11:12" ht="13.5" customHeight="1">
      <c r="K194" s="108"/>
      <c r="L194" s="108"/>
    </row>
    <row r="195" spans="11:12" ht="13.5" customHeight="1">
      <c r="K195" s="108"/>
      <c r="L195" s="108"/>
    </row>
    <row r="196" spans="11:12" ht="13.5" customHeight="1">
      <c r="K196" s="108"/>
      <c r="L196" s="108"/>
    </row>
    <row r="197" spans="11:12" ht="13.5" customHeight="1">
      <c r="K197" s="108"/>
      <c r="L197" s="108"/>
    </row>
    <row r="198" spans="11:12" ht="13.5" customHeight="1">
      <c r="K198" s="108"/>
      <c r="L198" s="108"/>
    </row>
    <row r="199" spans="11:12" ht="13.5" customHeight="1">
      <c r="K199" s="108"/>
      <c r="L199" s="108"/>
    </row>
    <row r="200" spans="11:12" ht="13.5" customHeight="1">
      <c r="K200" s="108"/>
      <c r="L200" s="108"/>
    </row>
    <row r="201" spans="11:12" ht="13.5" customHeight="1">
      <c r="K201" s="108"/>
      <c r="L201" s="108"/>
    </row>
    <row r="202" spans="11:12" ht="13.5" customHeight="1">
      <c r="K202" s="108"/>
      <c r="L202" s="108"/>
    </row>
    <row r="203" spans="11:12" ht="13.5" customHeight="1">
      <c r="K203" s="108"/>
      <c r="L203" s="108"/>
    </row>
    <row r="204" spans="11:12" ht="13.5" customHeight="1">
      <c r="K204" s="108"/>
      <c r="L204" s="108"/>
    </row>
    <row r="205" spans="11:12" ht="13.5" customHeight="1">
      <c r="K205" s="108"/>
      <c r="L205" s="108"/>
    </row>
    <row r="206" spans="11:12" ht="13.5" customHeight="1">
      <c r="K206" s="108"/>
      <c r="L206" s="108"/>
    </row>
    <row r="207" spans="11:12" ht="13.5" customHeight="1">
      <c r="K207" s="108"/>
      <c r="L207" s="108"/>
    </row>
    <row r="208" spans="11:12" ht="13.5" customHeight="1">
      <c r="K208" s="108"/>
      <c r="L208" s="108"/>
    </row>
    <row r="209" spans="11:12" ht="13.5" customHeight="1">
      <c r="K209" s="108"/>
      <c r="L209" s="108"/>
    </row>
    <row r="210" spans="11:12" ht="13.5" customHeight="1">
      <c r="K210" s="108"/>
      <c r="L210" s="108"/>
    </row>
    <row r="211" spans="11:12" ht="13.5" customHeight="1">
      <c r="K211" s="108"/>
      <c r="L211" s="108"/>
    </row>
    <row r="212" spans="11:12" ht="13.5" customHeight="1">
      <c r="K212" s="108"/>
      <c r="L212" s="108"/>
    </row>
    <row r="213" spans="11:12" ht="13.5" customHeight="1">
      <c r="K213" s="108"/>
      <c r="L213" s="108"/>
    </row>
    <row r="214" spans="11:12" ht="13.5" customHeight="1">
      <c r="K214" s="108"/>
      <c r="L214" s="108"/>
    </row>
    <row r="215" spans="11:12" ht="13.5" customHeight="1">
      <c r="K215" s="108"/>
      <c r="L215" s="108"/>
    </row>
    <row r="216" spans="11:12" ht="13.5" customHeight="1">
      <c r="K216" s="108"/>
      <c r="L216" s="108"/>
    </row>
    <row r="217" spans="11:12" ht="13.5" customHeight="1">
      <c r="K217" s="108"/>
      <c r="L217" s="108"/>
    </row>
    <row r="218" spans="11:12" ht="13.5" customHeight="1">
      <c r="K218" s="108"/>
      <c r="L218" s="108"/>
    </row>
    <row r="219" spans="11:12" ht="13.5" customHeight="1">
      <c r="K219" s="108"/>
      <c r="L219" s="108"/>
    </row>
    <row r="220" spans="11:12" ht="13.5" customHeight="1">
      <c r="K220" s="108"/>
      <c r="L220" s="108"/>
    </row>
    <row r="221" spans="11:12" ht="13.5" customHeight="1">
      <c r="K221" s="108"/>
      <c r="L221" s="108"/>
    </row>
    <row r="222" spans="11:12" ht="13.5" customHeight="1">
      <c r="K222" s="108"/>
      <c r="L222" s="108"/>
    </row>
    <row r="223" spans="11:12" ht="13.5" customHeight="1">
      <c r="K223" s="108"/>
      <c r="L223" s="108"/>
    </row>
    <row r="224" spans="11:12" ht="13.5" customHeight="1">
      <c r="K224" s="108"/>
      <c r="L224" s="108"/>
    </row>
    <row r="225" spans="11:12" ht="13.5" customHeight="1">
      <c r="K225" s="108"/>
      <c r="L225" s="108"/>
    </row>
    <row r="226" spans="11:12" ht="13.5" customHeight="1">
      <c r="K226" s="108"/>
      <c r="L226" s="108"/>
    </row>
    <row r="227" spans="11:12" ht="13.5" customHeight="1">
      <c r="K227" s="108"/>
      <c r="L227" s="108"/>
    </row>
    <row r="228" spans="11:12" ht="13.5" customHeight="1">
      <c r="K228" s="108"/>
      <c r="L228" s="108"/>
    </row>
    <row r="229" spans="11:12" ht="13.5" customHeight="1">
      <c r="K229" s="108"/>
      <c r="L229" s="108"/>
    </row>
    <row r="230" spans="11:12" ht="13.5" customHeight="1">
      <c r="K230" s="108"/>
      <c r="L230" s="108"/>
    </row>
    <row r="231" spans="11:12" ht="13.5" customHeight="1">
      <c r="K231" s="108"/>
      <c r="L231" s="108"/>
    </row>
    <row r="232" spans="11:12" ht="13.5" customHeight="1">
      <c r="K232" s="108"/>
      <c r="L232" s="108"/>
    </row>
    <row r="233" spans="11:12" ht="13.5" customHeight="1">
      <c r="K233" s="108"/>
      <c r="L233" s="108"/>
    </row>
    <row r="234" spans="11:12" ht="13.5" customHeight="1">
      <c r="K234" s="108"/>
      <c r="L234" s="108"/>
    </row>
    <row r="235" spans="11:12" ht="13.5" customHeight="1">
      <c r="K235" s="108"/>
      <c r="L235" s="108"/>
    </row>
    <row r="236" spans="11:12" ht="13.5" customHeight="1">
      <c r="K236" s="108"/>
      <c r="L236" s="108"/>
    </row>
    <row r="237" spans="11:12" ht="13.5" customHeight="1">
      <c r="K237" s="108"/>
      <c r="L237" s="108"/>
    </row>
    <row r="238" spans="11:12" ht="13.5" customHeight="1">
      <c r="K238" s="108"/>
      <c r="L238" s="108"/>
    </row>
    <row r="239" spans="11:12" ht="13.5" customHeight="1">
      <c r="K239" s="108"/>
      <c r="L239" s="108"/>
    </row>
    <row r="240" spans="11:12" ht="13.5" customHeight="1">
      <c r="K240" s="108"/>
      <c r="L240" s="108"/>
    </row>
    <row r="241" spans="11:12" ht="13.5" customHeight="1">
      <c r="K241" s="108"/>
      <c r="L241" s="108"/>
    </row>
    <row r="242" spans="11:12" ht="13.5" customHeight="1">
      <c r="K242" s="108"/>
      <c r="L242" s="108"/>
    </row>
    <row r="243" spans="11:12" ht="13.5" customHeight="1">
      <c r="K243" s="108"/>
      <c r="L243" s="108"/>
    </row>
    <row r="244" spans="11:12" ht="13.5" customHeight="1">
      <c r="K244" s="108"/>
      <c r="L244" s="108"/>
    </row>
    <row r="245" spans="11:12" ht="13.5" customHeight="1">
      <c r="K245" s="108"/>
      <c r="L245" s="108"/>
    </row>
    <row r="246" spans="11:12" ht="13.5" customHeight="1">
      <c r="K246" s="108"/>
      <c r="L246" s="108"/>
    </row>
    <row r="247" spans="11:12" ht="13.5" customHeight="1">
      <c r="K247" s="108"/>
      <c r="L247" s="108"/>
    </row>
    <row r="248" spans="11:12" ht="13.5" customHeight="1">
      <c r="K248" s="108"/>
      <c r="L248" s="108"/>
    </row>
    <row r="249" spans="11:12" ht="13.5" customHeight="1">
      <c r="K249" s="108"/>
      <c r="L249" s="108"/>
    </row>
    <row r="250" spans="11:12" ht="13.5" customHeight="1">
      <c r="K250" s="108"/>
      <c r="L250" s="108"/>
    </row>
    <row r="251" spans="11:12" ht="13.5" customHeight="1">
      <c r="K251" s="108"/>
      <c r="L251" s="108"/>
    </row>
    <row r="252" spans="11:12" ht="13.5" customHeight="1">
      <c r="K252" s="108"/>
      <c r="L252" s="108"/>
    </row>
    <row r="253" spans="11:12" ht="13.5" customHeight="1">
      <c r="K253" s="108"/>
      <c r="L253" s="108"/>
    </row>
    <row r="254" spans="11:12" ht="13.5" customHeight="1">
      <c r="K254" s="108"/>
      <c r="L254" s="108"/>
    </row>
    <row r="255" spans="11:12" ht="13.5" customHeight="1">
      <c r="K255" s="108"/>
      <c r="L255" s="108"/>
    </row>
    <row r="256" spans="11:12" ht="13.5" customHeight="1">
      <c r="K256" s="108"/>
      <c r="L256" s="108"/>
    </row>
    <row r="257" spans="11:12" ht="13.5" customHeight="1">
      <c r="K257" s="108"/>
      <c r="L257" s="108"/>
    </row>
    <row r="258" spans="11:12" ht="13.5" customHeight="1">
      <c r="K258" s="108"/>
      <c r="L258" s="108"/>
    </row>
    <row r="259" spans="11:12" ht="13.5" customHeight="1">
      <c r="K259" s="108"/>
      <c r="L259" s="108"/>
    </row>
    <row r="260" spans="11:12" ht="13.5" customHeight="1">
      <c r="K260" s="108"/>
      <c r="L260" s="108"/>
    </row>
    <row r="261" spans="11:12" ht="13.5" customHeight="1">
      <c r="K261" s="108"/>
      <c r="L261" s="108"/>
    </row>
    <row r="262" spans="11:12" ht="13.5" customHeight="1">
      <c r="K262" s="108"/>
      <c r="L262" s="108"/>
    </row>
    <row r="263" spans="11:12" ht="13.5" customHeight="1">
      <c r="K263" s="108"/>
      <c r="L263" s="108"/>
    </row>
    <row r="264" spans="11:12" ht="13.5" customHeight="1">
      <c r="K264" s="108"/>
      <c r="L264" s="108"/>
    </row>
    <row r="265" spans="11:12" ht="13.5" customHeight="1">
      <c r="K265" s="108"/>
      <c r="L265" s="108"/>
    </row>
    <row r="266" spans="11:12" ht="13.5" customHeight="1">
      <c r="K266" s="108"/>
      <c r="L266" s="108"/>
    </row>
    <row r="267" spans="11:12" ht="13.5" customHeight="1">
      <c r="K267" s="108"/>
      <c r="L267" s="108"/>
    </row>
    <row r="268" spans="11:12" ht="13.5" customHeight="1">
      <c r="K268" s="108"/>
      <c r="L268" s="108"/>
    </row>
    <row r="269" spans="11:12" ht="13.5" customHeight="1">
      <c r="K269" s="108"/>
      <c r="L269" s="108"/>
    </row>
    <row r="270" spans="11:12" ht="13.5" customHeight="1">
      <c r="K270" s="108"/>
      <c r="L270" s="108"/>
    </row>
    <row r="271" spans="11:12" ht="13.5" customHeight="1">
      <c r="K271" s="108"/>
      <c r="L271" s="108"/>
    </row>
    <row r="272" spans="11:12" ht="13.5" customHeight="1">
      <c r="K272" s="108"/>
      <c r="L272" s="108"/>
    </row>
    <row r="273" spans="11:12" ht="13.5" customHeight="1">
      <c r="K273" s="108"/>
      <c r="L273" s="108"/>
    </row>
    <row r="274" spans="11:12" ht="13.5" customHeight="1">
      <c r="K274" s="108"/>
      <c r="L274" s="108"/>
    </row>
    <row r="275" spans="11:12" ht="13.5" customHeight="1">
      <c r="K275" s="108"/>
      <c r="L275" s="108"/>
    </row>
    <row r="276" spans="11:12" ht="13.5" customHeight="1">
      <c r="K276" s="108"/>
      <c r="L276" s="108"/>
    </row>
    <row r="277" spans="11:12" ht="13.5" customHeight="1">
      <c r="K277" s="108"/>
      <c r="L277" s="108"/>
    </row>
    <row r="278" spans="11:12" ht="13.5" customHeight="1">
      <c r="K278" s="108"/>
      <c r="L278" s="108"/>
    </row>
    <row r="279" spans="11:12" ht="13.5" customHeight="1">
      <c r="K279" s="108"/>
      <c r="L279" s="108"/>
    </row>
    <row r="280" spans="11:12" ht="13.5" customHeight="1">
      <c r="K280" s="108"/>
      <c r="L280" s="108"/>
    </row>
    <row r="281" spans="11:12" ht="13.5" customHeight="1">
      <c r="K281" s="108"/>
      <c r="L281" s="108"/>
    </row>
    <row r="282" spans="11:12" ht="13.5" customHeight="1">
      <c r="K282" s="108"/>
      <c r="L282" s="108"/>
    </row>
    <row r="283" spans="11:12" ht="13.5" customHeight="1">
      <c r="K283" s="108"/>
      <c r="L283" s="108"/>
    </row>
    <row r="284" spans="11:12" ht="13.5" customHeight="1">
      <c r="K284" s="108"/>
      <c r="L284" s="108"/>
    </row>
    <row r="285" spans="11:12" ht="13.5" customHeight="1">
      <c r="K285" s="108"/>
      <c r="L285" s="108"/>
    </row>
    <row r="286" spans="11:12" ht="13.5" customHeight="1">
      <c r="K286" s="108"/>
      <c r="L286" s="108"/>
    </row>
    <row r="287" spans="11:12" ht="13.5" customHeight="1">
      <c r="K287" s="108"/>
      <c r="L287" s="108"/>
    </row>
    <row r="288" spans="11:12" ht="13.5" customHeight="1">
      <c r="K288" s="108"/>
      <c r="L288" s="108"/>
    </row>
    <row r="289" spans="11:12" ht="13.5" customHeight="1">
      <c r="K289" s="108"/>
      <c r="L289" s="108"/>
    </row>
    <row r="290" spans="11:12" ht="13.5" customHeight="1">
      <c r="K290" s="108"/>
      <c r="L290" s="108"/>
    </row>
    <row r="291" spans="11:12" ht="13.5" customHeight="1">
      <c r="K291" s="108"/>
      <c r="L291" s="108"/>
    </row>
    <row r="292" spans="11:12" ht="13.5" customHeight="1">
      <c r="K292" s="108"/>
      <c r="L292" s="108"/>
    </row>
    <row r="293" spans="11:12" ht="13.5" customHeight="1">
      <c r="K293" s="108"/>
      <c r="L293" s="108"/>
    </row>
    <row r="294" spans="11:12" ht="13.5" customHeight="1">
      <c r="K294" s="108"/>
      <c r="L294" s="108"/>
    </row>
    <row r="295" spans="11:12" ht="13.5" customHeight="1">
      <c r="K295" s="108"/>
      <c r="L295" s="108"/>
    </row>
    <row r="296" spans="11:12" ht="13.5" customHeight="1">
      <c r="K296" s="108"/>
      <c r="L296" s="108"/>
    </row>
    <row r="297" spans="11:12" ht="13.5" customHeight="1">
      <c r="K297" s="108"/>
      <c r="L297" s="108"/>
    </row>
    <row r="298" spans="11:12" ht="13.5" customHeight="1">
      <c r="K298" s="108"/>
      <c r="L298" s="108"/>
    </row>
    <row r="299" spans="11:12" ht="13.5" customHeight="1">
      <c r="K299" s="108"/>
      <c r="L299" s="108"/>
    </row>
    <row r="300" spans="11:12" ht="13.5" customHeight="1">
      <c r="K300" s="108"/>
      <c r="L300" s="108"/>
    </row>
    <row r="301" spans="11:12" ht="13.5" customHeight="1">
      <c r="K301" s="108"/>
      <c r="L301" s="108"/>
    </row>
    <row r="302" spans="11:12" ht="13.5" customHeight="1">
      <c r="K302" s="108"/>
      <c r="L302" s="108"/>
    </row>
    <row r="303" spans="11:12" ht="13.5" customHeight="1">
      <c r="K303" s="108"/>
      <c r="L303" s="108"/>
    </row>
    <row r="304" spans="11:12" ht="13.5" customHeight="1">
      <c r="K304" s="108"/>
      <c r="L304" s="108"/>
    </row>
    <row r="305" spans="11:12" ht="13.5" customHeight="1">
      <c r="K305" s="108"/>
      <c r="L305" s="108"/>
    </row>
    <row r="306" spans="11:12" ht="13.5" customHeight="1">
      <c r="K306" s="108"/>
      <c r="L306" s="108"/>
    </row>
    <row r="307" spans="11:12" ht="13.5" customHeight="1">
      <c r="K307" s="108"/>
      <c r="L307" s="108"/>
    </row>
    <row r="308" spans="11:12" ht="13.5" customHeight="1">
      <c r="K308" s="108"/>
      <c r="L308" s="108"/>
    </row>
    <row r="309" spans="11:12" ht="13.5" customHeight="1">
      <c r="K309" s="108"/>
      <c r="L309" s="108"/>
    </row>
    <row r="310" spans="11:12" ht="13.5" customHeight="1">
      <c r="K310" s="108"/>
      <c r="L310" s="108"/>
    </row>
    <row r="311" spans="11:12" ht="13.5" customHeight="1">
      <c r="K311" s="108"/>
      <c r="L311" s="108"/>
    </row>
    <row r="312" spans="11:12" ht="13.5" customHeight="1">
      <c r="K312" s="108"/>
      <c r="L312" s="108"/>
    </row>
    <row r="313" spans="11:12" ht="13.5" customHeight="1">
      <c r="K313" s="108"/>
      <c r="L313" s="108"/>
    </row>
    <row r="314" spans="11:12" ht="13.5" customHeight="1">
      <c r="K314" s="108"/>
      <c r="L314" s="108"/>
    </row>
    <row r="315" spans="11:12" ht="13.5" customHeight="1">
      <c r="K315" s="108"/>
      <c r="L315" s="108"/>
    </row>
    <row r="316" spans="11:12" ht="13.5" customHeight="1">
      <c r="K316" s="108"/>
      <c r="L316" s="108"/>
    </row>
    <row r="317" spans="11:12" ht="13.5" customHeight="1">
      <c r="K317" s="108"/>
      <c r="L317" s="108"/>
    </row>
    <row r="318" spans="11:12" ht="13.5" customHeight="1">
      <c r="K318" s="108"/>
      <c r="L318" s="108"/>
    </row>
    <row r="319" spans="11:12" ht="13.5" customHeight="1">
      <c r="K319" s="108"/>
      <c r="L319" s="108"/>
    </row>
    <row r="320" spans="11:12" ht="13.5" customHeight="1">
      <c r="K320" s="108"/>
      <c r="L320" s="108"/>
    </row>
    <row r="321" spans="11:12" ht="13.5" customHeight="1">
      <c r="K321" s="108"/>
      <c r="L321" s="108"/>
    </row>
    <row r="322" spans="11:12" ht="13.5" customHeight="1">
      <c r="K322" s="108"/>
      <c r="L322" s="108"/>
    </row>
    <row r="323" spans="11:12" ht="13.5" customHeight="1">
      <c r="K323" s="108"/>
      <c r="L323" s="108"/>
    </row>
    <row r="324" spans="11:12" ht="13.5" customHeight="1">
      <c r="K324" s="108"/>
      <c r="L324" s="108"/>
    </row>
    <row r="325" spans="11:12" ht="13.5" customHeight="1">
      <c r="K325" s="108"/>
      <c r="L325" s="108"/>
    </row>
    <row r="326" spans="11:12" ht="13.5" customHeight="1">
      <c r="K326" s="108"/>
      <c r="L326" s="108"/>
    </row>
    <row r="327" spans="11:12" ht="13.5" customHeight="1">
      <c r="K327" s="108"/>
      <c r="L327" s="108"/>
    </row>
    <row r="328" spans="11:12" ht="13.5" customHeight="1">
      <c r="K328" s="108"/>
      <c r="L328" s="108"/>
    </row>
    <row r="329" spans="11:12" ht="13.5" customHeight="1">
      <c r="K329" s="108"/>
      <c r="L329" s="108"/>
    </row>
    <row r="330" spans="11:12" ht="13.5" customHeight="1">
      <c r="K330" s="108"/>
      <c r="L330" s="108"/>
    </row>
    <row r="331" spans="11:12" ht="13.5" customHeight="1">
      <c r="K331" s="108"/>
      <c r="L331" s="108"/>
    </row>
    <row r="332" spans="11:12" ht="13.5" customHeight="1">
      <c r="K332" s="108"/>
      <c r="L332" s="108"/>
    </row>
    <row r="333" spans="11:12" ht="13.5" customHeight="1">
      <c r="K333" s="108"/>
      <c r="L333" s="108"/>
    </row>
    <row r="334" spans="11:12" ht="13.5" customHeight="1">
      <c r="K334" s="108"/>
      <c r="L334" s="108"/>
    </row>
    <row r="335" spans="11:12" ht="13.5" customHeight="1">
      <c r="K335" s="108"/>
      <c r="L335" s="108"/>
    </row>
    <row r="336" spans="11:12" ht="13.5" customHeight="1">
      <c r="K336" s="108"/>
      <c r="L336" s="108"/>
    </row>
    <row r="337" spans="11:12" ht="13.5" customHeight="1">
      <c r="K337" s="108"/>
      <c r="L337" s="108"/>
    </row>
    <row r="338" spans="11:12" ht="13.5" customHeight="1">
      <c r="K338" s="108"/>
      <c r="L338" s="108"/>
    </row>
    <row r="339" spans="11:12" ht="13.5" customHeight="1">
      <c r="K339" s="108"/>
      <c r="L339" s="108"/>
    </row>
    <row r="340" spans="11:12" ht="13.5" customHeight="1">
      <c r="K340" s="108"/>
      <c r="L340" s="108"/>
    </row>
    <row r="341" spans="11:12" ht="13.5" customHeight="1">
      <c r="K341" s="108"/>
      <c r="L341" s="108"/>
    </row>
    <row r="342" spans="11:12" ht="13.5" customHeight="1">
      <c r="K342" s="108"/>
      <c r="L342" s="108"/>
    </row>
    <row r="343" spans="11:12" ht="13.5" customHeight="1">
      <c r="K343" s="108"/>
      <c r="L343" s="108"/>
    </row>
    <row r="344" spans="11:12" ht="13.5" customHeight="1">
      <c r="K344" s="108"/>
      <c r="L344" s="108"/>
    </row>
    <row r="345" spans="11:12" ht="13.5" customHeight="1">
      <c r="K345" s="108"/>
      <c r="L345" s="108"/>
    </row>
    <row r="346" spans="11:12" ht="13.5" customHeight="1">
      <c r="K346" s="108"/>
      <c r="L346" s="108"/>
    </row>
    <row r="347" spans="11:12" ht="13.5" customHeight="1">
      <c r="K347" s="108"/>
      <c r="L347" s="108"/>
    </row>
    <row r="348" spans="11:12" ht="13.5" customHeight="1">
      <c r="K348" s="108"/>
      <c r="L348" s="108"/>
    </row>
    <row r="349" spans="11:12" ht="13.5" customHeight="1">
      <c r="K349" s="108"/>
      <c r="L349" s="108"/>
    </row>
    <row r="350" spans="11:12" ht="13.5" customHeight="1">
      <c r="K350" s="108"/>
      <c r="L350" s="108"/>
    </row>
    <row r="351" spans="11:12" ht="13.5" customHeight="1">
      <c r="K351" s="108"/>
      <c r="L351" s="108"/>
    </row>
    <row r="352" spans="11:12" ht="13.5" customHeight="1">
      <c r="K352" s="108"/>
      <c r="L352" s="108"/>
    </row>
    <row r="353" spans="11:12" ht="13.5" customHeight="1">
      <c r="K353" s="108"/>
      <c r="L353" s="108"/>
    </row>
    <row r="354" spans="11:12" ht="13.5" customHeight="1">
      <c r="K354" s="108"/>
      <c r="L354" s="108"/>
    </row>
    <row r="355" spans="11:12" ht="13.5" customHeight="1">
      <c r="K355" s="108"/>
      <c r="L355" s="108"/>
    </row>
    <row r="356" spans="11:12" ht="13.5" customHeight="1">
      <c r="K356" s="108"/>
      <c r="L356" s="108"/>
    </row>
    <row r="357" spans="11:12" ht="13.5" customHeight="1">
      <c r="K357" s="108"/>
      <c r="L357" s="108"/>
    </row>
    <row r="358" spans="11:12" ht="13.5" customHeight="1">
      <c r="K358" s="108"/>
      <c r="L358" s="108"/>
    </row>
    <row r="359" spans="11:12" ht="13.5" customHeight="1">
      <c r="K359" s="108"/>
      <c r="L359" s="108"/>
    </row>
    <row r="360" spans="11:12" ht="13.5" customHeight="1">
      <c r="K360" s="108"/>
      <c r="L360" s="108"/>
    </row>
    <row r="361" spans="11:12" ht="13.5" customHeight="1">
      <c r="K361" s="108"/>
      <c r="L361" s="108"/>
    </row>
    <row r="362" spans="11:12" ht="13.5" customHeight="1">
      <c r="K362" s="108"/>
      <c r="L362" s="108"/>
    </row>
    <row r="363" spans="11:12" ht="13.5" customHeight="1">
      <c r="K363" s="108"/>
      <c r="L363" s="108"/>
    </row>
    <row r="364" spans="11:12" ht="13.5" customHeight="1">
      <c r="K364" s="108"/>
      <c r="L364" s="108"/>
    </row>
    <row r="365" spans="11:12" ht="13.5" customHeight="1">
      <c r="K365" s="108"/>
      <c r="L365" s="108"/>
    </row>
    <row r="366" spans="11:12" ht="13.5" customHeight="1">
      <c r="K366" s="108"/>
      <c r="L366" s="108"/>
    </row>
    <row r="367" spans="11:12" ht="13.5" customHeight="1">
      <c r="K367" s="108"/>
      <c r="L367" s="108"/>
    </row>
    <row r="368" spans="11:12" ht="13.5" customHeight="1">
      <c r="K368" s="108"/>
      <c r="L368" s="108"/>
    </row>
    <row r="369" spans="11:12" ht="13.5" customHeight="1">
      <c r="K369" s="108"/>
      <c r="L369" s="108"/>
    </row>
    <row r="370" spans="11:12" ht="13.5" customHeight="1">
      <c r="K370" s="108"/>
      <c r="L370" s="108"/>
    </row>
    <row r="371" spans="11:12" ht="13.5" customHeight="1">
      <c r="K371" s="108"/>
      <c r="L371" s="108"/>
    </row>
    <row r="372" spans="11:12" ht="13.5" customHeight="1">
      <c r="K372" s="108"/>
      <c r="L372" s="108"/>
    </row>
    <row r="373" spans="11:12" ht="13.5" customHeight="1">
      <c r="K373" s="108"/>
      <c r="L373" s="108"/>
    </row>
    <row r="374" spans="11:12" ht="13.5" customHeight="1">
      <c r="K374" s="108"/>
      <c r="L374" s="108"/>
    </row>
    <row r="375" spans="11:12" ht="13.5" customHeight="1">
      <c r="K375" s="108"/>
      <c r="L375" s="108"/>
    </row>
    <row r="376" spans="11:12" ht="13.5" customHeight="1">
      <c r="K376" s="108"/>
      <c r="L376" s="108"/>
    </row>
    <row r="377" spans="11:12" ht="13.5" customHeight="1">
      <c r="K377" s="108"/>
      <c r="L377" s="108"/>
    </row>
    <row r="378" spans="11:12" ht="13.5" customHeight="1">
      <c r="K378" s="108"/>
      <c r="L378" s="108"/>
    </row>
    <row r="379" spans="11:12" ht="13.5" customHeight="1">
      <c r="K379" s="108"/>
      <c r="L379" s="108"/>
    </row>
    <row r="380" spans="11:12" ht="13.5" customHeight="1">
      <c r="K380" s="108"/>
      <c r="L380" s="108"/>
    </row>
    <row r="381" spans="11:12" ht="13.5" customHeight="1">
      <c r="K381" s="108"/>
      <c r="L381" s="108"/>
    </row>
    <row r="382" spans="11:12" ht="13.5" customHeight="1">
      <c r="K382" s="108"/>
      <c r="L382" s="108"/>
    </row>
    <row r="383" spans="11:12" ht="13.5" customHeight="1">
      <c r="K383" s="108"/>
      <c r="L383" s="108"/>
    </row>
    <row r="384" spans="11:12" ht="13.5" customHeight="1">
      <c r="K384" s="108"/>
      <c r="L384" s="108"/>
    </row>
    <row r="385" spans="11:12" ht="13.5" customHeight="1">
      <c r="K385" s="108"/>
      <c r="L385" s="108"/>
    </row>
    <row r="386" spans="11:12" ht="13.5" customHeight="1">
      <c r="K386" s="108"/>
      <c r="L386" s="108"/>
    </row>
    <row r="387" spans="11:12" ht="13.5" customHeight="1">
      <c r="K387" s="108"/>
      <c r="L387" s="108"/>
    </row>
    <row r="388" spans="11:12" ht="13.5" customHeight="1">
      <c r="K388" s="108"/>
      <c r="L388" s="108"/>
    </row>
    <row r="389" spans="11:12" ht="13.5" customHeight="1">
      <c r="K389" s="108"/>
      <c r="L389" s="108"/>
    </row>
    <row r="390" spans="11:12" ht="13.5" customHeight="1">
      <c r="K390" s="108"/>
      <c r="L390" s="108"/>
    </row>
    <row r="391" spans="11:12" ht="13.5" customHeight="1">
      <c r="K391" s="108"/>
      <c r="L391" s="108"/>
    </row>
    <row r="392" spans="11:12" ht="13.5" customHeight="1">
      <c r="K392" s="108"/>
      <c r="L392" s="108"/>
    </row>
    <row r="393" spans="11:12" ht="13.5" customHeight="1">
      <c r="K393" s="108"/>
      <c r="L393" s="108"/>
    </row>
    <row r="394" spans="11:12" ht="13.5" customHeight="1">
      <c r="K394" s="108"/>
      <c r="L394" s="108"/>
    </row>
    <row r="395" spans="11:12" ht="13.5" customHeight="1">
      <c r="K395" s="108"/>
      <c r="L395" s="108"/>
    </row>
    <row r="396" spans="11:12" ht="13.5" customHeight="1">
      <c r="K396" s="108"/>
      <c r="L396" s="108"/>
    </row>
    <row r="397" spans="11:12" ht="13.5" customHeight="1">
      <c r="K397" s="108"/>
      <c r="L397" s="108"/>
    </row>
    <row r="398" spans="11:12" ht="13.5" customHeight="1">
      <c r="K398" s="108"/>
      <c r="L398" s="108"/>
    </row>
    <row r="399" spans="11:12" ht="13.5" customHeight="1">
      <c r="K399" s="108"/>
      <c r="L399" s="108"/>
    </row>
    <row r="400" spans="11:12" ht="13.5" customHeight="1">
      <c r="K400" s="108"/>
      <c r="L400" s="108"/>
    </row>
    <row r="401" spans="11:12" ht="13.5" customHeight="1">
      <c r="K401" s="108"/>
      <c r="L401" s="108"/>
    </row>
    <row r="402" spans="11:12" ht="13.5" customHeight="1">
      <c r="K402" s="108"/>
      <c r="L402" s="108"/>
    </row>
    <row r="403" spans="11:12" ht="13.5" customHeight="1">
      <c r="K403" s="108"/>
      <c r="L403" s="108"/>
    </row>
    <row r="404" spans="11:12" ht="13.5" customHeight="1">
      <c r="K404" s="108"/>
      <c r="L404" s="108"/>
    </row>
    <row r="405" spans="11:12" ht="13.5" customHeight="1">
      <c r="K405" s="108"/>
      <c r="L405" s="108"/>
    </row>
    <row r="406" spans="11:12" ht="13.5" customHeight="1">
      <c r="K406" s="108"/>
      <c r="L406" s="108"/>
    </row>
    <row r="407" spans="11:12" ht="13.5" customHeight="1">
      <c r="K407" s="108"/>
      <c r="L407" s="108"/>
    </row>
    <row r="408" spans="11:12" ht="13.5" customHeight="1">
      <c r="K408" s="108"/>
      <c r="L408" s="108"/>
    </row>
    <row r="409" spans="11:12" ht="13.5" customHeight="1">
      <c r="K409" s="108"/>
      <c r="L409" s="108"/>
    </row>
    <row r="410" spans="11:12" ht="13.5" customHeight="1">
      <c r="K410" s="108"/>
      <c r="L410" s="108"/>
    </row>
    <row r="411" spans="11:12" ht="13.5" customHeight="1">
      <c r="K411" s="108"/>
      <c r="L411" s="108"/>
    </row>
    <row r="412" spans="11:12" ht="13.5" customHeight="1">
      <c r="K412" s="108"/>
      <c r="L412" s="108"/>
    </row>
    <row r="413" spans="11:12" ht="13.5" customHeight="1">
      <c r="K413" s="108"/>
      <c r="L413" s="108"/>
    </row>
    <row r="414" spans="11:12" ht="13.5" customHeight="1">
      <c r="K414" s="108"/>
      <c r="L414" s="108"/>
    </row>
    <row r="415" spans="11:12" ht="13.5" customHeight="1">
      <c r="K415" s="108"/>
      <c r="L415" s="108"/>
    </row>
    <row r="416" spans="11:12" ht="13.5" customHeight="1">
      <c r="K416" s="108"/>
      <c r="L416" s="108"/>
    </row>
    <row r="417" spans="11:12" ht="13.5" customHeight="1">
      <c r="K417" s="108"/>
      <c r="L417" s="108"/>
    </row>
    <row r="418" spans="11:12" ht="13.5" customHeight="1">
      <c r="K418" s="108"/>
      <c r="L418" s="108"/>
    </row>
    <row r="419" spans="11:12" ht="13.5" customHeight="1">
      <c r="K419" s="108"/>
      <c r="L419" s="108"/>
    </row>
    <row r="420" spans="11:12" ht="13.5" customHeight="1">
      <c r="K420" s="108"/>
      <c r="L420" s="108"/>
    </row>
    <row r="421" spans="11:12" ht="13.5" customHeight="1">
      <c r="K421" s="108"/>
      <c r="L421" s="108"/>
    </row>
    <row r="422" spans="11:12" ht="13.5" customHeight="1">
      <c r="K422" s="108"/>
      <c r="L422" s="108"/>
    </row>
    <row r="423" spans="11:12" ht="13.5" customHeight="1">
      <c r="K423" s="108"/>
      <c r="L423" s="108"/>
    </row>
    <row r="424" spans="11:12" ht="13.5" customHeight="1">
      <c r="K424" s="108"/>
      <c r="L424" s="108"/>
    </row>
    <row r="425" spans="11:12" ht="13.5" customHeight="1">
      <c r="K425" s="108"/>
      <c r="L425" s="108"/>
    </row>
    <row r="426" spans="11:12" ht="13.5" customHeight="1">
      <c r="K426" s="108"/>
      <c r="L426" s="108"/>
    </row>
    <row r="427" spans="11:12" ht="13.5" customHeight="1">
      <c r="K427" s="108"/>
      <c r="L427" s="108"/>
    </row>
    <row r="428" spans="11:12" ht="13.5" customHeight="1">
      <c r="K428" s="108"/>
      <c r="L428" s="108"/>
    </row>
    <row r="429" spans="11:12" ht="13.5" customHeight="1">
      <c r="K429" s="108"/>
      <c r="L429" s="108"/>
    </row>
    <row r="430" spans="11:12" ht="13.5" customHeight="1">
      <c r="K430" s="108"/>
      <c r="L430" s="108"/>
    </row>
    <row r="431" spans="11:12" ht="13.5" customHeight="1">
      <c r="K431" s="108"/>
      <c r="L431" s="108"/>
    </row>
    <row r="432" spans="11:12" ht="13.5" customHeight="1">
      <c r="K432" s="108"/>
      <c r="L432" s="108"/>
    </row>
    <row r="433" spans="11:12" ht="13.5" customHeight="1">
      <c r="K433" s="108"/>
      <c r="L433" s="108"/>
    </row>
    <row r="434" spans="11:12" ht="13.5" customHeight="1">
      <c r="K434" s="108"/>
      <c r="L434" s="108"/>
    </row>
    <row r="435" spans="11:12" ht="13.5" customHeight="1">
      <c r="K435" s="108"/>
      <c r="L435" s="108"/>
    </row>
    <row r="436" spans="11:12" ht="13.5" customHeight="1">
      <c r="K436" s="108"/>
      <c r="L436" s="108"/>
    </row>
    <row r="437" spans="11:12" ht="13.5" customHeight="1">
      <c r="K437" s="108"/>
      <c r="L437" s="108"/>
    </row>
    <row r="438" spans="11:12" ht="13.5" customHeight="1">
      <c r="K438" s="108"/>
      <c r="L438" s="108"/>
    </row>
    <row r="439" spans="11:12" ht="13.5" customHeight="1">
      <c r="K439" s="108"/>
      <c r="L439" s="108"/>
    </row>
    <row r="440" spans="11:12" ht="13.5" customHeight="1">
      <c r="K440" s="108"/>
      <c r="L440" s="108"/>
    </row>
    <row r="441" spans="11:12" ht="13.5" customHeight="1">
      <c r="K441" s="108"/>
      <c r="L441" s="108"/>
    </row>
    <row r="442" spans="11:12" ht="13.5" customHeight="1">
      <c r="K442" s="108"/>
      <c r="L442" s="108"/>
    </row>
    <row r="443" spans="11:12" ht="13.5" customHeight="1">
      <c r="K443" s="108"/>
      <c r="L443" s="108"/>
    </row>
    <row r="444" spans="11:12" ht="13.5" customHeight="1">
      <c r="K444" s="108"/>
      <c r="L444" s="108"/>
    </row>
    <row r="445" spans="11:12" ht="13.5" customHeight="1">
      <c r="K445" s="108"/>
      <c r="L445" s="108"/>
    </row>
    <row r="446" spans="11:12" ht="13.5" customHeight="1">
      <c r="K446" s="108"/>
      <c r="L446" s="108"/>
    </row>
    <row r="447" spans="11:12" ht="13.5" customHeight="1">
      <c r="K447" s="108"/>
      <c r="L447" s="108"/>
    </row>
    <row r="448" spans="11:12" ht="13.5" customHeight="1">
      <c r="K448" s="108"/>
      <c r="L448" s="108"/>
    </row>
    <row r="449" spans="11:12" ht="13.5" customHeight="1">
      <c r="K449" s="108"/>
      <c r="L449" s="108"/>
    </row>
    <row r="450" spans="11:12" ht="13.5" customHeight="1">
      <c r="K450" s="108"/>
      <c r="L450" s="108"/>
    </row>
    <row r="451" spans="11:12" ht="13.5" customHeight="1">
      <c r="K451" s="108"/>
      <c r="L451" s="108"/>
    </row>
    <row r="452" spans="11:12" ht="13.5" customHeight="1">
      <c r="K452" s="108"/>
      <c r="L452" s="108"/>
    </row>
    <row r="453" spans="11:12" ht="13.5" customHeight="1">
      <c r="K453" s="108"/>
      <c r="L453" s="108"/>
    </row>
    <row r="454" spans="11:12" ht="13.5" customHeight="1">
      <c r="K454" s="108"/>
      <c r="L454" s="108"/>
    </row>
    <row r="455" spans="11:12" ht="13.5" customHeight="1">
      <c r="K455" s="108"/>
      <c r="L455" s="108"/>
    </row>
    <row r="456" spans="11:12" ht="13.5" customHeight="1">
      <c r="K456" s="108"/>
      <c r="L456" s="108"/>
    </row>
    <row r="457" spans="11:12" ht="13.5" customHeight="1">
      <c r="K457" s="108"/>
      <c r="L457" s="108"/>
    </row>
    <row r="458" spans="11:12" ht="13.5" customHeight="1">
      <c r="K458" s="108"/>
      <c r="L458" s="108"/>
    </row>
    <row r="459" spans="11:12" ht="13.5" customHeight="1">
      <c r="K459" s="108"/>
      <c r="L459" s="108"/>
    </row>
    <row r="460" spans="11:12" ht="13.5" customHeight="1">
      <c r="K460" s="108"/>
      <c r="L460" s="108"/>
    </row>
    <row r="461" spans="11:12" ht="13.5" customHeight="1">
      <c r="K461" s="108"/>
      <c r="L461" s="108"/>
    </row>
    <row r="462" spans="11:12" ht="13.5" customHeight="1">
      <c r="K462" s="108"/>
      <c r="L462" s="108"/>
    </row>
    <row r="463" spans="11:12" ht="13.5" customHeight="1">
      <c r="K463" s="108"/>
      <c r="L463" s="108"/>
    </row>
    <row r="464" spans="11:12" ht="13.5" customHeight="1">
      <c r="K464" s="108"/>
      <c r="L464" s="108"/>
    </row>
    <row r="465" spans="11:12" ht="13.5" customHeight="1">
      <c r="K465" s="108"/>
      <c r="L465" s="108"/>
    </row>
    <row r="466" spans="11:12" ht="13.5" customHeight="1">
      <c r="K466" s="108"/>
      <c r="L466" s="108"/>
    </row>
    <row r="467" spans="11:12" ht="13.5" customHeight="1">
      <c r="K467" s="108"/>
      <c r="L467" s="108"/>
    </row>
    <row r="468" spans="11:12" ht="13.5" customHeight="1">
      <c r="K468" s="108"/>
      <c r="L468" s="108"/>
    </row>
    <row r="469" spans="11:12" ht="13.5" customHeight="1">
      <c r="K469" s="108"/>
      <c r="L469" s="108"/>
    </row>
    <row r="470" spans="11:12" ht="13.5" customHeight="1">
      <c r="K470" s="108"/>
      <c r="L470" s="108"/>
    </row>
    <row r="471" spans="11:12" ht="13.5" customHeight="1">
      <c r="K471" s="108"/>
      <c r="L471" s="108"/>
    </row>
    <row r="472" spans="11:12" ht="13.5" customHeight="1">
      <c r="K472" s="108"/>
      <c r="L472" s="108"/>
    </row>
    <row r="473" spans="11:12" ht="13.5" customHeight="1">
      <c r="K473" s="108"/>
      <c r="L473" s="108"/>
    </row>
    <row r="474" spans="11:12" ht="13.5" customHeight="1">
      <c r="K474" s="108"/>
      <c r="L474" s="108"/>
    </row>
    <row r="475" spans="11:12" ht="13.5" customHeight="1">
      <c r="K475" s="108"/>
      <c r="L475" s="108"/>
    </row>
    <row r="476" spans="11:12" ht="13.5" customHeight="1">
      <c r="K476" s="108"/>
      <c r="L476" s="108"/>
    </row>
    <row r="477" spans="11:12" ht="13.5" customHeight="1">
      <c r="K477" s="108"/>
      <c r="L477" s="108"/>
    </row>
    <row r="478" spans="11:12" ht="13.5" customHeight="1">
      <c r="K478" s="108"/>
      <c r="L478" s="108"/>
    </row>
    <row r="479" spans="11:12" ht="13.5" customHeight="1">
      <c r="K479" s="108"/>
      <c r="L479" s="108"/>
    </row>
    <row r="480" spans="11:12" ht="13.5" customHeight="1">
      <c r="K480" s="108"/>
      <c r="L480" s="108"/>
    </row>
    <row r="481" spans="11:12" ht="13.5" customHeight="1">
      <c r="K481" s="108"/>
      <c r="L481" s="108"/>
    </row>
    <row r="482" spans="11:12" ht="13.5" customHeight="1">
      <c r="K482" s="108"/>
      <c r="L482" s="108"/>
    </row>
    <row r="483" spans="11:12" ht="13.5" customHeight="1">
      <c r="K483" s="108"/>
      <c r="L483" s="108"/>
    </row>
    <row r="484" spans="11:12" ht="13.5" customHeight="1">
      <c r="K484" s="108"/>
      <c r="L484" s="108"/>
    </row>
    <row r="485" spans="11:12" ht="13.5" customHeight="1">
      <c r="K485" s="108"/>
      <c r="L485" s="108"/>
    </row>
    <row r="486" spans="11:12" ht="13.5" customHeight="1">
      <c r="K486" s="108"/>
      <c r="L486" s="108"/>
    </row>
    <row r="487" spans="11:12" ht="13.5" customHeight="1">
      <c r="K487" s="108"/>
      <c r="L487" s="108"/>
    </row>
    <row r="488" spans="11:12" ht="13.5" customHeight="1">
      <c r="K488" s="108"/>
      <c r="L488" s="108"/>
    </row>
    <row r="489" spans="11:12" ht="13.5" customHeight="1">
      <c r="K489" s="108"/>
      <c r="L489" s="108"/>
    </row>
    <row r="490" spans="11:12" ht="13.5" customHeight="1">
      <c r="K490" s="108"/>
      <c r="L490" s="108"/>
    </row>
    <row r="491" spans="11:12" ht="13.5" customHeight="1">
      <c r="K491" s="108"/>
      <c r="L491" s="108"/>
    </row>
    <row r="492" spans="11:12" ht="13.5" customHeight="1">
      <c r="K492" s="108"/>
      <c r="L492" s="108"/>
    </row>
    <row r="493" spans="11:12" ht="13.5" customHeight="1">
      <c r="K493" s="108"/>
      <c r="L493" s="108"/>
    </row>
    <row r="494" spans="11:12" ht="13.5" customHeight="1">
      <c r="K494" s="108"/>
      <c r="L494" s="108"/>
    </row>
    <row r="495" spans="11:12" ht="13.5" customHeight="1">
      <c r="K495" s="108"/>
      <c r="L495" s="108"/>
    </row>
    <row r="496" spans="11:12" ht="13.5" customHeight="1">
      <c r="K496" s="108"/>
      <c r="L496" s="108"/>
    </row>
    <row r="497" spans="11:12" ht="13.5" customHeight="1">
      <c r="K497" s="108"/>
      <c r="L497" s="108"/>
    </row>
    <row r="498" spans="11:12" ht="13.5" customHeight="1">
      <c r="K498" s="108"/>
      <c r="L498" s="108"/>
    </row>
    <row r="499" spans="11:12" ht="13.5" customHeight="1">
      <c r="K499" s="108"/>
      <c r="L499" s="108"/>
    </row>
    <row r="500" spans="11:12" ht="13.5" customHeight="1">
      <c r="K500" s="108"/>
      <c r="L500" s="108"/>
    </row>
    <row r="501" spans="11:12" ht="13.5" customHeight="1">
      <c r="K501" s="108"/>
      <c r="L501" s="108"/>
    </row>
    <row r="502" spans="11:12" ht="13.5" customHeight="1">
      <c r="K502" s="108"/>
      <c r="L502" s="108"/>
    </row>
    <row r="503" spans="11:12" ht="13.5" customHeight="1">
      <c r="K503" s="108"/>
      <c r="L503" s="108"/>
    </row>
    <row r="504" spans="11:12" ht="13.5" customHeight="1">
      <c r="K504" s="108"/>
      <c r="L504" s="108"/>
    </row>
    <row r="505" spans="11:12" ht="13.5" customHeight="1">
      <c r="K505" s="108"/>
      <c r="L505" s="108"/>
    </row>
    <row r="506" spans="11:12" ht="13.5" customHeight="1">
      <c r="K506" s="108"/>
      <c r="L506" s="108"/>
    </row>
    <row r="507" spans="11:12" ht="13.5" customHeight="1">
      <c r="K507" s="108"/>
      <c r="L507" s="108"/>
    </row>
    <row r="508" spans="11:12" ht="13.5" customHeight="1">
      <c r="K508" s="108"/>
      <c r="L508" s="108"/>
    </row>
    <row r="509" spans="11:12" ht="13.5" customHeight="1">
      <c r="K509" s="108"/>
      <c r="L509" s="108"/>
    </row>
    <row r="510" spans="11:12" ht="13.5" customHeight="1">
      <c r="K510" s="108"/>
      <c r="L510" s="108"/>
    </row>
    <row r="511" spans="11:12" ht="13.5" customHeight="1">
      <c r="K511" s="108"/>
      <c r="L511" s="108"/>
    </row>
    <row r="512" spans="11:12" ht="13.5" customHeight="1">
      <c r="K512" s="108"/>
      <c r="L512" s="108"/>
    </row>
    <row r="513" spans="11:12" ht="13.5" customHeight="1">
      <c r="K513" s="108"/>
      <c r="L513" s="108"/>
    </row>
    <row r="514" spans="11:12" ht="13.5" customHeight="1">
      <c r="K514" s="108"/>
      <c r="L514" s="108"/>
    </row>
    <row r="515" spans="11:12" ht="13.5" customHeight="1">
      <c r="K515" s="108"/>
      <c r="L515" s="108"/>
    </row>
    <row r="516" spans="11:12" ht="13.5" customHeight="1">
      <c r="K516" s="108"/>
      <c r="L516" s="108"/>
    </row>
    <row r="517" spans="11:12" ht="13.5" customHeight="1">
      <c r="K517" s="108"/>
      <c r="L517" s="108"/>
    </row>
    <row r="518" spans="11:12" ht="13.5" customHeight="1">
      <c r="K518" s="108"/>
      <c r="L518" s="108"/>
    </row>
    <row r="519" spans="11:12" ht="13.5" customHeight="1">
      <c r="K519" s="108"/>
      <c r="L519" s="108"/>
    </row>
    <row r="520" spans="11:12" ht="13.5" customHeight="1">
      <c r="K520" s="108"/>
      <c r="L520" s="108"/>
    </row>
    <row r="521" spans="11:12" ht="13.5" customHeight="1">
      <c r="K521" s="108"/>
      <c r="L521" s="108"/>
    </row>
    <row r="522" spans="11:12" ht="13.5" customHeight="1">
      <c r="K522" s="108"/>
      <c r="L522" s="108"/>
    </row>
    <row r="523" spans="11:12" ht="13.5" customHeight="1">
      <c r="K523" s="108"/>
      <c r="L523" s="108"/>
    </row>
    <row r="524" spans="11:12" ht="13.5" customHeight="1">
      <c r="K524" s="108"/>
      <c r="L524" s="108"/>
    </row>
    <row r="525" spans="11:12" ht="13.5" customHeight="1">
      <c r="K525" s="108"/>
      <c r="L525" s="108"/>
    </row>
    <row r="526" spans="11:12" ht="13.5" customHeight="1">
      <c r="K526" s="108"/>
      <c r="L526" s="108"/>
    </row>
    <row r="527" spans="11:12" ht="13.5" customHeight="1">
      <c r="K527" s="108"/>
      <c r="L527" s="108"/>
    </row>
    <row r="528" spans="11:12" ht="13.5" customHeight="1">
      <c r="K528" s="108"/>
      <c r="L528" s="108"/>
    </row>
    <row r="529" spans="11:12" ht="13.5" customHeight="1">
      <c r="K529" s="108"/>
      <c r="L529" s="108"/>
    </row>
    <row r="530" spans="11:12" ht="13.5" customHeight="1">
      <c r="K530" s="108"/>
      <c r="L530" s="108"/>
    </row>
    <row r="531" spans="11:12" ht="13.5" customHeight="1">
      <c r="K531" s="108"/>
      <c r="L531" s="108"/>
    </row>
    <row r="532" spans="11:12" ht="13.5" customHeight="1">
      <c r="K532" s="108"/>
      <c r="L532" s="108"/>
    </row>
    <row r="533" spans="11:12" ht="13.5" customHeight="1">
      <c r="K533" s="108"/>
      <c r="L533" s="108"/>
    </row>
    <row r="534" spans="11:12" ht="13.5" customHeight="1">
      <c r="K534" s="108"/>
      <c r="L534" s="108"/>
    </row>
    <row r="535" spans="11:12" ht="13.5" customHeight="1">
      <c r="K535" s="108"/>
      <c r="L535" s="108"/>
    </row>
    <row r="536" spans="11:12" ht="13.5" customHeight="1">
      <c r="K536" s="108"/>
      <c r="L536" s="108"/>
    </row>
    <row r="537" spans="11:12" ht="13.5" customHeight="1">
      <c r="K537" s="108"/>
      <c r="L537" s="108"/>
    </row>
    <row r="538" spans="11:12" ht="13.5" customHeight="1">
      <c r="K538" s="108"/>
      <c r="L538" s="108"/>
    </row>
    <row r="539" spans="11:12" ht="13.5" customHeight="1">
      <c r="K539" s="108"/>
      <c r="L539" s="108"/>
    </row>
    <row r="540" spans="11:12" ht="13.5" customHeight="1">
      <c r="K540" s="108"/>
      <c r="L540" s="108"/>
    </row>
    <row r="541" spans="11:12" ht="13.5" customHeight="1">
      <c r="K541" s="108"/>
      <c r="L541" s="108"/>
    </row>
    <row r="542" spans="11:12" ht="13.5" customHeight="1">
      <c r="K542" s="108"/>
      <c r="L542" s="108"/>
    </row>
    <row r="543" spans="11:12" ht="13.5" customHeight="1">
      <c r="K543" s="108"/>
      <c r="L543" s="108"/>
    </row>
    <row r="544" spans="11:12" ht="13.5" customHeight="1">
      <c r="K544" s="108"/>
      <c r="L544" s="108"/>
    </row>
    <row r="545" spans="11:12" ht="13.5" customHeight="1">
      <c r="K545" s="108"/>
      <c r="L545" s="108"/>
    </row>
    <row r="546" spans="11:12" ht="13.5" customHeight="1">
      <c r="K546" s="108"/>
      <c r="L546" s="108"/>
    </row>
    <row r="547" spans="11:12" ht="13.5" customHeight="1">
      <c r="K547" s="108"/>
      <c r="L547" s="108"/>
    </row>
    <row r="548" spans="11:12" ht="13.5" customHeight="1">
      <c r="K548" s="108"/>
      <c r="L548" s="108"/>
    </row>
    <row r="549" spans="11:12" ht="13.5" customHeight="1">
      <c r="K549" s="108"/>
      <c r="L549" s="108"/>
    </row>
    <row r="550" spans="11:12" ht="13.5" customHeight="1">
      <c r="K550" s="108"/>
      <c r="L550" s="108"/>
    </row>
    <row r="551" spans="11:12" ht="13.5" customHeight="1">
      <c r="K551" s="108"/>
      <c r="L551" s="108"/>
    </row>
    <row r="552" spans="11:12" ht="13.5" customHeight="1">
      <c r="K552" s="108"/>
      <c r="L552" s="108"/>
    </row>
    <row r="553" spans="11:12" ht="13.5" customHeight="1">
      <c r="K553" s="108"/>
      <c r="L553" s="108"/>
    </row>
    <row r="554" spans="11:12" ht="13.5" customHeight="1">
      <c r="K554" s="108"/>
      <c r="L554" s="108"/>
    </row>
    <row r="555" spans="11:12" ht="13.5" customHeight="1">
      <c r="K555" s="108"/>
      <c r="L555" s="108"/>
    </row>
    <row r="556" spans="11:12" ht="13.5" customHeight="1">
      <c r="K556" s="108"/>
      <c r="L556" s="108"/>
    </row>
    <row r="557" spans="11:12" ht="13.5" customHeight="1">
      <c r="K557" s="108"/>
      <c r="L557" s="108"/>
    </row>
    <row r="558" spans="11:12" ht="13.5" customHeight="1">
      <c r="K558" s="108"/>
      <c r="L558" s="108"/>
    </row>
    <row r="559" spans="11:12" ht="13.5" customHeight="1">
      <c r="K559" s="108"/>
      <c r="L559" s="108"/>
    </row>
    <row r="560" spans="11:12" ht="13.5" customHeight="1">
      <c r="K560" s="108"/>
      <c r="L560" s="108"/>
    </row>
    <row r="561" spans="11:12" ht="13.5" customHeight="1">
      <c r="K561" s="108"/>
      <c r="L561" s="108"/>
    </row>
    <row r="562" spans="11:12" ht="13.5" customHeight="1">
      <c r="K562" s="108"/>
      <c r="L562" s="108"/>
    </row>
    <row r="563" spans="11:12" ht="13.5" customHeight="1">
      <c r="K563" s="108"/>
      <c r="L563" s="108"/>
    </row>
    <row r="564" spans="11:12" ht="13.5" customHeight="1">
      <c r="K564" s="108"/>
      <c r="L564" s="108"/>
    </row>
    <row r="565" spans="11:12" ht="13.5" customHeight="1">
      <c r="K565" s="108"/>
      <c r="L565" s="108"/>
    </row>
    <row r="566" spans="11:12" ht="13.5" customHeight="1">
      <c r="K566" s="108"/>
      <c r="L566" s="108"/>
    </row>
    <row r="567" spans="11:12" ht="13.5" customHeight="1">
      <c r="K567" s="108"/>
      <c r="L567" s="108"/>
    </row>
    <row r="568" spans="11:12" ht="13.5" customHeight="1">
      <c r="K568" s="108"/>
      <c r="L568" s="108"/>
    </row>
    <row r="569" spans="11:12" ht="13.5" customHeight="1">
      <c r="K569" s="108"/>
      <c r="L569" s="108"/>
    </row>
    <row r="570" spans="11:12" ht="13.5" customHeight="1">
      <c r="K570" s="108"/>
      <c r="L570" s="108"/>
    </row>
    <row r="571" spans="11:12" ht="13.5" customHeight="1">
      <c r="K571" s="108"/>
      <c r="L571" s="108"/>
    </row>
    <row r="572" spans="11:12" ht="13.5" customHeight="1">
      <c r="K572" s="108"/>
      <c r="L572" s="108"/>
    </row>
    <row r="573" spans="11:12" ht="13.5" customHeight="1">
      <c r="K573" s="108"/>
      <c r="L573" s="108"/>
    </row>
    <row r="574" spans="11:12" ht="13.5" customHeight="1">
      <c r="K574" s="108"/>
      <c r="L574" s="108"/>
    </row>
    <row r="575" spans="11:12" ht="13.5" customHeight="1">
      <c r="K575" s="108"/>
      <c r="L575" s="108"/>
    </row>
    <row r="576" spans="11:12" ht="13.5" customHeight="1">
      <c r="K576" s="108"/>
      <c r="L576" s="108"/>
    </row>
    <row r="577" spans="11:12" ht="13.5" customHeight="1">
      <c r="K577" s="108"/>
      <c r="L577" s="108"/>
    </row>
    <row r="578" spans="11:12" ht="13.5" customHeight="1">
      <c r="K578" s="108"/>
      <c r="L578" s="108"/>
    </row>
    <row r="579" spans="11:12" ht="13.5" customHeight="1">
      <c r="K579" s="108"/>
      <c r="L579" s="108"/>
    </row>
    <row r="580" spans="11:12" ht="13.5" customHeight="1">
      <c r="K580" s="108"/>
      <c r="L580" s="108"/>
    </row>
    <row r="581" spans="11:12" ht="13.5" customHeight="1">
      <c r="K581" s="108"/>
      <c r="L581" s="108"/>
    </row>
    <row r="582" spans="11:12" ht="13.5" customHeight="1">
      <c r="K582" s="108"/>
      <c r="L582" s="108"/>
    </row>
    <row r="583" spans="11:12" ht="13.5" customHeight="1">
      <c r="K583" s="108"/>
      <c r="L583" s="108"/>
    </row>
    <row r="584" spans="11:12" ht="13.5" customHeight="1">
      <c r="K584" s="108"/>
      <c r="L584" s="108"/>
    </row>
    <row r="585" spans="11:12" ht="13.5" customHeight="1">
      <c r="K585" s="108"/>
      <c r="L585" s="108"/>
    </row>
    <row r="586" spans="11:12" ht="13.5" customHeight="1">
      <c r="K586" s="108"/>
      <c r="L586" s="108"/>
    </row>
    <row r="587" spans="11:12" ht="13.5" customHeight="1">
      <c r="K587" s="108"/>
      <c r="L587" s="108"/>
    </row>
    <row r="588" spans="11:12" ht="13.5" customHeight="1">
      <c r="K588" s="108"/>
      <c r="L588" s="108"/>
    </row>
    <row r="589" spans="11:12" ht="13.5" customHeight="1">
      <c r="K589" s="108"/>
      <c r="L589" s="108"/>
    </row>
    <row r="590" spans="11:12" ht="13.5" customHeight="1">
      <c r="K590" s="108"/>
      <c r="L590" s="108"/>
    </row>
    <row r="591" spans="11:12" ht="13.5" customHeight="1">
      <c r="K591" s="108"/>
      <c r="L591" s="108"/>
    </row>
    <row r="592" spans="11:12" ht="13.5" customHeight="1">
      <c r="K592" s="108"/>
      <c r="L592" s="108"/>
    </row>
    <row r="593" spans="11:12" ht="13.5" customHeight="1">
      <c r="K593" s="108"/>
      <c r="L593" s="108"/>
    </row>
    <row r="594" spans="11:12" ht="13.5" customHeight="1">
      <c r="K594" s="108"/>
      <c r="L594" s="108"/>
    </row>
    <row r="595" spans="11:12" ht="13.5" customHeight="1">
      <c r="K595" s="108"/>
      <c r="L595" s="108"/>
    </row>
    <row r="596" spans="11:12" ht="13.5" customHeight="1">
      <c r="K596" s="108"/>
      <c r="L596" s="108"/>
    </row>
    <row r="597" spans="11:12" ht="13.5" customHeight="1">
      <c r="K597" s="108"/>
      <c r="L597" s="108"/>
    </row>
    <row r="598" spans="11:12" ht="13.5" customHeight="1">
      <c r="K598" s="108"/>
      <c r="L598" s="108"/>
    </row>
    <row r="599" spans="11:12" ht="13.5" customHeight="1">
      <c r="K599" s="108"/>
      <c r="L599" s="108"/>
    </row>
    <row r="600" spans="11:12" ht="13.5" customHeight="1">
      <c r="K600" s="108"/>
      <c r="L600" s="108"/>
    </row>
    <row r="601" spans="11:12" ht="13.5" customHeight="1">
      <c r="K601" s="108"/>
      <c r="L601" s="108"/>
    </row>
    <row r="602" spans="11:12" ht="13.5" customHeight="1">
      <c r="K602" s="108"/>
      <c r="L602" s="108"/>
    </row>
    <row r="603" spans="11:12" ht="13.5" customHeight="1">
      <c r="K603" s="108"/>
      <c r="L603" s="108"/>
    </row>
    <row r="604" spans="11:12" ht="13.5" customHeight="1">
      <c r="K604" s="108"/>
      <c r="L604" s="108"/>
    </row>
    <row r="605" spans="11:12" ht="13.5" customHeight="1">
      <c r="K605" s="108"/>
      <c r="L605" s="108"/>
    </row>
    <row r="606" spans="11:12" ht="13.5" customHeight="1">
      <c r="K606" s="108"/>
      <c r="L606" s="108"/>
    </row>
    <row r="607" spans="11:12" ht="13.5" customHeight="1">
      <c r="K607" s="108"/>
      <c r="L607" s="108"/>
    </row>
    <row r="608" spans="11:12" ht="13.5" customHeight="1">
      <c r="K608" s="108"/>
      <c r="L608" s="108"/>
    </row>
    <row r="609" spans="11:12" ht="13.5" customHeight="1">
      <c r="K609" s="108"/>
      <c r="L609" s="108"/>
    </row>
    <row r="610" spans="11:12" ht="13.5" customHeight="1">
      <c r="K610" s="108"/>
      <c r="L610" s="108"/>
    </row>
    <row r="611" spans="11:12" ht="13.5" customHeight="1">
      <c r="K611" s="108"/>
      <c r="L611" s="108"/>
    </row>
    <row r="612" spans="11:12" ht="13.5" customHeight="1">
      <c r="K612" s="108"/>
      <c r="L612" s="108"/>
    </row>
    <row r="613" spans="11:12" ht="13.5" customHeight="1">
      <c r="K613" s="108"/>
      <c r="L613" s="108"/>
    </row>
    <row r="614" spans="11:12" ht="13.5" customHeight="1">
      <c r="K614" s="108"/>
      <c r="L614" s="108"/>
    </row>
    <row r="615" spans="11:12" ht="13.5" customHeight="1">
      <c r="K615" s="108"/>
      <c r="L615" s="108"/>
    </row>
    <row r="616" spans="11:12" ht="13.5" customHeight="1">
      <c r="K616" s="108"/>
      <c r="L616" s="108"/>
    </row>
    <row r="617" spans="11:12" ht="13.5" customHeight="1">
      <c r="K617" s="108"/>
      <c r="L617" s="108"/>
    </row>
    <row r="618" spans="11:12" ht="13.5" customHeight="1">
      <c r="K618" s="108"/>
      <c r="L618" s="108"/>
    </row>
    <row r="619" spans="11:12" ht="13.5" customHeight="1">
      <c r="K619" s="108"/>
      <c r="L619" s="108"/>
    </row>
    <row r="620" spans="11:12" ht="13.5" customHeight="1">
      <c r="K620" s="108"/>
      <c r="L620" s="108"/>
    </row>
    <row r="621" spans="11:12" ht="13.5" customHeight="1">
      <c r="K621" s="108"/>
      <c r="L621" s="108"/>
    </row>
    <row r="622" spans="11:12" ht="13.5" customHeight="1">
      <c r="K622" s="108"/>
      <c r="L622" s="108"/>
    </row>
    <row r="623" spans="11:12" ht="13.5" customHeight="1">
      <c r="K623" s="108"/>
      <c r="L623" s="108"/>
    </row>
    <row r="624" spans="11:12" ht="13.5" customHeight="1">
      <c r="K624" s="108"/>
      <c r="L624" s="108"/>
    </row>
    <row r="625" spans="11:12" ht="13.5" customHeight="1">
      <c r="K625" s="108"/>
      <c r="L625" s="108"/>
    </row>
    <row r="626" spans="11:12" ht="13.5" customHeight="1">
      <c r="K626" s="108"/>
      <c r="L626" s="108"/>
    </row>
    <row r="627" spans="11:12" ht="13.5" customHeight="1">
      <c r="K627" s="108"/>
      <c r="L627" s="108"/>
    </row>
    <row r="628" spans="11:12" ht="13.5" customHeight="1">
      <c r="K628" s="108"/>
      <c r="L628" s="108"/>
    </row>
    <row r="629" spans="11:12" ht="13.5" customHeight="1">
      <c r="K629" s="108"/>
      <c r="L629" s="108"/>
    </row>
    <row r="630" spans="11:12" ht="13.5" customHeight="1">
      <c r="K630" s="108"/>
      <c r="L630" s="108"/>
    </row>
    <row r="631" spans="11:12" ht="13.5" customHeight="1">
      <c r="K631" s="108"/>
      <c r="L631" s="108"/>
    </row>
    <row r="632" spans="11:12" ht="13.5" customHeight="1">
      <c r="K632" s="108"/>
      <c r="L632" s="108"/>
    </row>
    <row r="633" spans="11:12" ht="13.5" customHeight="1">
      <c r="K633" s="108"/>
      <c r="L633" s="108"/>
    </row>
    <row r="634" spans="11:12" ht="13.5" customHeight="1">
      <c r="K634" s="108"/>
      <c r="L634" s="108"/>
    </row>
    <row r="635" spans="11:12" ht="13.5" customHeight="1">
      <c r="K635" s="108"/>
      <c r="L635" s="108"/>
    </row>
    <row r="636" spans="11:12" ht="13.5" customHeight="1">
      <c r="K636" s="108"/>
      <c r="L636" s="108"/>
    </row>
    <row r="637" spans="11:12" ht="13.5" customHeight="1">
      <c r="K637" s="108"/>
      <c r="L637" s="108"/>
    </row>
    <row r="638" spans="11:12" ht="13.5" customHeight="1">
      <c r="K638" s="108"/>
      <c r="L638" s="108"/>
    </row>
    <row r="639" spans="11:12" ht="13.5" customHeight="1">
      <c r="K639" s="108"/>
      <c r="L639" s="108"/>
    </row>
    <row r="640" spans="11:12" ht="13.5" customHeight="1">
      <c r="K640" s="108"/>
      <c r="L640" s="108"/>
    </row>
    <row r="641" spans="11:12" ht="13.5" customHeight="1">
      <c r="K641" s="108"/>
      <c r="L641" s="108"/>
    </row>
    <row r="642" spans="11:12" ht="13.5" customHeight="1">
      <c r="K642" s="108"/>
      <c r="L642" s="108"/>
    </row>
    <row r="643" spans="11:12" ht="13.5" customHeight="1">
      <c r="K643" s="108"/>
      <c r="L643" s="108"/>
    </row>
    <row r="644" spans="11:12" ht="13.5" customHeight="1">
      <c r="K644" s="108"/>
      <c r="L644" s="108"/>
    </row>
    <row r="645" spans="11:12" ht="13.5" customHeight="1">
      <c r="K645" s="108"/>
      <c r="L645" s="108"/>
    </row>
    <row r="646" spans="11:12" ht="13.5" customHeight="1">
      <c r="K646" s="108"/>
      <c r="L646" s="108"/>
    </row>
    <row r="647" spans="11:12" ht="13.5" customHeight="1">
      <c r="K647" s="108"/>
      <c r="L647" s="108"/>
    </row>
    <row r="648" spans="11:12" ht="13.5" customHeight="1">
      <c r="K648" s="108"/>
      <c r="L648" s="108"/>
    </row>
    <row r="649" spans="11:12" ht="13.5" customHeight="1">
      <c r="K649" s="108"/>
      <c r="L649" s="108"/>
    </row>
    <row r="650" spans="11:12" ht="13.5" customHeight="1">
      <c r="K650" s="108"/>
      <c r="L650" s="108"/>
    </row>
    <row r="651" spans="11:12" ht="13.5" customHeight="1">
      <c r="K651" s="108"/>
      <c r="L651" s="108"/>
    </row>
    <row r="652" spans="11:12" ht="13.5" customHeight="1">
      <c r="K652" s="108"/>
      <c r="L652" s="108"/>
    </row>
    <row r="653" spans="11:12" ht="13.5" customHeight="1">
      <c r="K653" s="108"/>
      <c r="L653" s="108"/>
    </row>
    <row r="654" spans="11:12" ht="13.5" customHeight="1">
      <c r="K654" s="108"/>
      <c r="L654" s="108"/>
    </row>
    <row r="655" spans="11:12" ht="13.5" customHeight="1">
      <c r="K655" s="108"/>
      <c r="L655" s="108"/>
    </row>
    <row r="656" spans="11:12" ht="13.5" customHeight="1">
      <c r="K656" s="108"/>
      <c r="L656" s="108"/>
    </row>
    <row r="657" spans="11:12" ht="13.5" customHeight="1">
      <c r="K657" s="108"/>
      <c r="L657" s="108"/>
    </row>
    <row r="658" spans="11:12" ht="13.5" customHeight="1">
      <c r="K658" s="108"/>
      <c r="L658" s="108"/>
    </row>
    <row r="659" spans="11:12" ht="13.5" customHeight="1">
      <c r="K659" s="108"/>
      <c r="L659" s="108"/>
    </row>
    <row r="660" spans="11:12" ht="13.5" customHeight="1">
      <c r="K660" s="108"/>
      <c r="L660" s="108"/>
    </row>
    <row r="661" spans="11:12" ht="13.5" customHeight="1">
      <c r="K661" s="108"/>
      <c r="L661" s="108"/>
    </row>
    <row r="662" spans="11:12" ht="13.5" customHeight="1">
      <c r="K662" s="108"/>
      <c r="L662" s="108"/>
    </row>
    <row r="663" spans="11:12" ht="13.5" customHeight="1">
      <c r="K663" s="108"/>
      <c r="L663" s="108"/>
    </row>
    <row r="664" spans="11:12" ht="13.5" customHeight="1">
      <c r="K664" s="108"/>
      <c r="L664" s="108"/>
    </row>
    <row r="665" spans="11:12" ht="13.5" customHeight="1">
      <c r="K665" s="108"/>
      <c r="L665" s="108"/>
    </row>
    <row r="666" spans="11:12" ht="13.5" customHeight="1">
      <c r="K666" s="108"/>
      <c r="L666" s="108"/>
    </row>
    <row r="667" spans="11:12" ht="13.5" customHeight="1">
      <c r="K667" s="108"/>
      <c r="L667" s="108"/>
    </row>
    <row r="668" spans="11:12" ht="13.5" customHeight="1">
      <c r="K668" s="108"/>
      <c r="L668" s="108"/>
    </row>
    <row r="669" spans="11:12" ht="13.5" customHeight="1">
      <c r="K669" s="108"/>
      <c r="L669" s="108"/>
    </row>
    <row r="670" spans="11:12" ht="13.5" customHeight="1">
      <c r="K670" s="108"/>
      <c r="L670" s="108"/>
    </row>
    <row r="671" spans="11:12" ht="13.5" customHeight="1">
      <c r="K671" s="108"/>
      <c r="L671" s="108"/>
    </row>
    <row r="672" spans="11:12" ht="13.5" customHeight="1">
      <c r="K672" s="108"/>
      <c r="L672" s="108"/>
    </row>
    <row r="673" spans="11:12" ht="13.5" customHeight="1">
      <c r="K673" s="108"/>
      <c r="L673" s="108"/>
    </row>
    <row r="674" spans="11:12" ht="13.5" customHeight="1">
      <c r="K674" s="108"/>
      <c r="L674" s="108"/>
    </row>
    <row r="675" spans="11:12" ht="13.5" customHeight="1">
      <c r="K675" s="108"/>
      <c r="L675" s="108"/>
    </row>
    <row r="676" spans="11:12" ht="13.5" customHeight="1">
      <c r="K676" s="108"/>
      <c r="L676" s="108"/>
    </row>
    <row r="677" spans="11:12" ht="13.5" customHeight="1">
      <c r="K677" s="108"/>
      <c r="L677" s="108"/>
    </row>
    <row r="678" spans="11:12" ht="13.5" customHeight="1">
      <c r="K678" s="108"/>
      <c r="L678" s="108"/>
    </row>
    <row r="679" spans="11:12" ht="13.5" customHeight="1">
      <c r="K679" s="108"/>
      <c r="L679" s="108"/>
    </row>
    <row r="680" spans="11:12" ht="13.5" customHeight="1">
      <c r="K680" s="108"/>
      <c r="L680" s="108"/>
    </row>
    <row r="681" spans="11:12" ht="13.5" customHeight="1">
      <c r="K681" s="108"/>
      <c r="L681" s="108"/>
    </row>
    <row r="682" spans="11:12" ht="13.5" customHeight="1">
      <c r="K682" s="108"/>
      <c r="L682" s="108"/>
    </row>
    <row r="683" spans="11:12" ht="13.5" customHeight="1">
      <c r="K683" s="108"/>
      <c r="L683" s="108"/>
    </row>
    <row r="684" spans="11:12" ht="13.5" customHeight="1">
      <c r="K684" s="108"/>
      <c r="L684" s="108"/>
    </row>
    <row r="685" spans="11:12" ht="13.5" customHeight="1">
      <c r="K685" s="108"/>
      <c r="L685" s="108"/>
    </row>
    <row r="686" spans="11:12" ht="13.5" customHeight="1">
      <c r="K686" s="108"/>
      <c r="L686" s="108"/>
    </row>
    <row r="687" spans="11:12" ht="13.5" customHeight="1">
      <c r="K687" s="108"/>
      <c r="L687" s="108"/>
    </row>
    <row r="688" spans="11:12" ht="13.5" customHeight="1">
      <c r="K688" s="108"/>
      <c r="L688" s="108"/>
    </row>
    <row r="689" spans="11:12" ht="13.5" customHeight="1">
      <c r="K689" s="108"/>
      <c r="L689" s="108"/>
    </row>
    <row r="690" spans="11:12" ht="13.5" customHeight="1">
      <c r="K690" s="108"/>
      <c r="L690" s="108"/>
    </row>
    <row r="691" spans="11:12" ht="13.5" customHeight="1">
      <c r="K691" s="108"/>
      <c r="L691" s="108"/>
    </row>
    <row r="692" spans="11:12" ht="13.5" customHeight="1">
      <c r="K692" s="108"/>
      <c r="L692" s="108"/>
    </row>
    <row r="693" spans="11:12" ht="13.5" customHeight="1">
      <c r="K693" s="108"/>
      <c r="L693" s="108"/>
    </row>
    <row r="694" spans="11:12" ht="13.5" customHeight="1">
      <c r="K694" s="108"/>
      <c r="L694" s="108"/>
    </row>
    <row r="695" spans="11:12" ht="13.5" customHeight="1">
      <c r="K695" s="108"/>
      <c r="L695" s="108"/>
    </row>
    <row r="696" spans="11:12" ht="13.5" customHeight="1">
      <c r="K696" s="108"/>
      <c r="L696" s="108"/>
    </row>
    <row r="697" spans="11:12" ht="13.5" customHeight="1">
      <c r="K697" s="108"/>
      <c r="L697" s="108"/>
    </row>
    <row r="698" spans="11:12" ht="13.5" customHeight="1">
      <c r="K698" s="108"/>
      <c r="L698" s="108"/>
    </row>
    <row r="699" spans="11:12" ht="13.5" customHeight="1">
      <c r="K699" s="108"/>
      <c r="L699" s="108"/>
    </row>
    <row r="700" spans="11:12" ht="13.5" customHeight="1">
      <c r="K700" s="108"/>
      <c r="L700" s="108"/>
    </row>
    <row r="701" spans="11:12" ht="13.5" customHeight="1">
      <c r="K701" s="108"/>
      <c r="L701" s="108"/>
    </row>
    <row r="702" spans="11:12" ht="13.5" customHeight="1">
      <c r="K702" s="108"/>
      <c r="L702" s="108"/>
    </row>
    <row r="703" spans="11:12" ht="13.5" customHeight="1">
      <c r="K703" s="108"/>
      <c r="L703" s="108"/>
    </row>
    <row r="704" spans="11:12" ht="13.5" customHeight="1">
      <c r="K704" s="108"/>
      <c r="L704" s="108"/>
    </row>
    <row r="705" spans="11:12" ht="13.5" customHeight="1">
      <c r="K705" s="108"/>
      <c r="L705" s="108"/>
    </row>
    <row r="706" spans="11:12" ht="13.5" customHeight="1">
      <c r="K706" s="108"/>
      <c r="L706" s="108"/>
    </row>
    <row r="707" spans="11:12" ht="13.5" customHeight="1">
      <c r="K707" s="108"/>
      <c r="L707" s="108"/>
    </row>
    <row r="708" spans="11:12" ht="13.5" customHeight="1">
      <c r="K708" s="108"/>
      <c r="L708" s="108"/>
    </row>
    <row r="709" spans="11:12" ht="13.5" customHeight="1">
      <c r="K709" s="108"/>
      <c r="L709" s="108"/>
    </row>
    <row r="710" spans="11:12" ht="13.5" customHeight="1">
      <c r="K710" s="108"/>
      <c r="L710" s="108"/>
    </row>
    <row r="711" spans="11:12" ht="13.5" customHeight="1">
      <c r="K711" s="108"/>
      <c r="L711" s="108"/>
    </row>
    <row r="712" spans="11:12" ht="13.5" customHeight="1">
      <c r="K712" s="108"/>
      <c r="L712" s="108"/>
    </row>
    <row r="713" spans="11:12" ht="13.5" customHeight="1">
      <c r="K713" s="108"/>
      <c r="L713" s="108"/>
    </row>
    <row r="714" spans="11:12" ht="13.5" customHeight="1">
      <c r="K714" s="108"/>
      <c r="L714" s="108"/>
    </row>
    <row r="715" spans="11:12" ht="13.5" customHeight="1">
      <c r="K715" s="108"/>
      <c r="L715" s="108"/>
    </row>
    <row r="716" spans="11:12" ht="13.5" customHeight="1">
      <c r="K716" s="108"/>
      <c r="L716" s="108"/>
    </row>
    <row r="717" spans="11:12" ht="13.5" customHeight="1">
      <c r="K717" s="108"/>
      <c r="L717" s="108"/>
    </row>
    <row r="718" spans="11:12" ht="13.5" customHeight="1">
      <c r="K718" s="108"/>
      <c r="L718" s="108"/>
    </row>
    <row r="719" spans="11:12" ht="13.5" customHeight="1">
      <c r="K719" s="108"/>
      <c r="L719" s="108"/>
    </row>
    <row r="720" spans="11:12" ht="13.5" customHeight="1">
      <c r="K720" s="108"/>
      <c r="L720" s="108"/>
    </row>
    <row r="721" spans="11:12" ht="13.5" customHeight="1">
      <c r="K721" s="108"/>
      <c r="L721" s="108"/>
    </row>
    <row r="722" spans="11:12" ht="13.5" customHeight="1">
      <c r="K722" s="108"/>
      <c r="L722" s="108"/>
    </row>
    <row r="723" spans="11:12" ht="13.5" customHeight="1">
      <c r="K723" s="108"/>
      <c r="L723" s="108"/>
    </row>
    <row r="724" spans="11:12" ht="13.5" customHeight="1">
      <c r="K724" s="108"/>
      <c r="L724" s="108"/>
    </row>
    <row r="725" spans="11:12" ht="13.5" customHeight="1">
      <c r="K725" s="108"/>
      <c r="L725" s="108"/>
    </row>
    <row r="726" spans="11:12" ht="13.5" customHeight="1">
      <c r="K726" s="108"/>
      <c r="L726" s="108"/>
    </row>
    <row r="727" spans="11:12" ht="13.5" customHeight="1">
      <c r="K727" s="108"/>
      <c r="L727" s="108"/>
    </row>
    <row r="728" spans="11:12" ht="13.5" customHeight="1">
      <c r="K728" s="108"/>
      <c r="L728" s="108"/>
    </row>
    <row r="729" spans="11:12" ht="13.5" customHeight="1">
      <c r="K729" s="108"/>
      <c r="L729" s="108"/>
    </row>
    <row r="730" spans="11:12" ht="13.5" customHeight="1">
      <c r="K730" s="108"/>
      <c r="L730" s="108"/>
    </row>
    <row r="731" spans="11:12" ht="13.5" customHeight="1">
      <c r="K731" s="108"/>
      <c r="L731" s="108"/>
    </row>
    <row r="732" spans="11:12" ht="13.5" customHeight="1">
      <c r="K732" s="108"/>
      <c r="L732" s="108"/>
    </row>
    <row r="733" spans="11:12" ht="13.5" customHeight="1">
      <c r="K733" s="108"/>
      <c r="L733" s="108"/>
    </row>
    <row r="734" spans="11:12" ht="13.5" customHeight="1">
      <c r="K734" s="108"/>
      <c r="L734" s="108"/>
    </row>
    <row r="735" spans="11:12" ht="13.5" customHeight="1">
      <c r="K735" s="108"/>
      <c r="L735" s="108"/>
    </row>
    <row r="736" spans="11:12" ht="13.5" customHeight="1">
      <c r="K736" s="108"/>
      <c r="L736" s="108"/>
    </row>
    <row r="737" spans="11:12" ht="13.5" customHeight="1">
      <c r="K737" s="108"/>
      <c r="L737" s="108"/>
    </row>
    <row r="738" spans="11:12" ht="13.5" customHeight="1">
      <c r="K738" s="108"/>
      <c r="L738" s="108"/>
    </row>
    <row r="739" spans="11:12" ht="13.5" customHeight="1">
      <c r="K739" s="108"/>
      <c r="L739" s="108"/>
    </row>
    <row r="740" spans="11:12" ht="13.5" customHeight="1">
      <c r="K740" s="108"/>
      <c r="L740" s="108"/>
    </row>
    <row r="741" spans="11:12" ht="13.5" customHeight="1">
      <c r="K741" s="108"/>
      <c r="L741" s="108"/>
    </row>
    <row r="742" spans="11:12" ht="13.5" customHeight="1">
      <c r="K742" s="108"/>
      <c r="L742" s="108"/>
    </row>
    <row r="743" spans="11:12" ht="13.5" customHeight="1">
      <c r="K743" s="108"/>
      <c r="L743" s="108"/>
    </row>
    <row r="744" spans="11:12" ht="13.5" customHeight="1">
      <c r="K744" s="108"/>
      <c r="L744" s="108"/>
    </row>
    <row r="745" spans="11:12" ht="13.5" customHeight="1">
      <c r="K745" s="108"/>
      <c r="L745" s="108"/>
    </row>
    <row r="746" spans="11:12" ht="13.5" customHeight="1">
      <c r="K746" s="108"/>
      <c r="L746" s="108"/>
    </row>
    <row r="747" spans="11:12" ht="13.5" customHeight="1">
      <c r="K747" s="108"/>
      <c r="L747" s="108"/>
    </row>
    <row r="748" spans="11:12" ht="13.5" customHeight="1">
      <c r="K748" s="108"/>
      <c r="L748" s="108"/>
    </row>
    <row r="749" spans="11:12" ht="13.5" customHeight="1">
      <c r="K749" s="108"/>
      <c r="L749" s="108"/>
    </row>
    <row r="750" spans="11:12" ht="13.5" customHeight="1">
      <c r="K750" s="108"/>
      <c r="L750" s="108"/>
    </row>
    <row r="751" spans="11:12" ht="13.5" customHeight="1">
      <c r="K751" s="108"/>
      <c r="L751" s="108"/>
    </row>
    <row r="752" spans="11:12" ht="13.5" customHeight="1">
      <c r="K752" s="108"/>
      <c r="L752" s="108"/>
    </row>
    <row r="753" spans="11:12" ht="13.5" customHeight="1">
      <c r="K753" s="108"/>
      <c r="L753" s="108"/>
    </row>
    <row r="754" spans="11:12" ht="13.5" customHeight="1">
      <c r="K754" s="108"/>
      <c r="L754" s="108"/>
    </row>
    <row r="755" spans="11:12" ht="13.5" customHeight="1">
      <c r="K755" s="108"/>
      <c r="L755" s="108"/>
    </row>
    <row r="756" spans="11:12" ht="13.5" customHeight="1">
      <c r="K756" s="108"/>
      <c r="L756" s="108"/>
    </row>
    <row r="757" spans="11:12" ht="13.5" customHeight="1">
      <c r="K757" s="108"/>
      <c r="L757" s="108"/>
    </row>
    <row r="758" spans="11:12" ht="13.5" customHeight="1">
      <c r="K758" s="108"/>
      <c r="L758" s="108"/>
    </row>
    <row r="759" spans="11:12" ht="13.5" customHeight="1">
      <c r="K759" s="108"/>
      <c r="L759" s="108"/>
    </row>
    <row r="760" spans="11:12" ht="13.5" customHeight="1">
      <c r="K760" s="108"/>
      <c r="L760" s="108"/>
    </row>
    <row r="761" spans="11:12" ht="13.5" customHeight="1">
      <c r="K761" s="108"/>
      <c r="L761" s="108"/>
    </row>
    <row r="762" spans="11:12" ht="13.5" customHeight="1">
      <c r="K762" s="108"/>
      <c r="L762" s="108"/>
    </row>
    <row r="763" spans="11:12" ht="13.5" customHeight="1">
      <c r="K763" s="108"/>
      <c r="L763" s="108"/>
    </row>
    <row r="764" spans="11:12" ht="13.5" customHeight="1">
      <c r="K764" s="108"/>
      <c r="L764" s="108"/>
    </row>
    <row r="765" spans="11:12" ht="13.5" customHeight="1">
      <c r="K765" s="108"/>
      <c r="L765" s="108"/>
    </row>
    <row r="766" spans="11:12" ht="13.5" customHeight="1">
      <c r="K766" s="108"/>
      <c r="L766" s="108"/>
    </row>
    <row r="767" spans="11:12" ht="13.5" customHeight="1">
      <c r="K767" s="108"/>
      <c r="L767" s="108"/>
    </row>
    <row r="768" spans="11:12" ht="13.5" customHeight="1">
      <c r="K768" s="108"/>
      <c r="L768" s="108"/>
    </row>
    <row r="769" spans="11:12" ht="13.5" customHeight="1">
      <c r="K769" s="108"/>
      <c r="L769" s="108"/>
    </row>
    <row r="770" spans="11:12" ht="13.5" customHeight="1">
      <c r="K770" s="108"/>
      <c r="L770" s="108"/>
    </row>
    <row r="771" spans="11:12" ht="13.5" customHeight="1">
      <c r="K771" s="108"/>
      <c r="L771" s="108"/>
    </row>
    <row r="772" spans="11:12" ht="13.5" customHeight="1">
      <c r="K772" s="108"/>
      <c r="L772" s="108"/>
    </row>
    <row r="773" spans="11:12" ht="13.5" customHeight="1">
      <c r="K773" s="108"/>
      <c r="L773" s="108"/>
    </row>
    <row r="774" spans="11:12" ht="13.5" customHeight="1">
      <c r="K774" s="108"/>
      <c r="L774" s="108"/>
    </row>
    <row r="775" spans="11:12" ht="13.5" customHeight="1">
      <c r="K775" s="108"/>
      <c r="L775" s="108"/>
    </row>
    <row r="776" spans="11:12" ht="13.5" customHeight="1">
      <c r="K776" s="108"/>
      <c r="L776" s="108"/>
    </row>
    <row r="777" spans="11:12" ht="13.5" customHeight="1">
      <c r="K777" s="108"/>
      <c r="L777" s="108"/>
    </row>
    <row r="778" spans="11:12" ht="13.5" customHeight="1">
      <c r="K778" s="108"/>
      <c r="L778" s="108"/>
    </row>
    <row r="779" spans="11:12" ht="13.5" customHeight="1">
      <c r="K779" s="108"/>
      <c r="L779" s="108"/>
    </row>
    <row r="780" spans="11:12" ht="13.5" customHeight="1">
      <c r="K780" s="108"/>
      <c r="L780" s="108"/>
    </row>
    <row r="781" spans="11:12" ht="13.5" customHeight="1">
      <c r="K781" s="108"/>
      <c r="L781" s="108"/>
    </row>
    <row r="782" spans="11:12" ht="13.5" customHeight="1">
      <c r="K782" s="108"/>
      <c r="L782" s="108"/>
    </row>
    <row r="783" spans="11:12" ht="13.5" customHeight="1">
      <c r="K783" s="108"/>
      <c r="L783" s="108"/>
    </row>
    <row r="784" spans="11:12" ht="13.5" customHeight="1">
      <c r="K784" s="108"/>
      <c r="L784" s="108"/>
    </row>
    <row r="785" spans="11:12" ht="13.5" customHeight="1">
      <c r="K785" s="108"/>
      <c r="L785" s="108"/>
    </row>
    <row r="786" spans="11:12" ht="13.5" customHeight="1">
      <c r="K786" s="108"/>
      <c r="L786" s="108"/>
    </row>
    <row r="787" spans="11:12" ht="13.5" customHeight="1">
      <c r="K787" s="108"/>
      <c r="L787" s="108"/>
    </row>
    <row r="788" spans="11:12" ht="13.5" customHeight="1">
      <c r="K788" s="108"/>
      <c r="L788" s="108"/>
    </row>
    <row r="789" spans="11:12" ht="13.5" customHeight="1">
      <c r="K789" s="108"/>
      <c r="L789" s="108"/>
    </row>
    <row r="790" spans="11:12" ht="13.5" customHeight="1">
      <c r="K790" s="108"/>
      <c r="L790" s="108"/>
    </row>
    <row r="791" spans="11:12" ht="13.5" customHeight="1">
      <c r="K791" s="108"/>
      <c r="L791" s="108"/>
    </row>
    <row r="792" spans="11:12" ht="13.5" customHeight="1">
      <c r="K792" s="108"/>
      <c r="L792" s="108"/>
    </row>
    <row r="793" spans="11:12" ht="13.5" customHeight="1">
      <c r="K793" s="108"/>
      <c r="L793" s="108"/>
    </row>
    <row r="794" spans="11:12" ht="13.5" customHeight="1">
      <c r="K794" s="108"/>
      <c r="L794" s="108"/>
    </row>
    <row r="795" spans="11:12" ht="13.5" customHeight="1">
      <c r="K795" s="108"/>
      <c r="L795" s="108"/>
    </row>
    <row r="796" spans="11:12" ht="13.5" customHeight="1">
      <c r="K796" s="108"/>
      <c r="L796" s="108"/>
    </row>
    <row r="797" spans="11:12" ht="13.5" customHeight="1">
      <c r="K797" s="108"/>
      <c r="L797" s="108"/>
    </row>
    <row r="798" spans="11:12" ht="13.5" customHeight="1">
      <c r="K798" s="108"/>
      <c r="L798" s="108"/>
    </row>
    <row r="799" spans="11:12" ht="13.5" customHeight="1">
      <c r="K799" s="108"/>
      <c r="L799" s="108"/>
    </row>
    <row r="800" spans="11:12" ht="13.5" customHeight="1">
      <c r="K800" s="108"/>
      <c r="L800" s="108"/>
    </row>
    <row r="801" spans="11:12" ht="13.5" customHeight="1">
      <c r="K801" s="108"/>
      <c r="L801" s="108"/>
    </row>
    <row r="802" spans="11:12" ht="13.5" customHeight="1">
      <c r="K802" s="108"/>
      <c r="L802" s="108"/>
    </row>
    <row r="803" spans="11:12" ht="13.5" customHeight="1">
      <c r="K803" s="108"/>
      <c r="L803" s="108"/>
    </row>
    <row r="804" spans="11:12" ht="13.5" customHeight="1">
      <c r="K804" s="108"/>
      <c r="L804" s="108"/>
    </row>
    <row r="805" spans="11:12" ht="13.5" customHeight="1">
      <c r="K805" s="108"/>
      <c r="L805" s="108"/>
    </row>
    <row r="806" spans="11:12" ht="13.5" customHeight="1">
      <c r="K806" s="108"/>
      <c r="L806" s="108"/>
    </row>
    <row r="807" spans="11:12" ht="13.5" customHeight="1">
      <c r="K807" s="108"/>
      <c r="L807" s="108"/>
    </row>
    <row r="808" spans="11:12" ht="13.5" customHeight="1">
      <c r="K808" s="108"/>
      <c r="L808" s="108"/>
    </row>
    <row r="809" spans="11:12" ht="13.5" customHeight="1">
      <c r="K809" s="108"/>
      <c r="L809" s="108"/>
    </row>
    <row r="810" spans="11:12" ht="13.5" customHeight="1">
      <c r="K810" s="108"/>
      <c r="L810" s="108"/>
    </row>
    <row r="811" spans="11:12" ht="13.5" customHeight="1">
      <c r="K811" s="108"/>
      <c r="L811" s="108"/>
    </row>
    <row r="812" spans="11:12" ht="13.5" customHeight="1">
      <c r="K812" s="108"/>
      <c r="L812" s="108"/>
    </row>
    <row r="813" spans="11:12" ht="13.5" customHeight="1">
      <c r="K813" s="108"/>
      <c r="L813" s="108"/>
    </row>
    <row r="814" spans="11:12" ht="13.5" customHeight="1">
      <c r="K814" s="108"/>
      <c r="L814" s="108"/>
    </row>
    <row r="815" spans="11:12" ht="13.5" customHeight="1">
      <c r="K815" s="108"/>
      <c r="L815" s="108"/>
    </row>
    <row r="816" spans="11:12" ht="13.5" customHeight="1">
      <c r="K816" s="108"/>
      <c r="L816" s="108"/>
    </row>
    <row r="817" spans="11:12" ht="13.5" customHeight="1">
      <c r="K817" s="108"/>
      <c r="L817" s="108"/>
    </row>
    <row r="818" spans="11:12" ht="13.5" customHeight="1">
      <c r="K818" s="108"/>
      <c r="L818" s="108"/>
    </row>
    <row r="819" spans="11:12" ht="13.5" customHeight="1">
      <c r="K819" s="108"/>
      <c r="L819" s="108"/>
    </row>
    <row r="820" spans="11:12" ht="13.5" customHeight="1">
      <c r="K820" s="108"/>
      <c r="L820" s="108"/>
    </row>
    <row r="821" spans="11:12" ht="13.5" customHeight="1">
      <c r="K821" s="108"/>
      <c r="L821" s="108"/>
    </row>
    <row r="822" spans="11:12" ht="13.5" customHeight="1">
      <c r="K822" s="108"/>
      <c r="L822" s="108"/>
    </row>
    <row r="823" spans="11:12" ht="13.5" customHeight="1">
      <c r="K823" s="108"/>
      <c r="L823" s="108"/>
    </row>
    <row r="824" spans="11:12" ht="13.5" customHeight="1">
      <c r="K824" s="108"/>
      <c r="L824" s="108"/>
    </row>
    <row r="825" spans="11:12" ht="13.5" customHeight="1">
      <c r="K825" s="108"/>
      <c r="L825" s="108"/>
    </row>
    <row r="826" spans="11:12" ht="13.5" customHeight="1">
      <c r="K826" s="108"/>
      <c r="L826" s="108"/>
    </row>
    <row r="827" spans="11:12" ht="13.5" customHeight="1">
      <c r="K827" s="108"/>
      <c r="L827" s="108"/>
    </row>
    <row r="828" spans="11:12" ht="13.5" customHeight="1">
      <c r="K828" s="108"/>
      <c r="L828" s="108"/>
    </row>
    <row r="829" spans="11:12" ht="13.5" customHeight="1">
      <c r="K829" s="108"/>
      <c r="L829" s="108"/>
    </row>
    <row r="830" spans="11:12" ht="13.5" customHeight="1">
      <c r="K830" s="108"/>
      <c r="L830" s="108"/>
    </row>
    <row r="831" spans="11:12" ht="13.5" customHeight="1">
      <c r="K831" s="108"/>
      <c r="L831" s="108"/>
    </row>
    <row r="832" spans="11:12" ht="13.5" customHeight="1">
      <c r="K832" s="108"/>
      <c r="L832" s="108"/>
    </row>
    <row r="833" spans="11:12" ht="13.5" customHeight="1">
      <c r="K833" s="108"/>
      <c r="L833" s="108"/>
    </row>
    <row r="834" spans="11:12" ht="13.5" customHeight="1">
      <c r="K834" s="108"/>
      <c r="L834" s="108"/>
    </row>
    <row r="835" spans="11:12" ht="13.5" customHeight="1">
      <c r="K835" s="108"/>
      <c r="L835" s="108"/>
    </row>
    <row r="836" spans="11:12" ht="13.5" customHeight="1">
      <c r="K836" s="108"/>
      <c r="L836" s="108"/>
    </row>
    <row r="837" spans="11:12" ht="13.5" customHeight="1">
      <c r="K837" s="108"/>
      <c r="L837" s="108"/>
    </row>
    <row r="838" spans="11:12" ht="13.5" customHeight="1">
      <c r="K838" s="108"/>
      <c r="L838" s="108"/>
    </row>
    <row r="839" spans="11:12" ht="13.5" customHeight="1">
      <c r="K839" s="108"/>
      <c r="L839" s="108"/>
    </row>
    <row r="840" spans="11:12" ht="13.5" customHeight="1">
      <c r="K840" s="108"/>
      <c r="L840" s="108"/>
    </row>
    <row r="841" spans="11:12" ht="13.5" customHeight="1">
      <c r="K841" s="108"/>
      <c r="L841" s="108"/>
    </row>
    <row r="842" spans="11:12" ht="13.5" customHeight="1">
      <c r="K842" s="108"/>
      <c r="L842" s="108"/>
    </row>
    <row r="843" spans="11:12" ht="13.5" customHeight="1">
      <c r="K843" s="108"/>
      <c r="L843" s="108"/>
    </row>
    <row r="844" spans="11:12" ht="13.5" customHeight="1">
      <c r="K844" s="108"/>
      <c r="L844" s="108"/>
    </row>
    <row r="845" spans="11:12" ht="13.5" customHeight="1">
      <c r="K845" s="108"/>
      <c r="L845" s="108"/>
    </row>
    <row r="846" spans="11:12" ht="13.5" customHeight="1">
      <c r="K846" s="108"/>
      <c r="L846" s="108"/>
    </row>
    <row r="847" spans="11:12" ht="13.5" customHeight="1">
      <c r="K847" s="108"/>
      <c r="L847" s="108"/>
    </row>
    <row r="848" spans="11:12" ht="13.5" customHeight="1">
      <c r="K848" s="108"/>
      <c r="L848" s="108"/>
    </row>
    <row r="849" spans="11:12" ht="13.5" customHeight="1">
      <c r="K849" s="108"/>
      <c r="L849" s="108"/>
    </row>
    <row r="850" spans="11:12" ht="13.5" customHeight="1">
      <c r="K850" s="108"/>
      <c r="L850" s="108"/>
    </row>
    <row r="851" spans="11:12" ht="13.5" customHeight="1">
      <c r="K851" s="108"/>
      <c r="L851" s="108"/>
    </row>
    <row r="852" spans="11:12" ht="13.5" customHeight="1">
      <c r="K852" s="108"/>
      <c r="L852" s="108"/>
    </row>
    <row r="853" spans="11:12" ht="13.5" customHeight="1">
      <c r="K853" s="108"/>
      <c r="L853" s="108"/>
    </row>
    <row r="854" spans="11:12" ht="13.5" customHeight="1">
      <c r="K854" s="108"/>
      <c r="L854" s="108"/>
    </row>
    <row r="855" spans="11:12" ht="13.5" customHeight="1">
      <c r="K855" s="108"/>
      <c r="L855" s="108"/>
    </row>
    <row r="856" spans="11:12" ht="13.5" customHeight="1">
      <c r="K856" s="108"/>
      <c r="L856" s="108"/>
    </row>
    <row r="857" spans="11:12" ht="13.5" customHeight="1">
      <c r="K857" s="108"/>
      <c r="L857" s="108"/>
    </row>
    <row r="858" spans="11:12" ht="13.5" customHeight="1">
      <c r="K858" s="108"/>
      <c r="L858" s="108"/>
    </row>
    <row r="859" spans="11:12" ht="13.5" customHeight="1">
      <c r="K859" s="108"/>
      <c r="L859" s="108"/>
    </row>
    <row r="860" spans="11:12" ht="13.5" customHeight="1">
      <c r="K860" s="108"/>
      <c r="L860" s="108"/>
    </row>
    <row r="861" spans="11:12" ht="13.5" customHeight="1">
      <c r="K861" s="108"/>
      <c r="L861" s="108"/>
    </row>
    <row r="862" spans="11:12" ht="13.5" customHeight="1">
      <c r="K862" s="108"/>
      <c r="L862" s="108"/>
    </row>
    <row r="863" spans="11:12" ht="13.5" customHeight="1">
      <c r="K863" s="108"/>
      <c r="L863" s="108"/>
    </row>
    <row r="864" spans="11:12" ht="13.5" customHeight="1">
      <c r="K864" s="108"/>
      <c r="L864" s="108"/>
    </row>
    <row r="865" spans="11:12" ht="13.5" customHeight="1">
      <c r="K865" s="108"/>
      <c r="L865" s="108"/>
    </row>
    <row r="866" spans="11:12" ht="13.5" customHeight="1">
      <c r="K866" s="108"/>
      <c r="L866" s="108"/>
    </row>
    <row r="867" spans="11:12" ht="13.5" customHeight="1">
      <c r="K867" s="108"/>
      <c r="L867" s="108"/>
    </row>
    <row r="868" spans="11:12" ht="13.5" customHeight="1">
      <c r="K868" s="108"/>
      <c r="L868" s="108"/>
    </row>
    <row r="869" spans="11:12" ht="13.5" customHeight="1">
      <c r="K869" s="108"/>
      <c r="L869" s="108"/>
    </row>
    <row r="870" spans="11:12" ht="13.5" customHeight="1">
      <c r="K870" s="108"/>
      <c r="L870" s="108"/>
    </row>
    <row r="871" spans="11:12" ht="13.5" customHeight="1">
      <c r="K871" s="108"/>
      <c r="L871" s="108"/>
    </row>
    <row r="872" spans="11:12" ht="13.5" customHeight="1">
      <c r="K872" s="108"/>
      <c r="L872" s="108"/>
    </row>
    <row r="873" spans="11:12" ht="13.5" customHeight="1">
      <c r="K873" s="108"/>
      <c r="L873" s="108"/>
    </row>
    <row r="874" spans="11:12" ht="13.5" customHeight="1">
      <c r="K874" s="108"/>
      <c r="L874" s="108"/>
    </row>
    <row r="875" spans="11:12" ht="13.5" customHeight="1">
      <c r="K875" s="108"/>
      <c r="L875" s="108"/>
    </row>
    <row r="876" spans="11:12" ht="13.5" customHeight="1">
      <c r="K876" s="108"/>
      <c r="L876" s="108"/>
    </row>
    <row r="877" spans="11:12" ht="13.5" customHeight="1">
      <c r="K877" s="108"/>
      <c r="L877" s="108"/>
    </row>
    <row r="878" spans="11:12" ht="13.5" customHeight="1">
      <c r="K878" s="108"/>
      <c r="L878" s="108"/>
    </row>
    <row r="879" spans="11:12" ht="13.5" customHeight="1">
      <c r="K879" s="108"/>
      <c r="L879" s="108"/>
    </row>
    <row r="880" spans="11:12" ht="13.5" customHeight="1">
      <c r="K880" s="108"/>
      <c r="L880" s="108"/>
    </row>
    <row r="881" spans="11:12" ht="13.5" customHeight="1">
      <c r="K881" s="108"/>
      <c r="L881" s="108"/>
    </row>
    <row r="882" spans="11:12" ht="13.5" customHeight="1">
      <c r="K882" s="108"/>
      <c r="L882" s="108"/>
    </row>
    <row r="883" spans="11:12" ht="13.5" customHeight="1">
      <c r="K883" s="108"/>
      <c r="L883" s="108"/>
    </row>
    <row r="884" spans="11:12" ht="13.5" customHeight="1">
      <c r="K884" s="108"/>
      <c r="L884" s="108"/>
    </row>
    <row r="885" spans="11:12" ht="13.5" customHeight="1">
      <c r="K885" s="108"/>
      <c r="L885" s="108"/>
    </row>
    <row r="886" spans="11:12" ht="13.5" customHeight="1">
      <c r="K886" s="108"/>
      <c r="L886" s="108"/>
    </row>
    <row r="887" spans="11:12" ht="13.5" customHeight="1">
      <c r="K887" s="108"/>
      <c r="L887" s="108"/>
    </row>
    <row r="888" spans="11:12" ht="13.5" customHeight="1">
      <c r="K888" s="108"/>
      <c r="L888" s="108"/>
    </row>
    <row r="889" spans="11:12" ht="13.5" customHeight="1">
      <c r="K889" s="108"/>
      <c r="L889" s="108"/>
    </row>
    <row r="890" spans="11:12" ht="13.5" customHeight="1">
      <c r="K890" s="108"/>
      <c r="L890" s="108"/>
    </row>
    <row r="891" spans="11:12" ht="13.5" customHeight="1">
      <c r="K891" s="108"/>
      <c r="L891" s="108"/>
    </row>
    <row r="892" spans="11:12" ht="13.5" customHeight="1">
      <c r="K892" s="108"/>
      <c r="L892" s="108"/>
    </row>
    <row r="893" spans="11:12" ht="13.5" customHeight="1">
      <c r="K893" s="108"/>
      <c r="L893" s="108"/>
    </row>
    <row r="894" spans="11:12" ht="13.5" customHeight="1">
      <c r="K894" s="108"/>
      <c r="L894" s="108"/>
    </row>
    <row r="895" spans="11:12" ht="13.5" customHeight="1">
      <c r="K895" s="108"/>
      <c r="L895" s="108"/>
    </row>
    <row r="896" spans="11:12" ht="13.5" customHeight="1">
      <c r="K896" s="108"/>
      <c r="L896" s="108"/>
    </row>
    <row r="897" spans="11:12" ht="13.5" customHeight="1">
      <c r="K897" s="108"/>
      <c r="L897" s="108"/>
    </row>
    <row r="898" spans="11:12" ht="13.5" customHeight="1">
      <c r="K898" s="108"/>
      <c r="L898" s="108"/>
    </row>
    <row r="899" spans="11:12" ht="13.5" customHeight="1">
      <c r="K899" s="108"/>
      <c r="L899" s="108"/>
    </row>
    <row r="900" spans="11:12" ht="13.5" customHeight="1">
      <c r="K900" s="108"/>
      <c r="L900" s="108"/>
    </row>
    <row r="901" spans="11:12" ht="13.5" customHeight="1">
      <c r="K901" s="108"/>
      <c r="L901" s="108"/>
    </row>
    <row r="902" spans="11:12" ht="13.5" customHeight="1">
      <c r="K902" s="108"/>
      <c r="L902" s="108"/>
    </row>
    <row r="903" spans="11:12" ht="13.5" customHeight="1">
      <c r="K903" s="108"/>
      <c r="L903" s="108"/>
    </row>
    <row r="904" spans="11:12" ht="13.5" customHeight="1">
      <c r="K904" s="108"/>
      <c r="L904" s="108"/>
    </row>
    <row r="905" spans="11:12" ht="13.5" customHeight="1">
      <c r="K905" s="108"/>
      <c r="L905" s="108"/>
    </row>
    <row r="906" spans="11:12" ht="13.5" customHeight="1">
      <c r="K906" s="108"/>
      <c r="L906" s="108"/>
    </row>
    <row r="907" spans="11:12" ht="13.5" customHeight="1">
      <c r="K907" s="108"/>
      <c r="L907" s="108"/>
    </row>
    <row r="908" spans="11:12" ht="13.5" customHeight="1">
      <c r="K908" s="108"/>
      <c r="L908" s="108"/>
    </row>
    <row r="909" spans="11:12" ht="13.5" customHeight="1">
      <c r="K909" s="108"/>
      <c r="L909" s="108"/>
    </row>
    <row r="910" spans="11:12" ht="13.5" customHeight="1">
      <c r="K910" s="108"/>
      <c r="L910" s="108"/>
    </row>
    <row r="911" spans="11:12" ht="13.5" customHeight="1">
      <c r="K911" s="108"/>
      <c r="L911" s="108"/>
    </row>
    <row r="912" spans="11:12" ht="13.5" customHeight="1">
      <c r="K912" s="108"/>
      <c r="L912" s="108"/>
    </row>
    <row r="913" spans="11:12" ht="13.5" customHeight="1">
      <c r="K913" s="108"/>
      <c r="L913" s="108"/>
    </row>
    <row r="914" spans="11:12" ht="13.5" customHeight="1">
      <c r="K914" s="108"/>
      <c r="L914" s="108"/>
    </row>
    <row r="915" spans="11:12" ht="13.5" customHeight="1">
      <c r="K915" s="108"/>
      <c r="L915" s="108"/>
    </row>
    <row r="916" spans="11:12" ht="13.5" customHeight="1">
      <c r="K916" s="108"/>
      <c r="L916" s="108"/>
    </row>
    <row r="917" spans="11:12" ht="13.5" customHeight="1">
      <c r="K917" s="108"/>
      <c r="L917" s="108"/>
    </row>
    <row r="918" spans="11:12" ht="13.5" customHeight="1">
      <c r="K918" s="108"/>
      <c r="L918" s="108"/>
    </row>
    <row r="919" spans="11:12" ht="13.5" customHeight="1">
      <c r="K919" s="108"/>
      <c r="L919" s="108"/>
    </row>
    <row r="920" spans="11:12" ht="13.5" customHeight="1">
      <c r="K920" s="108"/>
      <c r="L920" s="108"/>
    </row>
    <row r="921" spans="11:12" ht="13.5" customHeight="1">
      <c r="K921" s="108"/>
      <c r="L921" s="108"/>
    </row>
    <row r="922" spans="11:12" ht="13.5" customHeight="1">
      <c r="K922" s="108"/>
      <c r="L922" s="108"/>
    </row>
    <row r="923" spans="11:12" ht="13.5" customHeight="1">
      <c r="K923" s="108"/>
      <c r="L923" s="108"/>
    </row>
    <row r="924" spans="11:12" ht="13.5" customHeight="1">
      <c r="K924" s="108"/>
      <c r="L924" s="108"/>
    </row>
    <row r="925" spans="11:12" ht="13.5" customHeight="1">
      <c r="K925" s="108"/>
      <c r="L925" s="108"/>
    </row>
    <row r="926" spans="11:12" ht="13.5" customHeight="1">
      <c r="K926" s="108"/>
      <c r="L926" s="108"/>
    </row>
    <row r="927" spans="11:12" ht="13.5" customHeight="1">
      <c r="K927" s="108"/>
      <c r="L927" s="108"/>
    </row>
    <row r="928" spans="11:12" ht="13.5" customHeight="1">
      <c r="K928" s="108"/>
      <c r="L928" s="108"/>
    </row>
    <row r="929" spans="11:12" ht="13.5" customHeight="1">
      <c r="K929" s="108"/>
      <c r="L929" s="108"/>
    </row>
    <row r="930" spans="11:12" ht="13.5" customHeight="1">
      <c r="K930" s="108"/>
      <c r="L930" s="108"/>
    </row>
    <row r="931" spans="11:12" ht="13.5" customHeight="1">
      <c r="K931" s="108"/>
      <c r="L931" s="108"/>
    </row>
    <row r="932" spans="11:12" ht="13.5" customHeight="1">
      <c r="K932" s="108"/>
      <c r="L932" s="108"/>
    </row>
    <row r="933" spans="11:12" ht="13.5" customHeight="1">
      <c r="K933" s="108"/>
      <c r="L933" s="108"/>
    </row>
    <row r="934" spans="11:12" ht="13.5" customHeight="1">
      <c r="K934" s="108"/>
      <c r="L934" s="108"/>
    </row>
    <row r="935" spans="11:12" ht="13.5" customHeight="1">
      <c r="K935" s="108"/>
      <c r="L935" s="108"/>
    </row>
    <row r="936" spans="11:12" ht="13.5" customHeight="1">
      <c r="K936" s="108"/>
      <c r="L936" s="108"/>
    </row>
    <row r="937" spans="11:12" ht="13.5" customHeight="1">
      <c r="K937" s="108"/>
      <c r="L937" s="108"/>
    </row>
    <row r="938" spans="11:12" ht="13.5" customHeight="1">
      <c r="K938" s="108"/>
      <c r="L938" s="108"/>
    </row>
    <row r="939" spans="11:12" ht="13.5" customHeight="1">
      <c r="K939" s="108"/>
      <c r="L939" s="108"/>
    </row>
    <row r="940" spans="11:12" ht="13.5" customHeight="1">
      <c r="K940" s="108"/>
      <c r="L940" s="108"/>
    </row>
    <row r="941" spans="11:12" ht="13.5" customHeight="1">
      <c r="K941" s="108"/>
      <c r="L941" s="108"/>
    </row>
    <row r="942" spans="11:12" ht="13.5" customHeight="1">
      <c r="K942" s="108"/>
      <c r="L942" s="108"/>
    </row>
    <row r="943" spans="11:12" ht="13.5" customHeight="1">
      <c r="K943" s="108"/>
      <c r="L943" s="108"/>
    </row>
    <row r="944" spans="11:12" ht="13.5" customHeight="1">
      <c r="K944" s="108"/>
      <c r="L944" s="108"/>
    </row>
    <row r="945" spans="11:12" ht="13.5" customHeight="1">
      <c r="K945" s="108"/>
      <c r="L945" s="108"/>
    </row>
    <row r="946" spans="11:12" ht="13.5" customHeight="1">
      <c r="K946" s="108"/>
      <c r="L946" s="108"/>
    </row>
    <row r="947" spans="11:12" ht="13.5" customHeight="1">
      <c r="K947" s="108"/>
      <c r="L947" s="108"/>
    </row>
    <row r="948" spans="11:12" ht="13.5" customHeight="1">
      <c r="K948" s="108"/>
      <c r="L948" s="108"/>
    </row>
    <row r="949" spans="11:12" ht="13.5" customHeight="1">
      <c r="K949" s="108"/>
      <c r="L949" s="108"/>
    </row>
    <row r="950" spans="11:12" ht="13.5" customHeight="1">
      <c r="K950" s="108"/>
      <c r="L950" s="108"/>
    </row>
    <row r="951" spans="11:12" ht="13.5" customHeight="1">
      <c r="K951" s="108"/>
      <c r="L951" s="108"/>
    </row>
    <row r="952" spans="11:12" ht="13.5" customHeight="1">
      <c r="K952" s="108"/>
      <c r="L952" s="108"/>
    </row>
    <row r="953" spans="11:12" ht="13.5" customHeight="1">
      <c r="K953" s="108"/>
      <c r="L953" s="108"/>
    </row>
    <row r="954" spans="11:12" ht="13.5" customHeight="1">
      <c r="K954" s="108"/>
      <c r="L954" s="108"/>
    </row>
    <row r="955" spans="11:12" ht="13.5" customHeight="1">
      <c r="K955" s="108"/>
      <c r="L955" s="108"/>
    </row>
    <row r="956" spans="11:12" ht="13.5" customHeight="1">
      <c r="K956" s="108"/>
      <c r="L956" s="108"/>
    </row>
    <row r="957" spans="11:12" ht="13.5" customHeight="1">
      <c r="K957" s="108"/>
      <c r="L957" s="108"/>
    </row>
    <row r="958" spans="11:12" ht="13.5" customHeight="1">
      <c r="K958" s="108"/>
      <c r="L958" s="108"/>
    </row>
    <row r="959" spans="11:12" ht="13.5" customHeight="1">
      <c r="K959" s="108"/>
      <c r="L959" s="108"/>
    </row>
    <row r="960" spans="11:12" ht="13.5" customHeight="1">
      <c r="K960" s="108"/>
      <c r="L960" s="108"/>
    </row>
    <row r="961" spans="11:12" ht="13.5" customHeight="1">
      <c r="K961" s="108"/>
      <c r="L961" s="108"/>
    </row>
    <row r="962" spans="11:12" ht="13.5" customHeight="1">
      <c r="K962" s="108"/>
      <c r="L962" s="108"/>
    </row>
    <row r="963" spans="11:12" ht="13.5" customHeight="1">
      <c r="K963" s="108"/>
      <c r="L963" s="108"/>
    </row>
    <row r="964" spans="11:12" ht="13.5" customHeight="1">
      <c r="K964" s="108"/>
      <c r="L964" s="108"/>
    </row>
    <row r="965" spans="11:12" ht="13.5" customHeight="1">
      <c r="K965" s="108"/>
      <c r="L965" s="108"/>
    </row>
    <row r="966" spans="11:12" ht="13.5" customHeight="1">
      <c r="K966" s="108"/>
      <c r="L966" s="108"/>
    </row>
    <row r="967" spans="11:12" ht="13.5" customHeight="1">
      <c r="K967" s="108"/>
      <c r="L967" s="108"/>
    </row>
    <row r="968" spans="11:12" ht="13.5" customHeight="1">
      <c r="K968" s="108"/>
      <c r="L968" s="108"/>
    </row>
    <row r="969" spans="11:12" ht="13.5" customHeight="1">
      <c r="K969" s="108"/>
      <c r="L969" s="108"/>
    </row>
    <row r="970" spans="11:12" ht="13.5" customHeight="1">
      <c r="K970" s="108"/>
      <c r="L970" s="108"/>
    </row>
    <row r="971" spans="11:12" ht="13.5" customHeight="1">
      <c r="K971" s="108"/>
      <c r="L971" s="108"/>
    </row>
    <row r="972" spans="11:12" ht="13.5" customHeight="1">
      <c r="K972" s="108"/>
      <c r="L972" s="108"/>
    </row>
    <row r="973" spans="11:12" ht="13.5" customHeight="1">
      <c r="K973" s="108"/>
      <c r="L973" s="108"/>
    </row>
    <row r="974" spans="11:12" ht="13.5" customHeight="1">
      <c r="K974" s="108"/>
      <c r="L974" s="108"/>
    </row>
    <row r="975" spans="11:12" ht="13.5" customHeight="1">
      <c r="K975" s="108"/>
      <c r="L975" s="108"/>
    </row>
    <row r="976" spans="11:12" ht="13.5" customHeight="1">
      <c r="K976" s="108"/>
      <c r="L976" s="108"/>
    </row>
    <row r="977" spans="11:12" ht="13.5" customHeight="1">
      <c r="K977" s="108"/>
      <c r="L977" s="108"/>
    </row>
    <row r="978" spans="11:12" ht="13.5" customHeight="1">
      <c r="K978" s="108"/>
      <c r="L978" s="108"/>
    </row>
    <row r="979" spans="11:12" ht="13.5" customHeight="1">
      <c r="K979" s="108"/>
      <c r="L979" s="108"/>
    </row>
    <row r="980" spans="11:12" ht="13.5" customHeight="1">
      <c r="K980" s="108"/>
      <c r="L980" s="108"/>
    </row>
    <row r="981" spans="11:12" ht="13.5" customHeight="1">
      <c r="K981" s="108"/>
      <c r="L981" s="108"/>
    </row>
    <row r="982" spans="11:12" ht="13.5" customHeight="1">
      <c r="K982" s="108"/>
      <c r="L982" s="108"/>
    </row>
    <row r="983" spans="11:12" ht="13.5" customHeight="1">
      <c r="K983" s="108"/>
      <c r="L983" s="108"/>
    </row>
    <row r="984" spans="11:12" ht="13.5" customHeight="1">
      <c r="K984" s="108"/>
      <c r="L984" s="108"/>
    </row>
    <row r="985" spans="11:12" ht="13.5" customHeight="1">
      <c r="K985" s="108"/>
      <c r="L985" s="108"/>
    </row>
    <row r="986" spans="11:12" ht="13.5" customHeight="1">
      <c r="K986" s="108"/>
      <c r="L986" s="108"/>
    </row>
    <row r="987" spans="11:12" ht="13.5" customHeight="1">
      <c r="K987" s="108"/>
      <c r="L987" s="108"/>
    </row>
    <row r="988" spans="11:12" ht="13.5" customHeight="1">
      <c r="K988" s="108"/>
      <c r="L988" s="108"/>
    </row>
    <row r="989" spans="11:12" ht="13.5" customHeight="1">
      <c r="K989" s="108"/>
      <c r="L989" s="108"/>
    </row>
    <row r="990" spans="11:12" ht="13.5" customHeight="1">
      <c r="K990" s="108"/>
      <c r="L990" s="108"/>
    </row>
    <row r="991" spans="11:12" ht="13.5" customHeight="1">
      <c r="K991" s="108"/>
      <c r="L991" s="108"/>
    </row>
    <row r="992" spans="11:12" ht="13.5" customHeight="1">
      <c r="K992" s="108"/>
      <c r="L992" s="108"/>
    </row>
    <row r="993" spans="11:12" ht="13.5" customHeight="1">
      <c r="K993" s="108"/>
      <c r="L993" s="108"/>
    </row>
    <row r="994" spans="11:12" ht="13.5" customHeight="1">
      <c r="K994" s="108"/>
      <c r="L994" s="108"/>
    </row>
    <row r="995" spans="11:12" ht="13.5" customHeight="1">
      <c r="K995" s="108"/>
      <c r="L995" s="108"/>
    </row>
    <row r="996" spans="11:12" ht="13.5" customHeight="1">
      <c r="K996" s="108"/>
      <c r="L996" s="108"/>
    </row>
    <row r="997" spans="11:12" ht="13.5" customHeight="1">
      <c r="K997" s="108"/>
      <c r="L997" s="108"/>
    </row>
    <row r="998" spans="11:12" ht="13.5" customHeight="1">
      <c r="K998" s="108"/>
      <c r="L998" s="108"/>
    </row>
    <row r="999" spans="11:12" ht="13.5" customHeight="1">
      <c r="K999" s="108"/>
      <c r="L999" s="108"/>
    </row>
    <row r="1000" spans="11:12" ht="13.5" customHeight="1">
      <c r="K1000" s="108"/>
      <c r="L1000" s="10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Base</vt:lpstr>
      <vt:lpstr>Facturación mensual</vt:lpstr>
      <vt:lpstr>2025-05-19</vt:lpstr>
      <vt:lpstr>2025-05-12</vt:lpstr>
      <vt:lpstr>2025-05-05</vt:lpstr>
      <vt:lpstr>2025-04-23</vt:lpstr>
      <vt:lpstr>2025-04-15</vt:lpstr>
      <vt:lpstr>26.03</vt:lpstr>
      <vt:lpstr>12.03</vt:lpstr>
      <vt:lpstr>19.02</vt:lpstr>
      <vt:lpstr>05.02</vt:lpstr>
      <vt:lpstr>22.01</vt:lpstr>
      <vt:lpstr>15.01</vt:lpstr>
      <vt:lpstr>Mes-Tienda</vt:lpstr>
      <vt:lpstr>País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2025-01-15T19:41:31Z</dcterms:created>
  <dcterms:modified xsi:type="dcterms:W3CDTF">2025-05-20T18:21:43Z</dcterms:modified>
</cp:coreProperties>
</file>