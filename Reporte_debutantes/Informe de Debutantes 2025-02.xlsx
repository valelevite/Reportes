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0A2F725AA4268/Escritorio/Reportes/Debutantes/"/>
    </mc:Choice>
  </mc:AlternateContent>
  <xr:revisionPtr revIDLastSave="789" documentId="8_{BB61F661-D11B-4ACA-AFAF-1673FBEE96DE}" xr6:coauthVersionLast="47" xr6:coauthVersionMax="47" xr10:uidLastSave="{0BEF2C8D-A31A-421A-BEB9-DEAE4696E3EF}"/>
  <bookViews>
    <workbookView xWindow="-108" yWindow="-108" windowWidth="23256" windowHeight="12456" xr2:uid="{C4B3CEFC-78B5-46BB-86DE-AC166D4D50CA}"/>
  </bookViews>
  <sheets>
    <sheet name="Base" sheetId="3" r:id="rId1"/>
    <sheet name="15.01" sheetId="1" r:id="rId2"/>
    <sheet name="22.01" sheetId="2" r:id="rId3"/>
    <sheet name="05.02" sheetId="6" r:id="rId4"/>
    <sheet name="19.02" sheetId="7" r:id="rId5"/>
    <sheet name="12.03" sheetId="8" r:id="rId6"/>
    <sheet name="26.03" sheetId="9" r:id="rId7"/>
    <sheet name="Mes-Tienda" sheetId="4" state="hidden" r:id="rId8"/>
    <sheet name="País" sheetId="5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" l="1"/>
  <c r="D31" i="3" l="1"/>
  <c r="E31" i="3" s="1"/>
  <c r="F31" i="3" s="1"/>
  <c r="G31" i="3" s="1"/>
  <c r="H31" i="3" s="1"/>
  <c r="I31" i="3" s="1"/>
  <c r="J31" i="3" s="1"/>
  <c r="K31" i="3" s="1"/>
  <c r="L31" i="3" s="1"/>
  <c r="M31" i="3" s="1"/>
  <c r="N31" i="3" s="1"/>
  <c r="O31" i="3" s="1"/>
  <c r="D30" i="3"/>
  <c r="E30" i="3" s="1"/>
  <c r="F30" i="3" s="1"/>
  <c r="G30" i="3" s="1"/>
  <c r="H30" i="3" s="1"/>
  <c r="I30" i="3" s="1"/>
  <c r="J30" i="3" s="1"/>
  <c r="K30" i="3" s="1"/>
  <c r="L30" i="3" s="1"/>
  <c r="M30" i="3" s="1"/>
  <c r="N30" i="3" s="1"/>
  <c r="O30" i="3" s="1"/>
  <c r="D29" i="3"/>
  <c r="E29" i="3" s="1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D28" i="3"/>
  <c r="E28" i="3" s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D27" i="3"/>
  <c r="E27" i="3" s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D26" i="3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D25" i="3"/>
  <c r="E25" i="3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K49" i="9"/>
  <c r="K50" i="9"/>
  <c r="K47" i="9"/>
  <c r="J47" i="9"/>
  <c r="C47" i="9"/>
  <c r="D47" i="9"/>
  <c r="E47" i="9"/>
  <c r="F49" i="9"/>
  <c r="F48" i="9"/>
  <c r="F53" i="9"/>
  <c r="F52" i="9"/>
  <c r="F51" i="9"/>
  <c r="F50" i="9"/>
  <c r="K48" i="9"/>
  <c r="B47" i="9"/>
  <c r="C38" i="9"/>
  <c r="D38" i="9"/>
  <c r="E38" i="9"/>
  <c r="F38" i="9"/>
  <c r="K40" i="9"/>
  <c r="K41" i="9"/>
  <c r="J38" i="9"/>
  <c r="K39" i="9"/>
  <c r="K38" i="9" s="1"/>
  <c r="F42" i="9"/>
  <c r="F39" i="9"/>
  <c r="F40" i="9"/>
  <c r="F43" i="9"/>
  <c r="F41" i="9"/>
  <c r="B38" i="9"/>
  <c r="F30" i="9"/>
  <c r="F31" i="9"/>
  <c r="F32" i="9"/>
  <c r="F33" i="9"/>
  <c r="F34" i="9"/>
  <c r="F29" i="9"/>
  <c r="C28" i="9"/>
  <c r="D28" i="9"/>
  <c r="E28" i="9"/>
  <c r="B28" i="9"/>
  <c r="F47" i="9" l="1"/>
  <c r="G50" i="9" s="1"/>
  <c r="G42" i="9"/>
  <c r="G41" i="9"/>
  <c r="F28" i="9"/>
  <c r="G48" i="9" l="1"/>
  <c r="G53" i="9"/>
  <c r="G52" i="9"/>
  <c r="G51" i="9"/>
  <c r="G49" i="9"/>
  <c r="G47" i="9"/>
  <c r="G39" i="9"/>
  <c r="G40" i="9"/>
  <c r="G43" i="9"/>
  <c r="J28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D24" i="3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4" i="8"/>
  <c r="G38" i="9" l="1"/>
  <c r="K29" i="9"/>
  <c r="K28" i="9" s="1"/>
  <c r="J36" i="8"/>
  <c r="K38" i="8" s="1"/>
  <c r="L23" i="3"/>
  <c r="M23" i="3" s="1"/>
  <c r="N23" i="3" s="1"/>
  <c r="O23" i="3" s="1"/>
  <c r="F46" i="8"/>
  <c r="F45" i="8" s="1"/>
  <c r="J45" i="8"/>
  <c r="K46" i="8" s="1"/>
  <c r="K45" i="8" s="1"/>
  <c r="E45" i="8"/>
  <c r="D45" i="8"/>
  <c r="C45" i="8"/>
  <c r="B45" i="8"/>
  <c r="F41" i="8"/>
  <c r="F40" i="8"/>
  <c r="F39" i="8"/>
  <c r="F38" i="8"/>
  <c r="F37" i="8"/>
  <c r="E36" i="8"/>
  <c r="D36" i="8"/>
  <c r="C36" i="8"/>
  <c r="B36" i="8"/>
  <c r="F32" i="8"/>
  <c r="F31" i="8"/>
  <c r="F30" i="8"/>
  <c r="F29" i="8"/>
  <c r="F28" i="8"/>
  <c r="J27" i="8"/>
  <c r="K28" i="8" s="1"/>
  <c r="K27" i="8" s="1"/>
  <c r="E27" i="8"/>
  <c r="D27" i="8"/>
  <c r="C27" i="8"/>
  <c r="B27" i="8"/>
  <c r="D23" i="3"/>
  <c r="E23" i="3" s="1"/>
  <c r="F23" i="3" s="1"/>
  <c r="G23" i="3" s="1"/>
  <c r="H23" i="3" s="1"/>
  <c r="I23" i="3" s="1"/>
  <c r="J23" i="3" s="1"/>
  <c r="K23" i="3" s="1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G29" i="9" l="1"/>
  <c r="G30" i="9"/>
  <c r="G32" i="9"/>
  <c r="G34" i="9"/>
  <c r="G31" i="9"/>
  <c r="G33" i="9"/>
  <c r="K37" i="8"/>
  <c r="K36" i="8" s="1"/>
  <c r="F27" i="8"/>
  <c r="G29" i="8" s="1"/>
  <c r="F36" i="8"/>
  <c r="G37" i="8" s="1"/>
  <c r="G46" i="8"/>
  <c r="G45" i="8" s="1"/>
  <c r="J30" i="7"/>
  <c r="K24" i="7"/>
  <c r="K16" i="7"/>
  <c r="K17" i="7"/>
  <c r="G41" i="7"/>
  <c r="G39" i="7" s="1"/>
  <c r="G42" i="7"/>
  <c r="G43" i="7"/>
  <c r="G44" i="7"/>
  <c r="G32" i="7"/>
  <c r="G33" i="7"/>
  <c r="G34" i="7"/>
  <c r="G35" i="7"/>
  <c r="G24" i="7"/>
  <c r="G25" i="7"/>
  <c r="G26" i="7"/>
  <c r="G16" i="7"/>
  <c r="G17" i="7"/>
  <c r="G18" i="7"/>
  <c r="C48" i="7"/>
  <c r="D48" i="7"/>
  <c r="E48" i="7"/>
  <c r="F48" i="7"/>
  <c r="C39" i="7"/>
  <c r="D39" i="7"/>
  <c r="E39" i="7"/>
  <c r="F39" i="7"/>
  <c r="G40" i="7" s="1"/>
  <c r="B39" i="7"/>
  <c r="C30" i="7"/>
  <c r="D30" i="7"/>
  <c r="E30" i="7"/>
  <c r="F30" i="7"/>
  <c r="B30" i="7"/>
  <c r="C22" i="7"/>
  <c r="D22" i="7"/>
  <c r="E22" i="7"/>
  <c r="F22" i="7"/>
  <c r="C14" i="7"/>
  <c r="D14" i="7"/>
  <c r="E14" i="7"/>
  <c r="F14" i="7"/>
  <c r="K49" i="7"/>
  <c r="K48" i="7" s="1"/>
  <c r="J48" i="7"/>
  <c r="F49" i="7"/>
  <c r="B48" i="7"/>
  <c r="J39" i="7"/>
  <c r="K40" i="7" s="1"/>
  <c r="K39" i="7" s="1"/>
  <c r="F44" i="7"/>
  <c r="F43" i="7"/>
  <c r="F42" i="7"/>
  <c r="F41" i="7"/>
  <c r="F40" i="7"/>
  <c r="F35" i="7"/>
  <c r="F33" i="7"/>
  <c r="F34" i="7"/>
  <c r="F32" i="7"/>
  <c r="F31" i="7"/>
  <c r="K31" i="7"/>
  <c r="K30" i="7" s="1"/>
  <c r="F25" i="7"/>
  <c r="F26" i="7"/>
  <c r="F24" i="7"/>
  <c r="F23" i="7"/>
  <c r="J22" i="7"/>
  <c r="K23" i="7" s="1"/>
  <c r="B22" i="7"/>
  <c r="G28" i="9" l="1"/>
  <c r="G31" i="8"/>
  <c r="G28" i="8"/>
  <c r="G30" i="8"/>
  <c r="G32" i="8"/>
  <c r="G38" i="8"/>
  <c r="G40" i="8"/>
  <c r="G39" i="8"/>
  <c r="G41" i="8"/>
  <c r="K22" i="7"/>
  <c r="G49" i="7"/>
  <c r="G48" i="7" s="1"/>
  <c r="G23" i="7"/>
  <c r="G27" i="8" l="1"/>
  <c r="G36" i="8"/>
  <c r="G22" i="7"/>
  <c r="G31" i="7"/>
  <c r="G30" i="7" l="1"/>
  <c r="F15" i="7" l="1"/>
  <c r="F17" i="7"/>
  <c r="F18" i="7"/>
  <c r="F16" i="7"/>
  <c r="J14" i="7"/>
  <c r="B14" i="7"/>
  <c r="D21" i="3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D20" i="3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K15" i="7" l="1"/>
  <c r="F65" i="6"/>
  <c r="F68" i="6"/>
  <c r="F67" i="6"/>
  <c r="F66" i="6"/>
  <c r="J64" i="6"/>
  <c r="K65" i="6" s="1"/>
  <c r="K64" i="6" s="1"/>
  <c r="E64" i="6"/>
  <c r="D64" i="6"/>
  <c r="C64" i="6"/>
  <c r="B64" i="6"/>
  <c r="F58" i="6"/>
  <c r="F57" i="6"/>
  <c r="F60" i="6"/>
  <c r="F56" i="6"/>
  <c r="F59" i="6"/>
  <c r="J46" i="6"/>
  <c r="K51" i="6" s="1"/>
  <c r="F47" i="6"/>
  <c r="F48" i="6"/>
  <c r="F51" i="6"/>
  <c r="F49" i="6"/>
  <c r="F50" i="6"/>
  <c r="J20" i="6"/>
  <c r="K23" i="6" s="1"/>
  <c r="G15" i="7" l="1"/>
  <c r="K14" i="7"/>
  <c r="F64" i="6"/>
  <c r="G68" i="6" s="1"/>
  <c r="G66" i="6"/>
  <c r="G67" i="6"/>
  <c r="G65" i="6"/>
  <c r="F55" i="6"/>
  <c r="G58" i="6" s="1"/>
  <c r="F46" i="6"/>
  <c r="K26" i="6"/>
  <c r="K25" i="6"/>
  <c r="K22" i="6"/>
  <c r="K24" i="6"/>
  <c r="J55" i="6"/>
  <c r="K58" i="6" s="1"/>
  <c r="E55" i="6"/>
  <c r="D55" i="6"/>
  <c r="C55" i="6"/>
  <c r="B55" i="6"/>
  <c r="K47" i="6"/>
  <c r="E46" i="6"/>
  <c r="D46" i="6"/>
  <c r="C46" i="6"/>
  <c r="B46" i="6"/>
  <c r="F39" i="6"/>
  <c r="F42" i="6"/>
  <c r="F41" i="6"/>
  <c r="F40" i="6"/>
  <c r="J38" i="6"/>
  <c r="E38" i="6"/>
  <c r="D38" i="6"/>
  <c r="C38" i="6"/>
  <c r="B38" i="6"/>
  <c r="F33" i="6"/>
  <c r="F34" i="6"/>
  <c r="F32" i="6"/>
  <c r="F31" i="6"/>
  <c r="J30" i="6"/>
  <c r="K33" i="6" s="1"/>
  <c r="E30" i="6"/>
  <c r="D30" i="6"/>
  <c r="C30" i="6"/>
  <c r="B30" i="6"/>
  <c r="F22" i="6"/>
  <c r="F24" i="6"/>
  <c r="F23" i="6"/>
  <c r="F21" i="6"/>
  <c r="E20" i="6"/>
  <c r="D20" i="6"/>
  <c r="C20" i="6"/>
  <c r="B20" i="6"/>
  <c r="G14" i="7" l="1"/>
  <c r="G59" i="6"/>
  <c r="G56" i="6"/>
  <c r="F20" i="6"/>
  <c r="G24" i="6" s="1"/>
  <c r="G57" i="6"/>
  <c r="F30" i="6"/>
  <c r="G33" i="6" s="1"/>
  <c r="G60" i="6"/>
  <c r="K31" i="6"/>
  <c r="F38" i="6"/>
  <c r="G42" i="6" s="1"/>
  <c r="G50" i="6"/>
  <c r="G48" i="6"/>
  <c r="G47" i="6"/>
  <c r="G51" i="6"/>
  <c r="G49" i="6"/>
  <c r="K41" i="6"/>
  <c r="K39" i="6"/>
  <c r="K42" i="6"/>
  <c r="K49" i="6"/>
  <c r="K32" i="6"/>
  <c r="K21" i="6"/>
  <c r="K40" i="6"/>
  <c r="K48" i="6"/>
  <c r="K50" i="6"/>
  <c r="K56" i="6"/>
  <c r="K57" i="6"/>
  <c r="G64" i="6" l="1"/>
  <c r="K46" i="6"/>
  <c r="K30" i="6"/>
  <c r="K38" i="6"/>
  <c r="G40" i="6"/>
  <c r="G39" i="6"/>
  <c r="G41" i="6"/>
  <c r="K20" i="6"/>
  <c r="G22" i="6"/>
  <c r="G23" i="6"/>
  <c r="G34" i="6"/>
  <c r="G32" i="6"/>
  <c r="G31" i="6"/>
  <c r="K55" i="6"/>
  <c r="G21" i="6"/>
  <c r="G38" i="6" l="1"/>
  <c r="G46" i="6"/>
  <c r="G55" i="6"/>
  <c r="G30" i="6"/>
  <c r="G20" i="6"/>
  <c r="D19" i="3" l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D18" i="3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D17" i="3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J24" i="5"/>
  <c r="I24" i="5"/>
  <c r="H24" i="5"/>
  <c r="G24" i="5"/>
  <c r="F24" i="5"/>
  <c r="E24" i="5"/>
  <c r="D24" i="5"/>
  <c r="C24" i="5"/>
  <c r="K6" i="5"/>
  <c r="K18" i="5"/>
  <c r="K14" i="5"/>
  <c r="K12" i="5"/>
  <c r="K7" i="5"/>
  <c r="K15" i="5"/>
  <c r="K19" i="5"/>
  <c r="K8" i="5"/>
  <c r="K24" i="5" s="1"/>
  <c r="K9" i="5"/>
  <c r="K5" i="5"/>
  <c r="K16" i="5"/>
  <c r="K10" i="5"/>
  <c r="K20" i="5"/>
  <c r="K13" i="5"/>
  <c r="K11" i="5"/>
  <c r="K21" i="5"/>
  <c r="K17" i="5"/>
  <c r="K22" i="5"/>
  <c r="K23" i="5"/>
  <c r="K4" i="5"/>
  <c r="K3" i="5"/>
  <c r="I17" i="4"/>
  <c r="I18" i="4"/>
  <c r="I19" i="4"/>
  <c r="I20" i="4"/>
  <c r="I21" i="4"/>
  <c r="I22" i="4"/>
  <c r="I23" i="4"/>
  <c r="I16" i="4"/>
  <c r="J6" i="4"/>
  <c r="J7" i="4"/>
  <c r="J8" i="4"/>
  <c r="J9" i="4"/>
  <c r="J10" i="4"/>
  <c r="J11" i="4"/>
  <c r="J12" i="4"/>
  <c r="J5" i="4"/>
  <c r="L4" i="5" l="1"/>
  <c r="L12" i="5"/>
  <c r="L8" i="5"/>
  <c r="L22" i="5"/>
  <c r="L3" i="5"/>
  <c r="L18" i="5"/>
  <c r="L10" i="5"/>
  <c r="L23" i="5"/>
  <c r="L14" i="5"/>
  <c r="L17" i="5"/>
  <c r="L9" i="5"/>
  <c r="L6" i="5"/>
  <c r="L19" i="5"/>
  <c r="L7" i="5"/>
  <c r="L20" i="5"/>
  <c r="L16" i="5"/>
  <c r="L21" i="5"/>
  <c r="L15" i="5"/>
  <c r="L5" i="5"/>
  <c r="L11" i="5"/>
  <c r="L13" i="5"/>
  <c r="J43" i="2" l="1"/>
  <c r="K45" i="2" s="1"/>
  <c r="K44" i="2"/>
  <c r="K46" i="2"/>
  <c r="J35" i="2"/>
  <c r="K37" i="2" s="1"/>
  <c r="E43" i="2"/>
  <c r="D43" i="2"/>
  <c r="C43" i="2"/>
  <c r="B43" i="2"/>
  <c r="E52" i="2"/>
  <c r="D52" i="2"/>
  <c r="C52" i="2"/>
  <c r="B52" i="2"/>
  <c r="J52" i="2"/>
  <c r="K55" i="2" s="1"/>
  <c r="J27" i="2"/>
  <c r="K28" i="2" s="1"/>
  <c r="K29" i="2"/>
  <c r="J18" i="2"/>
  <c r="D16" i="3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D15" i="3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D14" i="3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D13" i="3"/>
  <c r="E13" i="3" s="1"/>
  <c r="F13" i="3" s="1"/>
  <c r="G13" i="3" s="1"/>
  <c r="H13" i="3" s="1"/>
  <c r="I13" i="3" s="1"/>
  <c r="J13" i="3" s="1"/>
  <c r="K13" i="3" s="1"/>
  <c r="L13" i="3" s="1"/>
  <c r="M13" i="3" s="1"/>
  <c r="O13" i="3" s="1"/>
  <c r="D12" i="3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D11" i="3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D10" i="3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D9" i="3"/>
  <c r="E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D8" i="3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D7" i="3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D6" i="3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D5" i="3"/>
  <c r="E5" i="3" s="1"/>
  <c r="F5" i="3" s="1"/>
  <c r="G5" i="3" s="1"/>
  <c r="H5" i="3" s="1"/>
  <c r="I5" i="3" s="1"/>
  <c r="J5" i="3" s="1"/>
  <c r="K5" i="3" s="1"/>
  <c r="L5" i="3" s="1"/>
  <c r="M5" i="3" s="1"/>
  <c r="N5" i="3" s="1"/>
  <c r="O5" i="3" s="1"/>
  <c r="D4" i="3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K53" i="2" l="1"/>
  <c r="K54" i="2"/>
  <c r="K47" i="2"/>
  <c r="K43" i="2" s="1"/>
  <c r="K36" i="2"/>
  <c r="K38" i="2"/>
  <c r="K35" i="2" s="1"/>
  <c r="F43" i="2"/>
  <c r="F52" i="2"/>
  <c r="K52" i="2" l="1"/>
  <c r="F39" i="2"/>
  <c r="F38" i="2"/>
  <c r="F36" i="2"/>
  <c r="F37" i="2"/>
  <c r="E35" i="2"/>
  <c r="D35" i="2"/>
  <c r="C35" i="2"/>
  <c r="B35" i="2"/>
  <c r="F31" i="2"/>
  <c r="F30" i="2"/>
  <c r="F28" i="2"/>
  <c r="F29" i="2"/>
  <c r="E27" i="2"/>
  <c r="D27" i="2"/>
  <c r="C27" i="2"/>
  <c r="B27" i="2"/>
  <c r="F21" i="2"/>
  <c r="F20" i="2"/>
  <c r="K20" i="2"/>
  <c r="F22" i="2"/>
  <c r="F19" i="2"/>
  <c r="E18" i="2"/>
  <c r="D18" i="2"/>
  <c r="C18" i="2"/>
  <c r="B18" i="2"/>
  <c r="F36" i="1"/>
  <c r="F35" i="1"/>
  <c r="F34" i="1"/>
  <c r="F33" i="1"/>
  <c r="J32" i="1"/>
  <c r="E32" i="1"/>
  <c r="D32" i="1"/>
  <c r="C32" i="1"/>
  <c r="F32" i="1" s="1"/>
  <c r="B32" i="1"/>
  <c r="F28" i="1"/>
  <c r="F27" i="1"/>
  <c r="F26" i="1"/>
  <c r="F25" i="1"/>
  <c r="J24" i="1"/>
  <c r="K33" i="1" s="1"/>
  <c r="K32" i="1" s="1"/>
  <c r="E24" i="1"/>
  <c r="D24" i="1"/>
  <c r="C24" i="1"/>
  <c r="B24" i="1"/>
  <c r="F20" i="1"/>
  <c r="F19" i="1"/>
  <c r="F18" i="1"/>
  <c r="F17" i="1"/>
  <c r="F16" i="1" s="1"/>
  <c r="J16" i="1"/>
  <c r="K18" i="1" s="1"/>
  <c r="E16" i="1"/>
  <c r="D16" i="1"/>
  <c r="C16" i="1"/>
  <c r="B16" i="1"/>
  <c r="K22" i="2" l="1"/>
  <c r="K23" i="2"/>
  <c r="K30" i="2"/>
  <c r="K27" i="2" s="1"/>
  <c r="F27" i="2"/>
  <c r="F35" i="2"/>
  <c r="G38" i="2" s="1"/>
  <c r="F18" i="2"/>
  <c r="G20" i="2" s="1"/>
  <c r="K21" i="2"/>
  <c r="K19" i="2"/>
  <c r="K25" i="1"/>
  <c r="K24" i="1" s="1"/>
  <c r="G27" i="1"/>
  <c r="F24" i="1"/>
  <c r="G26" i="1" s="1"/>
  <c r="G35" i="1"/>
  <c r="G33" i="1"/>
  <c r="G18" i="1"/>
  <c r="G19" i="1"/>
  <c r="G20" i="1"/>
  <c r="G34" i="1"/>
  <c r="G28" i="1"/>
  <c r="G36" i="1"/>
  <c r="K19" i="1"/>
  <c r="G17" i="1"/>
  <c r="K17" i="1"/>
  <c r="K16" i="1" s="1"/>
  <c r="K20" i="1"/>
  <c r="G48" i="2" l="1"/>
  <c r="G57" i="2"/>
  <c r="G56" i="2"/>
  <c r="G53" i="2"/>
  <c r="G54" i="2"/>
  <c r="G55" i="2"/>
  <c r="K18" i="2"/>
  <c r="G30" i="2"/>
  <c r="G44" i="2"/>
  <c r="G45" i="2"/>
  <c r="G46" i="2"/>
  <c r="G47" i="2"/>
  <c r="G19" i="2"/>
  <c r="G22" i="2"/>
  <c r="G21" i="2"/>
  <c r="G36" i="2"/>
  <c r="G28" i="2"/>
  <c r="G31" i="2"/>
  <c r="G29" i="2"/>
  <c r="G39" i="2"/>
  <c r="G37" i="2"/>
  <c r="G25" i="1"/>
  <c r="G24" i="1" s="1"/>
  <c r="G16" i="1"/>
  <c r="G32" i="1"/>
  <c r="G52" i="2" l="1"/>
  <c r="G43" i="2"/>
  <c r="G35" i="2"/>
  <c r="G27" i="2"/>
  <c r="G18" i="2"/>
</calcChain>
</file>

<file path=xl/sharedStrings.xml><?xml version="1.0" encoding="utf-8"?>
<sst xmlns="http://schemas.openxmlformats.org/spreadsheetml/2006/main" count="801" uniqueCount="118">
  <si>
    <t>DEBUTANTES - 15/1/2025</t>
  </si>
  <si>
    <t>Producto</t>
  </si>
  <si>
    <t>Proveedor</t>
  </si>
  <si>
    <t>1° día a la venta</t>
  </si>
  <si>
    <t>Semana 1</t>
  </si>
  <si>
    <t>Semana 2</t>
  </si>
  <si>
    <t>Semana 3</t>
  </si>
  <si>
    <t>Semana 4</t>
  </si>
  <si>
    <t>CARRY ON FRED</t>
  </si>
  <si>
    <t>ROSENTHAL</t>
  </si>
  <si>
    <t>CARRY ON JAMES</t>
  </si>
  <si>
    <t>PORTA TRAJE FRANK</t>
  </si>
  <si>
    <t>MATERA RENE FULL BLACK</t>
  </si>
  <si>
    <t>MOCHILA IKER</t>
  </si>
  <si>
    <t>PORTAFOLIO BIEL</t>
  </si>
  <si>
    <t>TOTE IRUYA</t>
  </si>
  <si>
    <t>FABRICA</t>
  </si>
  <si>
    <t>GORRO FLORA</t>
  </si>
  <si>
    <t>CHACO</t>
  </si>
  <si>
    <t>PILUSO DORA</t>
  </si>
  <si>
    <t>TOTE IRUYA - $ 99.990</t>
  </si>
  <si>
    <t xml:space="preserve">Total Mes </t>
  </si>
  <si>
    <t>%</t>
  </si>
  <si>
    <t>País</t>
  </si>
  <si>
    <t>Acumulado</t>
  </si>
  <si>
    <t>Totales</t>
  </si>
  <si>
    <t>Total</t>
  </si>
  <si>
    <t>Florida</t>
  </si>
  <si>
    <t>USA</t>
  </si>
  <si>
    <t>San Telmo</t>
  </si>
  <si>
    <t>España</t>
  </si>
  <si>
    <t>French</t>
  </si>
  <si>
    <t>Colombia</t>
  </si>
  <si>
    <t>Recoleta</t>
  </si>
  <si>
    <t>México</t>
  </si>
  <si>
    <t>GORRO FLORA - $ 19.990</t>
  </si>
  <si>
    <t>Güemes</t>
  </si>
  <si>
    <t>PILUSO DORA - $ 19.990</t>
  </si>
  <si>
    <t>PORTAVINO CAFAYATE</t>
  </si>
  <si>
    <t>PORTAVINO RIOJA</t>
  </si>
  <si>
    <t>DEBUTANTES - 22/1/2025</t>
  </si>
  <si>
    <t>Fecha</t>
  </si>
  <si>
    <t xml:space="preserve">Desde </t>
  </si>
  <si>
    <t>Hasta</t>
  </si>
  <si>
    <t>CARTERA HARPER</t>
  </si>
  <si>
    <t>ESPEJO RECTANGULAR</t>
  </si>
  <si>
    <t>Uruguay</t>
  </si>
  <si>
    <t>China</t>
  </si>
  <si>
    <t>Francia</t>
  </si>
  <si>
    <t>PORTA VINO CAFAYATE - $ 34.990</t>
  </si>
  <si>
    <t>PORTA VINO RIOJA - $ 34.990</t>
  </si>
  <si>
    <t>Rusia</t>
  </si>
  <si>
    <t>Sin info</t>
  </si>
  <si>
    <t>TEXTIL - VENTA ACUMULADA</t>
  </si>
  <si>
    <t>CHALINA</t>
  </si>
  <si>
    <t>MEDIA HOMBRE MEDIA CAÑA</t>
  </si>
  <si>
    <t>agosto</t>
  </si>
  <si>
    <t>septiembre</t>
  </si>
  <si>
    <t>octubre</t>
  </si>
  <si>
    <t>noviembre</t>
  </si>
  <si>
    <t>diciembre</t>
  </si>
  <si>
    <t>enero</t>
  </si>
  <si>
    <t>CHOMBA PIQUE</t>
  </si>
  <si>
    <t>Venta Acumulada</t>
  </si>
  <si>
    <t>Precio</t>
  </si>
  <si>
    <t>San Telmo 2</t>
  </si>
  <si>
    <t>Galeria Güemes</t>
  </si>
  <si>
    <t>Argentina</t>
  </si>
  <si>
    <t>Brasil</t>
  </si>
  <si>
    <t>Chile</t>
  </si>
  <si>
    <t>Costa Rica</t>
  </si>
  <si>
    <t>Ecuador</t>
  </si>
  <si>
    <t>Países Bajos</t>
  </si>
  <si>
    <t>Perú</t>
  </si>
  <si>
    <t>Puerto Rico</t>
  </si>
  <si>
    <t>Reino Unido</t>
  </si>
  <si>
    <t>Suiza</t>
  </si>
  <si>
    <t>Ucrania</t>
  </si>
  <si>
    <t>Canadá</t>
  </si>
  <si>
    <t>MEDIAS DE VESTIR POLIAMIDA</t>
  </si>
  <si>
    <t>MEDIAS DE VESTIR ALGODON</t>
  </si>
  <si>
    <t>REMERA HOMBRE CUELLO REDONDO ALGODON PIMA</t>
  </si>
  <si>
    <t>REMERA MUJER CUELLO REDONDO ALGODON PIMA</t>
  </si>
  <si>
    <t>REMERA MUJER CUELLO U ALGODON PIMA</t>
  </si>
  <si>
    <t>Total U</t>
  </si>
  <si>
    <t>Total %</t>
  </si>
  <si>
    <t>BOLSO ENRICO</t>
  </si>
  <si>
    <t>MALETIN BORIS</t>
  </si>
  <si>
    <t>MOCHILA SIMON</t>
  </si>
  <si>
    <t>DEBUTANTES - 5/2/2025</t>
  </si>
  <si>
    <t>CARTERA HARPER - $ 199.990</t>
  </si>
  <si>
    <t>SANDALIA LOLA</t>
  </si>
  <si>
    <t>SANDALIA LOLA C/ TACO</t>
  </si>
  <si>
    <t>DEBUTANTES - 19/2/2025</t>
  </si>
  <si>
    <t>ESPEJO RECTANGULAR - $ 19.990</t>
  </si>
  <si>
    <t>BOLSO ENRICO - $ 249.990</t>
  </si>
  <si>
    <t>MALETIN BORIS - $ 399.990</t>
  </si>
  <si>
    <t>SANDALIA LOLA C/ TACO - $ 99.990</t>
  </si>
  <si>
    <t>PORTAVINO TANDIL</t>
  </si>
  <si>
    <t>MATERA OLI</t>
  </si>
  <si>
    <t>DEBUTANTES - 12/3/2025</t>
  </si>
  <si>
    <t>Mes 2</t>
  </si>
  <si>
    <t>Mes 3</t>
  </si>
  <si>
    <t>Mes 1</t>
  </si>
  <si>
    <t>CHIARINI</t>
  </si>
  <si>
    <t>PORTAVINO TUNUYAN</t>
  </si>
  <si>
    <t>PORTAVINO UCO</t>
  </si>
  <si>
    <t>DEBUTANTES - 26/3/2025</t>
  </si>
  <si>
    <t>MATERA OLI - $ 214.990</t>
  </si>
  <si>
    <t>PORTAVINO TANDIL - $ 64.990</t>
  </si>
  <si>
    <t>Australia</t>
  </si>
  <si>
    <t>PORTAVINO UCO - $ 84.990</t>
  </si>
  <si>
    <t>LLAVERO CALADO INICIALES</t>
  </si>
  <si>
    <t>LLAVERO CALADO ZODIACO</t>
  </si>
  <si>
    <t>LLAVERO CALADO FRASES</t>
  </si>
  <si>
    <t>TAG CALADO INICIAL</t>
  </si>
  <si>
    <t>TAG CALADO ZODIACO</t>
  </si>
  <si>
    <t>PORTALENTES LUZ BIFAZ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</si>
</sst>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2" tint="-0.749992370372631"/>
      <name val="Univers Light"/>
      <family val="2"/>
    </font>
    <font>
      <b/>
      <sz val="13"/>
      <color theme="1"/>
      <name val="Univers Light"/>
      <family val="2"/>
    </font>
    <font>
      <sz val="13"/>
      <color theme="1"/>
      <name val="Univers Light"/>
      <family val="2"/>
    </font>
    <font>
      <sz val="10"/>
      <name val="Arial"/>
      <family val="2"/>
    </font>
    <font>
      <sz val="10"/>
      <color theme="1" tint="0.34998626667073579"/>
      <name val="Arial"/>
      <family val="2"/>
    </font>
    <font>
      <sz val="11"/>
      <color theme="0"/>
      <name val="Univers Light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2"/>
      <name val="Univers Light"/>
      <family val="2"/>
    </font>
    <font>
      <sz val="12"/>
      <name val="Univers Light"/>
      <family val="2"/>
    </font>
    <font>
      <b/>
      <sz val="13"/>
      <name val="Univers Light"/>
      <family val="2"/>
    </font>
    <font>
      <sz val="10"/>
      <color theme="8" tint="-0.249977111117893"/>
      <name val="Arial"/>
      <family val="2"/>
    </font>
    <font>
      <sz val="11"/>
      <color theme="1" tint="0.34998626667073579"/>
      <name val="Aptos Narrow"/>
      <family val="2"/>
      <scheme val="minor"/>
    </font>
    <font>
      <sz val="10"/>
      <color theme="8" tint="-0.499984740745262"/>
      <name val="Arial"/>
      <family val="2"/>
    </font>
    <font>
      <sz val="11"/>
      <color theme="1"/>
      <name val="Roboto"/>
    </font>
    <font>
      <sz val="10"/>
      <name val="Roboto"/>
    </font>
    <font>
      <sz val="11"/>
      <name val="Univers Light"/>
      <family val="2"/>
    </font>
    <font>
      <b/>
      <sz val="10"/>
      <name val="Arial"/>
      <family val="2"/>
    </font>
    <font>
      <b/>
      <sz val="12"/>
      <color theme="2" tint="-0.749992370372631"/>
      <name val="Univers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3E7FF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" fontId="5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" fontId="5" fillId="0" borderId="3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9" fontId="10" fillId="2" borderId="0" xfId="1" applyFont="1" applyFill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6" fontId="5" fillId="0" borderId="5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" fontId="10" fillId="2" borderId="0" xfId="0" applyNumberFormat="1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10" fillId="3" borderId="0" xfId="0" applyFont="1" applyFill="1" applyAlignment="1">
      <alignment horizontal="center" vertical="center" wrapText="1"/>
    </xf>
    <xf numFmtId="9" fontId="10" fillId="3" borderId="0" xfId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5" fillId="0" borderId="1" xfId="2" applyNumberFormat="1" applyFont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" fontId="6" fillId="0" borderId="1" xfId="0" applyNumberFormat="1" applyFont="1" applyBorder="1" applyAlignment="1">
      <alignment vertical="center"/>
    </xf>
    <xf numFmtId="17" fontId="6" fillId="4" borderId="1" xfId="0" applyNumberFormat="1" applyFont="1" applyFill="1" applyBorder="1" applyAlignment="1">
      <alignment vertical="center"/>
    </xf>
    <xf numFmtId="0" fontId="17" fillId="0" borderId="0" xfId="0" applyFont="1"/>
    <xf numFmtId="0" fontId="0" fillId="0" borderId="0" xfId="0" applyAlignment="1">
      <alignment horizontal="center"/>
    </xf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165" fontId="18" fillId="4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9" fillId="0" borderId="0" xfId="0" applyFont="1"/>
    <xf numFmtId="16" fontId="20" fillId="0" borderId="2" xfId="0" applyNumberFormat="1" applyFont="1" applyBorder="1" applyAlignment="1">
      <alignment horizontal="center" vertical="center"/>
    </xf>
    <xf numFmtId="16" fontId="20" fillId="0" borderId="6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7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9" fontId="10" fillId="5" borderId="0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21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9" fontId="5" fillId="6" borderId="0" xfId="1" applyFont="1" applyFill="1" applyAlignment="1">
      <alignment horizontal="center" vertical="center" wrapText="1"/>
    </xf>
    <xf numFmtId="9" fontId="5" fillId="6" borderId="0" xfId="1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9" fontId="5" fillId="7" borderId="0" xfId="1" applyFont="1" applyFill="1" applyBorder="1" applyAlignment="1">
      <alignment horizontal="center" vertical="center" wrapText="1"/>
    </xf>
    <xf numFmtId="16" fontId="22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23" fillId="0" borderId="0" xfId="0" applyFont="1"/>
    <xf numFmtId="0" fontId="22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" fontId="5" fillId="7" borderId="0" xfId="0" applyNumberFormat="1" applyFont="1" applyFill="1" applyAlignment="1">
      <alignment horizontal="center" vertical="center" wrapText="1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3E7FF"/>
      <color rgb="FFFF99FF"/>
      <color rgb="FF9999FF"/>
      <color rgb="FF339966"/>
      <color rgb="FF0F9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04C8-2BFD-419A-9D15-813F8BB2F208}">
  <dimension ref="B2:O37"/>
  <sheetViews>
    <sheetView showGridLines="0" tabSelected="1" workbookViewId="0">
      <selection activeCell="R14" sqref="R14"/>
    </sheetView>
  </sheetViews>
  <sheetFormatPr baseColWidth="10" defaultRowHeight="14.4" x14ac:dyDescent="0.3"/>
  <cols>
    <col min="1" max="1" width="11.5546875" style="52"/>
    <col min="2" max="2" width="25.44140625" style="52" bestFit="1" customWidth="1"/>
    <col min="3" max="3" width="7.109375" style="52" bestFit="1" customWidth="1"/>
    <col min="4" max="4" width="9.33203125" style="52" bestFit="1" customWidth="1"/>
    <col min="5" max="5" width="7.109375" style="52" bestFit="1" customWidth="1"/>
    <col min="6" max="6" width="9.33203125" style="52" bestFit="1" customWidth="1"/>
    <col min="7" max="7" width="7.109375" style="52" bestFit="1" customWidth="1"/>
    <col min="8" max="8" width="9.33203125" style="52" bestFit="1" customWidth="1"/>
    <col min="9" max="9" width="6.77734375" style="52" bestFit="1" customWidth="1"/>
    <col min="10" max="10" width="9.33203125" style="52" bestFit="1" customWidth="1"/>
    <col min="11" max="11" width="6.77734375" style="52" bestFit="1" customWidth="1"/>
    <col min="12" max="12" width="9.33203125" style="52" bestFit="1" customWidth="1"/>
    <col min="13" max="13" width="7.109375" style="52" bestFit="1" customWidth="1"/>
    <col min="14" max="14" width="9.33203125" style="52" bestFit="1" customWidth="1"/>
    <col min="15" max="15" width="7.109375" style="52" bestFit="1" customWidth="1"/>
    <col min="16" max="16384" width="11.5546875" style="52"/>
  </cols>
  <sheetData>
    <row r="2" spans="2:15" x14ac:dyDescent="0.3">
      <c r="D2" s="53" t="s">
        <v>4</v>
      </c>
      <c r="E2" s="54"/>
      <c r="F2" s="53" t="s">
        <v>5</v>
      </c>
      <c r="G2" s="54"/>
      <c r="H2" s="53" t="s">
        <v>6</v>
      </c>
      <c r="I2" s="54"/>
      <c r="J2" s="53" t="s">
        <v>7</v>
      </c>
      <c r="K2" s="54"/>
      <c r="L2" s="53" t="s">
        <v>101</v>
      </c>
      <c r="M2" s="54"/>
      <c r="N2" s="53" t="s">
        <v>102</v>
      </c>
      <c r="O2" s="54"/>
    </row>
    <row r="3" spans="2:15" x14ac:dyDescent="0.3">
      <c r="B3" s="55" t="s">
        <v>1</v>
      </c>
      <c r="C3" s="56" t="s">
        <v>41</v>
      </c>
      <c r="D3" s="56" t="s">
        <v>42</v>
      </c>
      <c r="E3" s="56" t="s">
        <v>43</v>
      </c>
      <c r="F3" s="56" t="s">
        <v>42</v>
      </c>
      <c r="G3" s="56" t="s">
        <v>43</v>
      </c>
      <c r="H3" s="56" t="s">
        <v>42</v>
      </c>
      <c r="I3" s="56" t="s">
        <v>43</v>
      </c>
      <c r="J3" s="56" t="s">
        <v>42</v>
      </c>
      <c r="K3" s="56" t="s">
        <v>43</v>
      </c>
      <c r="L3" s="56" t="s">
        <v>42</v>
      </c>
      <c r="M3" s="56" t="s">
        <v>43</v>
      </c>
      <c r="N3" s="56" t="s">
        <v>42</v>
      </c>
      <c r="O3" s="56" t="s">
        <v>43</v>
      </c>
    </row>
    <row r="4" spans="2:15" x14ac:dyDescent="0.3">
      <c r="B4" s="57" t="s">
        <v>8</v>
      </c>
      <c r="C4" s="56">
        <v>45652</v>
      </c>
      <c r="D4" s="56">
        <f t="shared" ref="D4:D17" si="0">+C4</f>
        <v>45652</v>
      </c>
      <c r="E4" s="56">
        <f t="shared" ref="E4:E17" si="1">D4+6</f>
        <v>45658</v>
      </c>
      <c r="F4" s="56">
        <f t="shared" ref="F4:F17" si="2">+E4+1</f>
        <v>45659</v>
      </c>
      <c r="G4" s="56">
        <f t="shared" ref="G4:G17" si="3">F4+6</f>
        <v>45665</v>
      </c>
      <c r="H4" s="56">
        <f t="shared" ref="H4:H17" si="4">+G4+1</f>
        <v>45666</v>
      </c>
      <c r="I4" s="56">
        <f t="shared" ref="I4:I17" si="5">H4+6</f>
        <v>45672</v>
      </c>
      <c r="J4" s="56">
        <f t="shared" ref="J4:L17" si="6">+I4+1</f>
        <v>45673</v>
      </c>
      <c r="K4" s="56">
        <f t="shared" ref="K4:K17" si="7">J4+6</f>
        <v>45679</v>
      </c>
      <c r="L4" s="56">
        <f t="shared" si="6"/>
        <v>45680</v>
      </c>
      <c r="M4" s="56">
        <f>+L4+29</f>
        <v>45709</v>
      </c>
      <c r="N4" s="56">
        <f>+M4</f>
        <v>45709</v>
      </c>
      <c r="O4" s="56">
        <f>+N4+29</f>
        <v>45738</v>
      </c>
    </row>
    <row r="5" spans="2:15" x14ac:dyDescent="0.3">
      <c r="B5" s="57" t="s">
        <v>10</v>
      </c>
      <c r="C5" s="56">
        <v>45652</v>
      </c>
      <c r="D5" s="56">
        <f t="shared" si="0"/>
        <v>45652</v>
      </c>
      <c r="E5" s="56">
        <f t="shared" si="1"/>
        <v>45658</v>
      </c>
      <c r="F5" s="56">
        <f t="shared" si="2"/>
        <v>45659</v>
      </c>
      <c r="G5" s="56">
        <f t="shared" si="3"/>
        <v>45665</v>
      </c>
      <c r="H5" s="56">
        <f t="shared" si="4"/>
        <v>45666</v>
      </c>
      <c r="I5" s="56">
        <f t="shared" si="5"/>
        <v>45672</v>
      </c>
      <c r="J5" s="56">
        <f t="shared" si="6"/>
        <v>45673</v>
      </c>
      <c r="K5" s="56">
        <f t="shared" si="7"/>
        <v>45679</v>
      </c>
      <c r="L5" s="56">
        <f t="shared" ref="L5:L25" si="8">+K5+1</f>
        <v>45680</v>
      </c>
      <c r="M5" s="56">
        <f t="shared" ref="M5:M25" si="9">+L5+29</f>
        <v>45709</v>
      </c>
      <c r="N5" s="56">
        <f t="shared" ref="N5:N25" si="10">+M5</f>
        <v>45709</v>
      </c>
      <c r="O5" s="56">
        <f t="shared" ref="O5:O25" si="11">+N5+29</f>
        <v>45738</v>
      </c>
    </row>
    <row r="6" spans="2:15" x14ac:dyDescent="0.3">
      <c r="B6" s="57" t="s">
        <v>11</v>
      </c>
      <c r="C6" s="56">
        <v>45652</v>
      </c>
      <c r="D6" s="56">
        <f t="shared" si="0"/>
        <v>45652</v>
      </c>
      <c r="E6" s="56">
        <f t="shared" si="1"/>
        <v>45658</v>
      </c>
      <c r="F6" s="56">
        <f t="shared" si="2"/>
        <v>45659</v>
      </c>
      <c r="G6" s="56">
        <f t="shared" si="3"/>
        <v>45665</v>
      </c>
      <c r="H6" s="56">
        <f t="shared" si="4"/>
        <v>45666</v>
      </c>
      <c r="I6" s="56">
        <f t="shared" si="5"/>
        <v>45672</v>
      </c>
      <c r="J6" s="56">
        <f t="shared" si="6"/>
        <v>45673</v>
      </c>
      <c r="K6" s="56">
        <f t="shared" si="7"/>
        <v>45679</v>
      </c>
      <c r="L6" s="56">
        <f t="shared" si="8"/>
        <v>45680</v>
      </c>
      <c r="M6" s="56">
        <f t="shared" si="9"/>
        <v>45709</v>
      </c>
      <c r="N6" s="56">
        <f t="shared" si="10"/>
        <v>45709</v>
      </c>
      <c r="O6" s="56">
        <f t="shared" si="11"/>
        <v>45738</v>
      </c>
    </row>
    <row r="7" spans="2:15" x14ac:dyDescent="0.3">
      <c r="B7" s="57" t="s">
        <v>12</v>
      </c>
      <c r="C7" s="56">
        <v>45661</v>
      </c>
      <c r="D7" s="56">
        <f t="shared" si="0"/>
        <v>45661</v>
      </c>
      <c r="E7" s="56">
        <f t="shared" si="1"/>
        <v>45667</v>
      </c>
      <c r="F7" s="56">
        <f t="shared" si="2"/>
        <v>45668</v>
      </c>
      <c r="G7" s="56">
        <f t="shared" si="3"/>
        <v>45674</v>
      </c>
      <c r="H7" s="56">
        <f t="shared" si="4"/>
        <v>45675</v>
      </c>
      <c r="I7" s="56">
        <f t="shared" si="5"/>
        <v>45681</v>
      </c>
      <c r="J7" s="56">
        <f t="shared" si="6"/>
        <v>45682</v>
      </c>
      <c r="K7" s="56">
        <f t="shared" si="7"/>
        <v>45688</v>
      </c>
      <c r="L7" s="56">
        <f t="shared" si="8"/>
        <v>45689</v>
      </c>
      <c r="M7" s="56">
        <f t="shared" si="9"/>
        <v>45718</v>
      </c>
      <c r="N7" s="56">
        <f t="shared" si="10"/>
        <v>45718</v>
      </c>
      <c r="O7" s="56">
        <f t="shared" si="11"/>
        <v>45747</v>
      </c>
    </row>
    <row r="8" spans="2:15" x14ac:dyDescent="0.3">
      <c r="B8" s="57" t="s">
        <v>13</v>
      </c>
      <c r="C8" s="56">
        <v>45661</v>
      </c>
      <c r="D8" s="56">
        <f t="shared" si="0"/>
        <v>45661</v>
      </c>
      <c r="E8" s="56">
        <f t="shared" si="1"/>
        <v>45667</v>
      </c>
      <c r="F8" s="56">
        <f t="shared" si="2"/>
        <v>45668</v>
      </c>
      <c r="G8" s="56">
        <f t="shared" si="3"/>
        <v>45674</v>
      </c>
      <c r="H8" s="56">
        <f t="shared" si="4"/>
        <v>45675</v>
      </c>
      <c r="I8" s="56">
        <f t="shared" si="5"/>
        <v>45681</v>
      </c>
      <c r="J8" s="56">
        <f t="shared" si="6"/>
        <v>45682</v>
      </c>
      <c r="K8" s="56">
        <f t="shared" si="7"/>
        <v>45688</v>
      </c>
      <c r="L8" s="56">
        <f t="shared" si="8"/>
        <v>45689</v>
      </c>
      <c r="M8" s="56">
        <f t="shared" si="9"/>
        <v>45718</v>
      </c>
      <c r="N8" s="56">
        <f t="shared" si="10"/>
        <v>45718</v>
      </c>
      <c r="O8" s="56">
        <f t="shared" si="11"/>
        <v>45747</v>
      </c>
    </row>
    <row r="9" spans="2:15" x14ac:dyDescent="0.3">
      <c r="B9" s="57" t="s">
        <v>14</v>
      </c>
      <c r="C9" s="56">
        <v>45661</v>
      </c>
      <c r="D9" s="56">
        <f t="shared" si="0"/>
        <v>45661</v>
      </c>
      <c r="E9" s="56">
        <f t="shared" si="1"/>
        <v>45667</v>
      </c>
      <c r="F9" s="56">
        <f t="shared" si="2"/>
        <v>45668</v>
      </c>
      <c r="G9" s="56">
        <f t="shared" si="3"/>
        <v>45674</v>
      </c>
      <c r="H9" s="56">
        <f t="shared" si="4"/>
        <v>45675</v>
      </c>
      <c r="I9" s="56">
        <f t="shared" si="5"/>
        <v>45681</v>
      </c>
      <c r="J9" s="56">
        <f t="shared" si="6"/>
        <v>45682</v>
      </c>
      <c r="K9" s="56">
        <f t="shared" si="7"/>
        <v>45688</v>
      </c>
      <c r="L9" s="56">
        <f t="shared" si="8"/>
        <v>45689</v>
      </c>
      <c r="M9" s="56">
        <f t="shared" si="9"/>
        <v>45718</v>
      </c>
      <c r="N9" s="56">
        <f t="shared" si="10"/>
        <v>45718</v>
      </c>
      <c r="O9" s="56">
        <f t="shared" si="11"/>
        <v>45747</v>
      </c>
    </row>
    <row r="10" spans="2:15" x14ac:dyDescent="0.3">
      <c r="B10" s="57" t="s">
        <v>15</v>
      </c>
      <c r="C10" s="56">
        <v>45661</v>
      </c>
      <c r="D10" s="56">
        <f t="shared" si="0"/>
        <v>45661</v>
      </c>
      <c r="E10" s="56">
        <f t="shared" si="1"/>
        <v>45667</v>
      </c>
      <c r="F10" s="56">
        <f t="shared" si="2"/>
        <v>45668</v>
      </c>
      <c r="G10" s="56">
        <f t="shared" si="3"/>
        <v>45674</v>
      </c>
      <c r="H10" s="56">
        <f t="shared" si="4"/>
        <v>45675</v>
      </c>
      <c r="I10" s="56">
        <f t="shared" si="5"/>
        <v>45681</v>
      </c>
      <c r="J10" s="56">
        <f t="shared" si="6"/>
        <v>45682</v>
      </c>
      <c r="K10" s="56">
        <f t="shared" si="7"/>
        <v>45688</v>
      </c>
      <c r="L10" s="56">
        <f t="shared" si="8"/>
        <v>45689</v>
      </c>
      <c r="M10" s="56">
        <f t="shared" si="9"/>
        <v>45718</v>
      </c>
      <c r="N10" s="56">
        <f t="shared" si="10"/>
        <v>45718</v>
      </c>
      <c r="O10" s="56">
        <f t="shared" si="11"/>
        <v>45747</v>
      </c>
    </row>
    <row r="11" spans="2:15" x14ac:dyDescent="0.3">
      <c r="B11" s="57" t="s">
        <v>17</v>
      </c>
      <c r="C11" s="56">
        <v>45665</v>
      </c>
      <c r="D11" s="56">
        <f t="shared" si="0"/>
        <v>45665</v>
      </c>
      <c r="E11" s="56">
        <f t="shared" si="1"/>
        <v>45671</v>
      </c>
      <c r="F11" s="56">
        <f t="shared" si="2"/>
        <v>45672</v>
      </c>
      <c r="G11" s="56">
        <f t="shared" si="3"/>
        <v>45678</v>
      </c>
      <c r="H11" s="56">
        <f t="shared" si="4"/>
        <v>45679</v>
      </c>
      <c r="I11" s="56">
        <f t="shared" si="5"/>
        <v>45685</v>
      </c>
      <c r="J11" s="56">
        <f t="shared" si="6"/>
        <v>45686</v>
      </c>
      <c r="K11" s="56">
        <f t="shared" si="7"/>
        <v>45692</v>
      </c>
      <c r="L11" s="56">
        <f t="shared" si="8"/>
        <v>45693</v>
      </c>
      <c r="M11" s="56">
        <f t="shared" si="9"/>
        <v>45722</v>
      </c>
      <c r="N11" s="56">
        <f t="shared" si="10"/>
        <v>45722</v>
      </c>
      <c r="O11" s="56">
        <f t="shared" si="11"/>
        <v>45751</v>
      </c>
    </row>
    <row r="12" spans="2:15" x14ac:dyDescent="0.3">
      <c r="B12" s="57" t="s">
        <v>19</v>
      </c>
      <c r="C12" s="56">
        <v>45665</v>
      </c>
      <c r="D12" s="56">
        <f t="shared" si="0"/>
        <v>45665</v>
      </c>
      <c r="E12" s="56">
        <f t="shared" si="1"/>
        <v>45671</v>
      </c>
      <c r="F12" s="56">
        <f t="shared" si="2"/>
        <v>45672</v>
      </c>
      <c r="G12" s="56">
        <f t="shared" si="3"/>
        <v>45678</v>
      </c>
      <c r="H12" s="56">
        <f t="shared" si="4"/>
        <v>45679</v>
      </c>
      <c r="I12" s="56">
        <f t="shared" si="5"/>
        <v>45685</v>
      </c>
      <c r="J12" s="56">
        <f t="shared" si="6"/>
        <v>45686</v>
      </c>
      <c r="K12" s="56">
        <f t="shared" si="7"/>
        <v>45692</v>
      </c>
      <c r="L12" s="56">
        <f t="shared" si="8"/>
        <v>45693</v>
      </c>
      <c r="M12" s="56">
        <f t="shared" si="9"/>
        <v>45722</v>
      </c>
      <c r="N12" s="56">
        <f t="shared" si="10"/>
        <v>45722</v>
      </c>
      <c r="O12" s="56">
        <f t="shared" si="11"/>
        <v>45751</v>
      </c>
    </row>
    <row r="13" spans="2:15" x14ac:dyDescent="0.3">
      <c r="B13" s="57" t="s">
        <v>38</v>
      </c>
      <c r="C13" s="56">
        <v>45667</v>
      </c>
      <c r="D13" s="56">
        <f t="shared" si="0"/>
        <v>45667</v>
      </c>
      <c r="E13" s="56">
        <f t="shared" si="1"/>
        <v>45673</v>
      </c>
      <c r="F13" s="56">
        <f t="shared" si="2"/>
        <v>45674</v>
      </c>
      <c r="G13" s="56">
        <f t="shared" si="3"/>
        <v>45680</v>
      </c>
      <c r="H13" s="56">
        <f t="shared" si="4"/>
        <v>45681</v>
      </c>
      <c r="I13" s="56">
        <f t="shared" si="5"/>
        <v>45687</v>
      </c>
      <c r="J13" s="56">
        <f t="shared" si="6"/>
        <v>45688</v>
      </c>
      <c r="K13" s="56">
        <f t="shared" si="7"/>
        <v>45694</v>
      </c>
      <c r="L13" s="56">
        <f t="shared" si="8"/>
        <v>45695</v>
      </c>
      <c r="M13" s="56">
        <f t="shared" si="9"/>
        <v>45724</v>
      </c>
      <c r="N13" s="56">
        <f>+M13</f>
        <v>45724</v>
      </c>
      <c r="O13" s="56">
        <f t="shared" si="11"/>
        <v>45753</v>
      </c>
    </row>
    <row r="14" spans="2:15" x14ac:dyDescent="0.3">
      <c r="B14" s="57" t="s">
        <v>39</v>
      </c>
      <c r="C14" s="56">
        <v>45667</v>
      </c>
      <c r="D14" s="56">
        <f t="shared" si="0"/>
        <v>45667</v>
      </c>
      <c r="E14" s="56">
        <f t="shared" si="1"/>
        <v>45673</v>
      </c>
      <c r="F14" s="56">
        <f t="shared" si="2"/>
        <v>45674</v>
      </c>
      <c r="G14" s="56">
        <f t="shared" si="3"/>
        <v>45680</v>
      </c>
      <c r="H14" s="56">
        <f t="shared" si="4"/>
        <v>45681</v>
      </c>
      <c r="I14" s="56">
        <f t="shared" si="5"/>
        <v>45687</v>
      </c>
      <c r="J14" s="56">
        <f t="shared" si="6"/>
        <v>45688</v>
      </c>
      <c r="K14" s="56">
        <f t="shared" si="7"/>
        <v>45694</v>
      </c>
      <c r="L14" s="56">
        <f t="shared" si="8"/>
        <v>45695</v>
      </c>
      <c r="M14" s="56">
        <f t="shared" si="9"/>
        <v>45724</v>
      </c>
      <c r="N14" s="56">
        <f t="shared" si="10"/>
        <v>45724</v>
      </c>
      <c r="O14" s="56">
        <f t="shared" si="11"/>
        <v>45753</v>
      </c>
    </row>
    <row r="15" spans="2:15" x14ac:dyDescent="0.3">
      <c r="B15" s="57" t="s">
        <v>44</v>
      </c>
      <c r="C15" s="56">
        <v>45678</v>
      </c>
      <c r="D15" s="56">
        <f t="shared" si="0"/>
        <v>45678</v>
      </c>
      <c r="E15" s="56">
        <f t="shared" si="1"/>
        <v>45684</v>
      </c>
      <c r="F15" s="56">
        <f t="shared" si="2"/>
        <v>45685</v>
      </c>
      <c r="G15" s="56">
        <f t="shared" si="3"/>
        <v>45691</v>
      </c>
      <c r="H15" s="56">
        <f t="shared" si="4"/>
        <v>45692</v>
      </c>
      <c r="I15" s="56">
        <f t="shared" si="5"/>
        <v>45698</v>
      </c>
      <c r="J15" s="56">
        <f t="shared" si="6"/>
        <v>45699</v>
      </c>
      <c r="K15" s="56">
        <f t="shared" si="7"/>
        <v>45705</v>
      </c>
      <c r="L15" s="56">
        <f t="shared" si="8"/>
        <v>45706</v>
      </c>
      <c r="M15" s="56">
        <f t="shared" si="9"/>
        <v>45735</v>
      </c>
      <c r="N15" s="56">
        <f t="shared" si="10"/>
        <v>45735</v>
      </c>
      <c r="O15" s="56">
        <f t="shared" si="11"/>
        <v>45764</v>
      </c>
    </row>
    <row r="16" spans="2:15" x14ac:dyDescent="0.3">
      <c r="B16" s="57" t="s">
        <v>45</v>
      </c>
      <c r="C16" s="56">
        <v>45681</v>
      </c>
      <c r="D16" s="56">
        <f t="shared" si="0"/>
        <v>45681</v>
      </c>
      <c r="E16" s="56">
        <f t="shared" si="1"/>
        <v>45687</v>
      </c>
      <c r="F16" s="56">
        <f t="shared" si="2"/>
        <v>45688</v>
      </c>
      <c r="G16" s="56">
        <f t="shared" si="3"/>
        <v>45694</v>
      </c>
      <c r="H16" s="56">
        <f t="shared" si="4"/>
        <v>45695</v>
      </c>
      <c r="I16" s="56">
        <f t="shared" si="5"/>
        <v>45701</v>
      </c>
      <c r="J16" s="56">
        <f t="shared" si="6"/>
        <v>45702</v>
      </c>
      <c r="K16" s="56">
        <f t="shared" si="7"/>
        <v>45708</v>
      </c>
      <c r="L16" s="56">
        <f t="shared" si="8"/>
        <v>45709</v>
      </c>
      <c r="M16" s="56">
        <f t="shared" si="9"/>
        <v>45738</v>
      </c>
      <c r="N16" s="56">
        <f t="shared" si="10"/>
        <v>45738</v>
      </c>
      <c r="O16" s="56">
        <f t="shared" si="11"/>
        <v>45767</v>
      </c>
    </row>
    <row r="17" spans="2:15" x14ac:dyDescent="0.3">
      <c r="B17" s="57" t="s">
        <v>86</v>
      </c>
      <c r="C17" s="56">
        <v>45688</v>
      </c>
      <c r="D17" s="56">
        <f t="shared" si="0"/>
        <v>45688</v>
      </c>
      <c r="E17" s="56">
        <f t="shared" si="1"/>
        <v>45694</v>
      </c>
      <c r="F17" s="56">
        <f t="shared" si="2"/>
        <v>45695</v>
      </c>
      <c r="G17" s="56">
        <f t="shared" si="3"/>
        <v>45701</v>
      </c>
      <c r="H17" s="56">
        <f t="shared" si="4"/>
        <v>45702</v>
      </c>
      <c r="I17" s="56">
        <f t="shared" si="5"/>
        <v>45708</v>
      </c>
      <c r="J17" s="56">
        <f t="shared" si="6"/>
        <v>45709</v>
      </c>
      <c r="K17" s="56">
        <f t="shared" si="7"/>
        <v>45715</v>
      </c>
      <c r="L17" s="56">
        <f t="shared" si="8"/>
        <v>45716</v>
      </c>
      <c r="M17" s="56">
        <f t="shared" si="9"/>
        <v>45745</v>
      </c>
      <c r="N17" s="56">
        <f t="shared" si="10"/>
        <v>45745</v>
      </c>
      <c r="O17" s="56">
        <f t="shared" si="11"/>
        <v>45774</v>
      </c>
    </row>
    <row r="18" spans="2:15" x14ac:dyDescent="0.3">
      <c r="B18" s="57" t="s">
        <v>87</v>
      </c>
      <c r="C18" s="56">
        <v>45688</v>
      </c>
      <c r="D18" s="56">
        <f t="shared" ref="D18:D19" si="12">+C18</f>
        <v>45688</v>
      </c>
      <c r="E18" s="56">
        <f t="shared" ref="E18:E19" si="13">D18+6</f>
        <v>45694</v>
      </c>
      <c r="F18" s="56">
        <f t="shared" ref="F18:F19" si="14">+E18+1</f>
        <v>45695</v>
      </c>
      <c r="G18" s="56">
        <f t="shared" ref="G18:G19" si="15">F18+6</f>
        <v>45701</v>
      </c>
      <c r="H18" s="56">
        <f t="shared" ref="H18:H19" si="16">+G18+1</f>
        <v>45702</v>
      </c>
      <c r="I18" s="56">
        <f t="shared" ref="I18:I19" si="17">H18+6</f>
        <v>45708</v>
      </c>
      <c r="J18" s="56">
        <f t="shared" ref="J18:J19" si="18">+I18+1</f>
        <v>45709</v>
      </c>
      <c r="K18" s="56">
        <f t="shared" ref="K18:K19" si="19">J18+6</f>
        <v>45715</v>
      </c>
      <c r="L18" s="56">
        <f t="shared" si="8"/>
        <v>45716</v>
      </c>
      <c r="M18" s="56">
        <f t="shared" si="9"/>
        <v>45745</v>
      </c>
      <c r="N18" s="56">
        <f t="shared" si="10"/>
        <v>45745</v>
      </c>
      <c r="O18" s="56">
        <f t="shared" si="11"/>
        <v>45774</v>
      </c>
    </row>
    <row r="19" spans="2:15" x14ac:dyDescent="0.3">
      <c r="B19" s="57" t="s">
        <v>88</v>
      </c>
      <c r="C19" s="56">
        <v>45688</v>
      </c>
      <c r="D19" s="56">
        <f t="shared" si="12"/>
        <v>45688</v>
      </c>
      <c r="E19" s="56">
        <f t="shared" si="13"/>
        <v>45694</v>
      </c>
      <c r="F19" s="56">
        <f t="shared" si="14"/>
        <v>45695</v>
      </c>
      <c r="G19" s="56">
        <f t="shared" si="15"/>
        <v>45701</v>
      </c>
      <c r="H19" s="56">
        <f t="shared" si="16"/>
        <v>45702</v>
      </c>
      <c r="I19" s="56">
        <f t="shared" si="17"/>
        <v>45708</v>
      </c>
      <c r="J19" s="56">
        <f t="shared" si="18"/>
        <v>45709</v>
      </c>
      <c r="K19" s="56">
        <f t="shared" si="19"/>
        <v>45715</v>
      </c>
      <c r="L19" s="56">
        <f t="shared" si="8"/>
        <v>45716</v>
      </c>
      <c r="M19" s="56">
        <f t="shared" si="9"/>
        <v>45745</v>
      </c>
      <c r="N19" s="56">
        <f t="shared" si="10"/>
        <v>45745</v>
      </c>
      <c r="O19" s="56">
        <f t="shared" si="11"/>
        <v>45774</v>
      </c>
    </row>
    <row r="20" spans="2:15" x14ac:dyDescent="0.3">
      <c r="B20" s="57" t="s">
        <v>91</v>
      </c>
      <c r="C20" s="56">
        <v>45693</v>
      </c>
      <c r="D20" s="56">
        <f t="shared" ref="D20:D22" si="20">+C20</f>
        <v>45693</v>
      </c>
      <c r="E20" s="56">
        <f t="shared" ref="E20:E22" si="21">D20+6</f>
        <v>45699</v>
      </c>
      <c r="F20" s="56">
        <f t="shared" ref="F20:F22" si="22">+E20+1</f>
        <v>45700</v>
      </c>
      <c r="G20" s="56">
        <f t="shared" ref="G20:G22" si="23">F20+6</f>
        <v>45706</v>
      </c>
      <c r="H20" s="56">
        <f t="shared" ref="H20:H22" si="24">+G20+1</f>
        <v>45707</v>
      </c>
      <c r="I20" s="56">
        <f t="shared" ref="I20:I22" si="25">H20+6</f>
        <v>45713</v>
      </c>
      <c r="J20" s="56">
        <f t="shared" ref="J20:J22" si="26">+I20+1</f>
        <v>45714</v>
      </c>
      <c r="K20" s="56">
        <f t="shared" ref="K20:K22" si="27">J20+6</f>
        <v>45720</v>
      </c>
      <c r="L20" s="56">
        <f t="shared" si="8"/>
        <v>45721</v>
      </c>
      <c r="M20" s="56">
        <f t="shared" si="9"/>
        <v>45750</v>
      </c>
      <c r="N20" s="56">
        <f t="shared" si="10"/>
        <v>45750</v>
      </c>
      <c r="O20" s="56">
        <f t="shared" si="11"/>
        <v>45779</v>
      </c>
    </row>
    <row r="21" spans="2:15" x14ac:dyDescent="0.3">
      <c r="B21" s="57" t="s">
        <v>92</v>
      </c>
      <c r="C21" s="56">
        <v>45693</v>
      </c>
      <c r="D21" s="56">
        <f t="shared" si="20"/>
        <v>45693</v>
      </c>
      <c r="E21" s="56">
        <f t="shared" si="21"/>
        <v>45699</v>
      </c>
      <c r="F21" s="56">
        <f t="shared" si="22"/>
        <v>45700</v>
      </c>
      <c r="G21" s="56">
        <f t="shared" si="23"/>
        <v>45706</v>
      </c>
      <c r="H21" s="56">
        <f t="shared" si="24"/>
        <v>45707</v>
      </c>
      <c r="I21" s="56">
        <f t="shared" si="25"/>
        <v>45713</v>
      </c>
      <c r="J21" s="56">
        <f t="shared" si="26"/>
        <v>45714</v>
      </c>
      <c r="K21" s="56">
        <f t="shared" si="27"/>
        <v>45720</v>
      </c>
      <c r="L21" s="56">
        <f t="shared" si="8"/>
        <v>45721</v>
      </c>
      <c r="M21" s="56">
        <f t="shared" si="9"/>
        <v>45750</v>
      </c>
      <c r="N21" s="56">
        <f t="shared" si="10"/>
        <v>45750</v>
      </c>
      <c r="O21" s="56">
        <f t="shared" si="11"/>
        <v>45779</v>
      </c>
    </row>
    <row r="22" spans="2:15" x14ac:dyDescent="0.3">
      <c r="B22" s="57" t="s">
        <v>98</v>
      </c>
      <c r="C22" s="56">
        <v>45728</v>
      </c>
      <c r="D22" s="56">
        <f t="shared" si="20"/>
        <v>45728</v>
      </c>
      <c r="E22" s="56">
        <f t="shared" si="21"/>
        <v>45734</v>
      </c>
      <c r="F22" s="56">
        <f t="shared" si="22"/>
        <v>45735</v>
      </c>
      <c r="G22" s="56">
        <f t="shared" si="23"/>
        <v>45741</v>
      </c>
      <c r="H22" s="56">
        <f t="shared" si="24"/>
        <v>45742</v>
      </c>
      <c r="I22" s="56">
        <f t="shared" si="25"/>
        <v>45748</v>
      </c>
      <c r="J22" s="56">
        <f t="shared" si="26"/>
        <v>45749</v>
      </c>
      <c r="K22" s="56">
        <f t="shared" si="27"/>
        <v>45755</v>
      </c>
      <c r="L22" s="56">
        <f t="shared" si="8"/>
        <v>45756</v>
      </c>
      <c r="M22" s="56">
        <f t="shared" si="9"/>
        <v>45785</v>
      </c>
      <c r="N22" s="56">
        <f t="shared" si="10"/>
        <v>45785</v>
      </c>
      <c r="O22" s="56">
        <f t="shared" si="11"/>
        <v>45814</v>
      </c>
    </row>
    <row r="23" spans="2:15" x14ac:dyDescent="0.3">
      <c r="B23" s="57" t="s">
        <v>99</v>
      </c>
      <c r="C23" s="56">
        <v>45728</v>
      </c>
      <c r="D23" s="56">
        <f t="shared" ref="D23:D25" si="28">+C23</f>
        <v>45728</v>
      </c>
      <c r="E23" s="56">
        <f t="shared" ref="E23:E25" si="29">D23+6</f>
        <v>45734</v>
      </c>
      <c r="F23" s="56">
        <f t="shared" ref="F23:F25" si="30">+E23+1</f>
        <v>45735</v>
      </c>
      <c r="G23" s="56">
        <f t="shared" ref="G23:G25" si="31">F23+6</f>
        <v>45741</v>
      </c>
      <c r="H23" s="56">
        <f t="shared" ref="H23:H25" si="32">+G23+1</f>
        <v>45742</v>
      </c>
      <c r="I23" s="56">
        <f t="shared" ref="I23:I25" si="33">H23+6</f>
        <v>45748</v>
      </c>
      <c r="J23" s="56">
        <f t="shared" ref="J23:J25" si="34">+I23+1</f>
        <v>45749</v>
      </c>
      <c r="K23" s="56">
        <f t="shared" ref="K23:K25" si="35">J23+6</f>
        <v>45755</v>
      </c>
      <c r="L23" s="56">
        <f t="shared" si="8"/>
        <v>45756</v>
      </c>
      <c r="M23" s="56">
        <f t="shared" si="9"/>
        <v>45785</v>
      </c>
      <c r="N23" s="56">
        <f t="shared" si="10"/>
        <v>45785</v>
      </c>
      <c r="O23" s="56">
        <f t="shared" si="11"/>
        <v>45814</v>
      </c>
    </row>
    <row r="24" spans="2:15" x14ac:dyDescent="0.3">
      <c r="B24" s="57" t="s">
        <v>106</v>
      </c>
      <c r="C24" s="56">
        <v>45730</v>
      </c>
      <c r="D24" s="56">
        <f t="shared" si="28"/>
        <v>45730</v>
      </c>
      <c r="E24" s="56">
        <f t="shared" si="29"/>
        <v>45736</v>
      </c>
      <c r="F24" s="56">
        <f t="shared" si="30"/>
        <v>45737</v>
      </c>
      <c r="G24" s="56">
        <f t="shared" si="31"/>
        <v>45743</v>
      </c>
      <c r="H24" s="56">
        <f t="shared" si="32"/>
        <v>45744</v>
      </c>
      <c r="I24" s="56">
        <f t="shared" si="33"/>
        <v>45750</v>
      </c>
      <c r="J24" s="56">
        <f t="shared" si="34"/>
        <v>45751</v>
      </c>
      <c r="K24" s="56">
        <f t="shared" si="35"/>
        <v>45757</v>
      </c>
      <c r="L24" s="56">
        <f t="shared" si="8"/>
        <v>45758</v>
      </c>
      <c r="M24" s="56">
        <f t="shared" si="9"/>
        <v>45787</v>
      </c>
      <c r="N24" s="56">
        <f t="shared" si="10"/>
        <v>45787</v>
      </c>
      <c r="O24" s="56">
        <f t="shared" si="11"/>
        <v>45816</v>
      </c>
    </row>
    <row r="25" spans="2:15" x14ac:dyDescent="0.3">
      <c r="B25" s="57" t="s">
        <v>105</v>
      </c>
      <c r="C25" s="56">
        <v>45748</v>
      </c>
      <c r="D25" s="56">
        <f t="shared" si="28"/>
        <v>45748</v>
      </c>
      <c r="E25" s="56">
        <f t="shared" si="29"/>
        <v>45754</v>
      </c>
      <c r="F25" s="56">
        <f t="shared" si="30"/>
        <v>45755</v>
      </c>
      <c r="G25" s="56">
        <f t="shared" si="31"/>
        <v>45761</v>
      </c>
      <c r="H25" s="56">
        <f t="shared" si="32"/>
        <v>45762</v>
      </c>
      <c r="I25" s="56">
        <f t="shared" si="33"/>
        <v>45768</v>
      </c>
      <c r="J25" s="56">
        <f t="shared" si="34"/>
        <v>45769</v>
      </c>
      <c r="K25" s="56">
        <f t="shared" si="35"/>
        <v>45775</v>
      </c>
      <c r="L25" s="56">
        <f t="shared" si="8"/>
        <v>45776</v>
      </c>
      <c r="M25" s="56">
        <f t="shared" si="9"/>
        <v>45805</v>
      </c>
      <c r="N25" s="56">
        <f t="shared" si="10"/>
        <v>45805</v>
      </c>
      <c r="O25" s="56">
        <f t="shared" si="11"/>
        <v>45834</v>
      </c>
    </row>
    <row r="26" spans="2:15" x14ac:dyDescent="0.3">
      <c r="B26" s="57" t="s">
        <v>112</v>
      </c>
      <c r="C26" s="56">
        <v>45751</v>
      </c>
      <c r="D26" s="56">
        <f t="shared" ref="D26:D31" si="36">+C26</f>
        <v>45751</v>
      </c>
      <c r="E26" s="56">
        <f t="shared" ref="E26:E31" si="37">D26+6</f>
        <v>45757</v>
      </c>
      <c r="F26" s="56">
        <f t="shared" ref="F26:F31" si="38">+E26+1</f>
        <v>45758</v>
      </c>
      <c r="G26" s="56">
        <f t="shared" ref="G26:G31" si="39">F26+6</f>
        <v>45764</v>
      </c>
      <c r="H26" s="56">
        <f t="shared" ref="H26:H31" si="40">+G26+1</f>
        <v>45765</v>
      </c>
      <c r="I26" s="56">
        <f t="shared" ref="I26:I31" si="41">H26+6</f>
        <v>45771</v>
      </c>
      <c r="J26" s="56">
        <f t="shared" ref="J26:J31" si="42">+I26+1</f>
        <v>45772</v>
      </c>
      <c r="K26" s="56">
        <f t="shared" ref="K26:K31" si="43">J26+6</f>
        <v>45778</v>
      </c>
      <c r="L26" s="56">
        <f t="shared" ref="L26:L31" si="44">+K26+1</f>
        <v>45779</v>
      </c>
      <c r="M26" s="56">
        <f t="shared" ref="M26:M31" si="45">+L26+29</f>
        <v>45808</v>
      </c>
      <c r="N26" s="56">
        <f t="shared" ref="N26:N31" si="46">+M26</f>
        <v>45808</v>
      </c>
      <c r="O26" s="56">
        <f t="shared" ref="O26:O31" si="47">+N26+29</f>
        <v>45837</v>
      </c>
    </row>
    <row r="27" spans="2:15" x14ac:dyDescent="0.3">
      <c r="B27" s="57" t="s">
        <v>113</v>
      </c>
      <c r="C27" s="56">
        <v>45751</v>
      </c>
      <c r="D27" s="56">
        <f t="shared" si="36"/>
        <v>45751</v>
      </c>
      <c r="E27" s="56">
        <f t="shared" si="37"/>
        <v>45757</v>
      </c>
      <c r="F27" s="56">
        <f t="shared" si="38"/>
        <v>45758</v>
      </c>
      <c r="G27" s="56">
        <f t="shared" si="39"/>
        <v>45764</v>
      </c>
      <c r="H27" s="56">
        <f t="shared" si="40"/>
        <v>45765</v>
      </c>
      <c r="I27" s="56">
        <f t="shared" si="41"/>
        <v>45771</v>
      </c>
      <c r="J27" s="56">
        <f t="shared" si="42"/>
        <v>45772</v>
      </c>
      <c r="K27" s="56">
        <f t="shared" si="43"/>
        <v>45778</v>
      </c>
      <c r="L27" s="56">
        <f t="shared" si="44"/>
        <v>45779</v>
      </c>
      <c r="M27" s="56">
        <f t="shared" si="45"/>
        <v>45808</v>
      </c>
      <c r="N27" s="56">
        <f t="shared" si="46"/>
        <v>45808</v>
      </c>
      <c r="O27" s="56">
        <f t="shared" si="47"/>
        <v>45837</v>
      </c>
    </row>
    <row r="28" spans="2:15" x14ac:dyDescent="0.3">
      <c r="B28" s="57" t="s">
        <v>114</v>
      </c>
      <c r="C28" s="56">
        <v>45751</v>
      </c>
      <c r="D28" s="56">
        <f t="shared" si="36"/>
        <v>45751</v>
      </c>
      <c r="E28" s="56">
        <f t="shared" si="37"/>
        <v>45757</v>
      </c>
      <c r="F28" s="56">
        <f t="shared" si="38"/>
        <v>45758</v>
      </c>
      <c r="G28" s="56">
        <f t="shared" si="39"/>
        <v>45764</v>
      </c>
      <c r="H28" s="56">
        <f t="shared" si="40"/>
        <v>45765</v>
      </c>
      <c r="I28" s="56">
        <f t="shared" si="41"/>
        <v>45771</v>
      </c>
      <c r="J28" s="56">
        <f t="shared" si="42"/>
        <v>45772</v>
      </c>
      <c r="K28" s="56">
        <f t="shared" si="43"/>
        <v>45778</v>
      </c>
      <c r="L28" s="56">
        <f t="shared" si="44"/>
        <v>45779</v>
      </c>
      <c r="M28" s="56">
        <f t="shared" si="45"/>
        <v>45808</v>
      </c>
      <c r="N28" s="56">
        <f t="shared" si="46"/>
        <v>45808</v>
      </c>
      <c r="O28" s="56">
        <f t="shared" si="47"/>
        <v>45837</v>
      </c>
    </row>
    <row r="29" spans="2:15" x14ac:dyDescent="0.3">
      <c r="B29" s="57" t="s">
        <v>116</v>
      </c>
      <c r="C29" s="56">
        <v>45751</v>
      </c>
      <c r="D29" s="56">
        <f t="shared" si="36"/>
        <v>45751</v>
      </c>
      <c r="E29" s="56">
        <f t="shared" si="37"/>
        <v>45757</v>
      </c>
      <c r="F29" s="56">
        <f t="shared" si="38"/>
        <v>45758</v>
      </c>
      <c r="G29" s="56">
        <f t="shared" si="39"/>
        <v>45764</v>
      </c>
      <c r="H29" s="56">
        <f t="shared" si="40"/>
        <v>45765</v>
      </c>
      <c r="I29" s="56">
        <f t="shared" si="41"/>
        <v>45771</v>
      </c>
      <c r="J29" s="56">
        <f t="shared" si="42"/>
        <v>45772</v>
      </c>
      <c r="K29" s="56">
        <f t="shared" si="43"/>
        <v>45778</v>
      </c>
      <c r="L29" s="56">
        <f t="shared" si="44"/>
        <v>45779</v>
      </c>
      <c r="M29" s="56">
        <f t="shared" si="45"/>
        <v>45808</v>
      </c>
      <c r="N29" s="56">
        <f t="shared" si="46"/>
        <v>45808</v>
      </c>
      <c r="O29" s="56">
        <f t="shared" si="47"/>
        <v>45837</v>
      </c>
    </row>
    <row r="30" spans="2:15" x14ac:dyDescent="0.3">
      <c r="B30" s="57" t="s">
        <v>115</v>
      </c>
      <c r="C30" s="56">
        <v>45751</v>
      </c>
      <c r="D30" s="56">
        <f t="shared" si="36"/>
        <v>45751</v>
      </c>
      <c r="E30" s="56">
        <f t="shared" si="37"/>
        <v>45757</v>
      </c>
      <c r="F30" s="56">
        <f t="shared" si="38"/>
        <v>45758</v>
      </c>
      <c r="G30" s="56">
        <f t="shared" si="39"/>
        <v>45764</v>
      </c>
      <c r="H30" s="56">
        <f t="shared" si="40"/>
        <v>45765</v>
      </c>
      <c r="I30" s="56">
        <f t="shared" si="41"/>
        <v>45771</v>
      </c>
      <c r="J30" s="56">
        <f t="shared" si="42"/>
        <v>45772</v>
      </c>
      <c r="K30" s="56">
        <f t="shared" si="43"/>
        <v>45778</v>
      </c>
      <c r="L30" s="56">
        <f t="shared" si="44"/>
        <v>45779</v>
      </c>
      <c r="M30" s="56">
        <f t="shared" si="45"/>
        <v>45808</v>
      </c>
      <c r="N30" s="56">
        <f t="shared" si="46"/>
        <v>45808</v>
      </c>
      <c r="O30" s="56">
        <f t="shared" si="47"/>
        <v>45837</v>
      </c>
    </row>
    <row r="31" spans="2:15" x14ac:dyDescent="0.3">
      <c r="B31" s="57" t="s">
        <v>117</v>
      </c>
      <c r="C31" s="56">
        <v>45751</v>
      </c>
      <c r="D31" s="56">
        <f t="shared" si="36"/>
        <v>45751</v>
      </c>
      <c r="E31" s="56">
        <f t="shared" si="37"/>
        <v>45757</v>
      </c>
      <c r="F31" s="56">
        <f t="shared" si="38"/>
        <v>45758</v>
      </c>
      <c r="G31" s="56">
        <f t="shared" si="39"/>
        <v>45764</v>
      </c>
      <c r="H31" s="56">
        <f t="shared" si="40"/>
        <v>45765</v>
      </c>
      <c r="I31" s="56">
        <f t="shared" si="41"/>
        <v>45771</v>
      </c>
      <c r="J31" s="56">
        <f t="shared" si="42"/>
        <v>45772</v>
      </c>
      <c r="K31" s="56">
        <f t="shared" si="43"/>
        <v>45778</v>
      </c>
      <c r="L31" s="56">
        <f t="shared" si="44"/>
        <v>45779</v>
      </c>
      <c r="M31" s="56">
        <f t="shared" si="45"/>
        <v>45808</v>
      </c>
      <c r="N31" s="56">
        <f t="shared" si="46"/>
        <v>45808</v>
      </c>
      <c r="O31" s="56">
        <f t="shared" si="47"/>
        <v>45837</v>
      </c>
    </row>
    <row r="32" spans="2:15" x14ac:dyDescent="0.3">
      <c r="B32" s="57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</row>
    <row r="33" spans="2:15" x14ac:dyDescent="0.3">
      <c r="B33" s="57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</row>
    <row r="34" spans="2:15" x14ac:dyDescent="0.3">
      <c r="B34" s="57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</row>
    <row r="35" spans="2:15" x14ac:dyDescent="0.3">
      <c r="B35" s="57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</row>
    <row r="36" spans="2:15" x14ac:dyDescent="0.3">
      <c r="B36" s="57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</row>
    <row r="37" spans="2:15" x14ac:dyDescent="0.3">
      <c r="B37" s="57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</row>
  </sheetData>
  <pageMargins left="0.7" right="0.7" top="0.75" bottom="0.75" header="0.3" footer="0.3"/>
  <ignoredErrors>
    <ignoredError sqref="C4:G19 F20:G21 H20:K21 H4:J19 K4:O12 L20:O21 H22:O23 F22:G23 K14:O19 K13:M13 O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D28C-B328-4F79-9721-1E4F02AB1C5D}">
  <dimension ref="A1:K36"/>
  <sheetViews>
    <sheetView showGridLines="0" zoomScaleNormal="100" workbookViewId="0">
      <selection activeCell="D9" sqref="D9"/>
    </sheetView>
  </sheetViews>
  <sheetFormatPr baseColWidth="10" defaultRowHeight="14.4" x14ac:dyDescent="0.3"/>
  <cols>
    <col min="1" max="1" width="25.6640625" customWidth="1"/>
    <col min="2" max="3" width="14.109375" bestFit="1" customWidth="1"/>
    <col min="4" max="6" width="10.77734375" customWidth="1"/>
    <col min="7" max="7" width="9.21875" bestFit="1" customWidth="1"/>
    <col min="8" max="8" width="7.5546875" customWidth="1"/>
    <col min="11" max="11" width="6.21875" customWidth="1"/>
  </cols>
  <sheetData>
    <row r="1" spans="1:11" ht="17.399999999999999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</row>
    <row r="4" spans="1:11" x14ac:dyDescent="0.3">
      <c r="A4" s="7" t="s">
        <v>8</v>
      </c>
      <c r="B4" s="7" t="s">
        <v>9</v>
      </c>
      <c r="C4" s="8">
        <v>45652</v>
      </c>
      <c r="D4" s="9">
        <v>0</v>
      </c>
      <c r="E4" s="9">
        <v>0</v>
      </c>
      <c r="F4" s="9">
        <v>0</v>
      </c>
      <c r="G4" s="9"/>
    </row>
    <row r="5" spans="1:11" x14ac:dyDescent="0.3">
      <c r="A5" s="7" t="s">
        <v>10</v>
      </c>
      <c r="B5" s="7" t="s">
        <v>9</v>
      </c>
      <c r="C5" s="8">
        <v>45652</v>
      </c>
      <c r="D5" s="9">
        <v>0</v>
      </c>
      <c r="E5" s="9">
        <v>0</v>
      </c>
      <c r="F5" s="9">
        <v>0</v>
      </c>
      <c r="G5" s="9"/>
    </row>
    <row r="6" spans="1:11" x14ac:dyDescent="0.3">
      <c r="A6" s="7" t="s">
        <v>11</v>
      </c>
      <c r="B6" s="7" t="s">
        <v>9</v>
      </c>
      <c r="C6" s="8">
        <v>45652</v>
      </c>
      <c r="D6" s="9">
        <v>0</v>
      </c>
      <c r="E6" s="9">
        <v>0</v>
      </c>
      <c r="F6" s="9">
        <v>0</v>
      </c>
      <c r="G6" s="9"/>
    </row>
    <row r="7" spans="1:11" x14ac:dyDescent="0.3">
      <c r="A7" s="7" t="s">
        <v>12</v>
      </c>
      <c r="B7" s="7" t="s">
        <v>9</v>
      </c>
      <c r="C7" s="8">
        <v>45661</v>
      </c>
      <c r="D7" s="9">
        <v>0</v>
      </c>
      <c r="E7" s="9"/>
      <c r="F7" s="9"/>
      <c r="G7" s="9"/>
    </row>
    <row r="8" spans="1:11" x14ac:dyDescent="0.3">
      <c r="A8" s="7" t="s">
        <v>13</v>
      </c>
      <c r="B8" s="7" t="s">
        <v>9</v>
      </c>
      <c r="C8" s="8">
        <v>45661</v>
      </c>
      <c r="D8" s="9">
        <v>0</v>
      </c>
      <c r="E8" s="9"/>
      <c r="F8" s="9"/>
      <c r="G8" s="9"/>
    </row>
    <row r="9" spans="1:11" x14ac:dyDescent="0.3">
      <c r="A9" s="7" t="s">
        <v>14</v>
      </c>
      <c r="B9" s="7" t="s">
        <v>9</v>
      </c>
      <c r="C9" s="8">
        <v>45661</v>
      </c>
      <c r="D9" s="9">
        <v>0</v>
      </c>
      <c r="E9" s="9"/>
      <c r="F9" s="9"/>
      <c r="G9" s="9"/>
    </row>
    <row r="10" spans="1:11" x14ac:dyDescent="0.3">
      <c r="A10" s="7" t="s">
        <v>15</v>
      </c>
      <c r="B10" s="7" t="s">
        <v>16</v>
      </c>
      <c r="C10" s="8">
        <v>45661</v>
      </c>
      <c r="D10" s="9">
        <v>6</v>
      </c>
      <c r="E10" s="9"/>
      <c r="F10" s="9"/>
      <c r="G10" s="9"/>
    </row>
    <row r="11" spans="1:11" x14ac:dyDescent="0.3">
      <c r="A11" s="7" t="s">
        <v>17</v>
      </c>
      <c r="B11" s="7" t="s">
        <v>18</v>
      </c>
      <c r="C11" s="8">
        <v>45665</v>
      </c>
      <c r="D11" s="9">
        <v>1</v>
      </c>
      <c r="E11" s="9"/>
      <c r="F11" s="9"/>
      <c r="G11" s="9"/>
    </row>
    <row r="12" spans="1:11" x14ac:dyDescent="0.3">
      <c r="A12" s="7" t="s">
        <v>19</v>
      </c>
      <c r="B12" s="7" t="s">
        <v>18</v>
      </c>
      <c r="C12" s="8">
        <v>45665</v>
      </c>
      <c r="D12" s="9">
        <v>1</v>
      </c>
      <c r="E12" s="9"/>
      <c r="F12" s="9"/>
      <c r="G12" s="9"/>
    </row>
    <row r="15" spans="1:11" x14ac:dyDescent="0.3">
      <c r="A15" s="30" t="s">
        <v>20</v>
      </c>
      <c r="B15" s="29" t="s">
        <v>4</v>
      </c>
      <c r="C15" s="10" t="s">
        <v>5</v>
      </c>
      <c r="D15" s="10" t="s">
        <v>6</v>
      </c>
      <c r="E15" s="10" t="s">
        <v>7</v>
      </c>
      <c r="F15" s="10" t="s">
        <v>21</v>
      </c>
      <c r="G15" s="10" t="s">
        <v>22</v>
      </c>
      <c r="H15" s="11"/>
      <c r="I15" s="12" t="s">
        <v>23</v>
      </c>
      <c r="J15" s="13" t="s">
        <v>24</v>
      </c>
      <c r="K15" s="10" t="s">
        <v>22</v>
      </c>
    </row>
    <row r="16" spans="1:11" x14ac:dyDescent="0.3">
      <c r="A16" s="14" t="s">
        <v>25</v>
      </c>
      <c r="B16" s="14">
        <f>SUM(B17:B20)</f>
        <v>6</v>
      </c>
      <c r="C16" s="14">
        <f t="shared" ref="C16:F16" si="0">SUM(C17:C20)</f>
        <v>0</v>
      </c>
      <c r="D16" s="14">
        <f t="shared" si="0"/>
        <v>0</v>
      </c>
      <c r="E16" s="14">
        <f t="shared" si="0"/>
        <v>0</v>
      </c>
      <c r="F16" s="14">
        <f t="shared" si="0"/>
        <v>6</v>
      </c>
      <c r="G16" s="15">
        <f>SUM(G17:G20)</f>
        <v>1</v>
      </c>
      <c r="H16" s="11"/>
      <c r="I16" s="14" t="s">
        <v>26</v>
      </c>
      <c r="J16" s="14">
        <f>SUM(J17:J20)</f>
        <v>6</v>
      </c>
      <c r="K16" s="15">
        <f>SUM(K17:K20)</f>
        <v>0.99999999999999989</v>
      </c>
    </row>
    <row r="17" spans="1:11" x14ac:dyDescent="0.3">
      <c r="A17" s="16" t="s">
        <v>27</v>
      </c>
      <c r="B17" s="17">
        <v>3</v>
      </c>
      <c r="C17" s="17"/>
      <c r="D17" s="17"/>
      <c r="E17" s="17"/>
      <c r="F17" s="17">
        <f>SUM(B17:E17)</f>
        <v>3</v>
      </c>
      <c r="G17" s="18">
        <f>F17/$F$16</f>
        <v>0.5</v>
      </c>
      <c r="H17" s="11"/>
      <c r="I17" s="19" t="s">
        <v>28</v>
      </c>
      <c r="J17" s="20">
        <v>2</v>
      </c>
      <c r="K17" s="18">
        <f>J17/$J$16</f>
        <v>0.33333333333333331</v>
      </c>
    </row>
    <row r="18" spans="1:11" x14ac:dyDescent="0.3">
      <c r="A18" s="5" t="s">
        <v>29</v>
      </c>
      <c r="B18" s="21">
        <v>3</v>
      </c>
      <c r="C18" s="21"/>
      <c r="D18" s="21"/>
      <c r="E18" s="21"/>
      <c r="F18" s="21">
        <f>SUM(B18:E18)</f>
        <v>3</v>
      </c>
      <c r="G18" s="22">
        <f>F18/$F$16</f>
        <v>0.5</v>
      </c>
      <c r="H18" s="11"/>
      <c r="I18" s="19" t="s">
        <v>30</v>
      </c>
      <c r="J18" s="20">
        <v>2</v>
      </c>
      <c r="K18" s="22">
        <f t="shared" ref="K18:K20" si="1">J18/$J$16</f>
        <v>0.33333333333333331</v>
      </c>
    </row>
    <row r="19" spans="1:11" x14ac:dyDescent="0.3">
      <c r="A19" s="5" t="s">
        <v>31</v>
      </c>
      <c r="B19" s="21">
        <v>0</v>
      </c>
      <c r="C19" s="21"/>
      <c r="D19" s="21"/>
      <c r="E19" s="21"/>
      <c r="F19" s="21">
        <f>SUM(B19:E19)</f>
        <v>0</v>
      </c>
      <c r="G19" s="22">
        <f>F19/$F$16</f>
        <v>0</v>
      </c>
      <c r="H19" s="11"/>
      <c r="I19" s="19" t="s">
        <v>32</v>
      </c>
      <c r="J19" s="20">
        <v>1</v>
      </c>
      <c r="K19" s="22">
        <f t="shared" si="1"/>
        <v>0.16666666666666666</v>
      </c>
    </row>
    <row r="20" spans="1:11" x14ac:dyDescent="0.3">
      <c r="A20" s="5" t="s">
        <v>33</v>
      </c>
      <c r="B20" s="21">
        <v>0</v>
      </c>
      <c r="C20" s="21"/>
      <c r="D20" s="21"/>
      <c r="E20" s="21"/>
      <c r="F20" s="21">
        <f>SUM(B20:E20)</f>
        <v>0</v>
      </c>
      <c r="G20" s="22">
        <f>F20/$F$16</f>
        <v>0</v>
      </c>
      <c r="H20" s="11"/>
      <c r="I20" s="19" t="s">
        <v>34</v>
      </c>
      <c r="J20" s="20">
        <v>1</v>
      </c>
      <c r="K20" s="22">
        <f t="shared" si="1"/>
        <v>0.16666666666666666</v>
      </c>
    </row>
    <row r="21" spans="1:11" x14ac:dyDescent="0.3">
      <c r="A21" s="23"/>
      <c r="B21" s="24"/>
      <c r="C21" s="24"/>
      <c r="D21" s="24"/>
      <c r="E21" s="24"/>
      <c r="F21" s="24"/>
      <c r="G21" s="25"/>
      <c r="H21" s="11"/>
      <c r="I21" s="26"/>
      <c r="J21" s="27"/>
    </row>
    <row r="23" spans="1:11" x14ac:dyDescent="0.3">
      <c r="A23" s="30" t="s">
        <v>35</v>
      </c>
      <c r="B23" s="29" t="s">
        <v>4</v>
      </c>
      <c r="C23" s="10" t="s">
        <v>5</v>
      </c>
      <c r="D23" s="10" t="s">
        <v>6</v>
      </c>
      <c r="E23" s="10" t="s">
        <v>7</v>
      </c>
      <c r="F23" s="10" t="s">
        <v>21</v>
      </c>
      <c r="G23" s="10" t="s">
        <v>22</v>
      </c>
      <c r="H23" s="11"/>
      <c r="I23" s="12" t="s">
        <v>23</v>
      </c>
      <c r="J23" s="13" t="s">
        <v>24</v>
      </c>
      <c r="K23" s="10" t="s">
        <v>22</v>
      </c>
    </row>
    <row r="24" spans="1:11" x14ac:dyDescent="0.3">
      <c r="A24" s="14" t="s">
        <v>25</v>
      </c>
      <c r="B24" s="31">
        <f>SUM(B25:B28)</f>
        <v>1</v>
      </c>
      <c r="C24" s="31">
        <f>SUM(C25:C28)</f>
        <v>0</v>
      </c>
      <c r="D24" s="31">
        <f>SUM(D25:D28)</f>
        <v>0</v>
      </c>
      <c r="E24" s="31">
        <f>SUM(E25:E28)</f>
        <v>0</v>
      </c>
      <c r="F24" s="14">
        <f>SUM(B24:E24)</f>
        <v>1</v>
      </c>
      <c r="G24" s="15">
        <f>SUM(G25:G28)</f>
        <v>1</v>
      </c>
      <c r="H24" s="11"/>
      <c r="I24" s="14"/>
      <c r="J24" s="14">
        <f>SUM(J25)</f>
        <v>1</v>
      </c>
      <c r="K24" s="15">
        <f>SUM(K25)</f>
        <v>1</v>
      </c>
    </row>
    <row r="25" spans="1:11" x14ac:dyDescent="0.3">
      <c r="A25" s="16" t="s">
        <v>31</v>
      </c>
      <c r="B25" s="17">
        <v>1</v>
      </c>
      <c r="C25" s="17"/>
      <c r="D25" s="17"/>
      <c r="E25" s="17"/>
      <c r="F25" s="17">
        <f>SUM(B25:E25)</f>
        <v>1</v>
      </c>
      <c r="G25" s="18">
        <f>F25/$F$24</f>
        <v>1</v>
      </c>
      <c r="H25" s="11"/>
      <c r="I25" s="19" t="s">
        <v>28</v>
      </c>
      <c r="J25" s="20">
        <v>1</v>
      </c>
      <c r="K25" s="18">
        <f>J25/$J$24</f>
        <v>1</v>
      </c>
    </row>
    <row r="26" spans="1:11" x14ac:dyDescent="0.3">
      <c r="A26" s="5" t="s">
        <v>27</v>
      </c>
      <c r="B26" s="21">
        <v>0</v>
      </c>
      <c r="C26" s="21"/>
      <c r="D26" s="21"/>
      <c r="E26" s="21"/>
      <c r="F26" s="21">
        <f>SUM(B26:E26)</f>
        <v>0</v>
      </c>
      <c r="G26" s="18">
        <f>F26/$F$24</f>
        <v>0</v>
      </c>
      <c r="H26" s="11"/>
    </row>
    <row r="27" spans="1:11" x14ac:dyDescent="0.3">
      <c r="A27" s="5" t="s">
        <v>36</v>
      </c>
      <c r="B27" s="21">
        <v>0</v>
      </c>
      <c r="C27" s="21"/>
      <c r="D27" s="21"/>
      <c r="E27" s="21"/>
      <c r="F27" s="21">
        <f>SUM(B27:E27)</f>
        <v>0</v>
      </c>
      <c r="G27" s="18">
        <f>F27/$F$24</f>
        <v>0</v>
      </c>
      <c r="H27" s="11"/>
    </row>
    <row r="28" spans="1:11" x14ac:dyDescent="0.3">
      <c r="A28" s="5" t="s">
        <v>33</v>
      </c>
      <c r="B28" s="21">
        <v>0</v>
      </c>
      <c r="C28" s="21"/>
      <c r="D28" s="21"/>
      <c r="E28" s="21"/>
      <c r="F28" s="21">
        <f>SUM(B28:E28)</f>
        <v>0</v>
      </c>
      <c r="G28" s="18">
        <f>F28/$F$24</f>
        <v>0</v>
      </c>
      <c r="H28" s="11"/>
    </row>
    <row r="29" spans="1:11" x14ac:dyDescent="0.3">
      <c r="A29" s="23"/>
      <c r="B29" s="24"/>
      <c r="C29" s="24"/>
      <c r="D29" s="24"/>
      <c r="E29" s="24"/>
      <c r="F29" s="24"/>
      <c r="G29" s="25"/>
      <c r="H29" s="11"/>
    </row>
    <row r="30" spans="1:11" x14ac:dyDescent="0.3">
      <c r="A30" s="28"/>
    </row>
    <row r="31" spans="1:11" x14ac:dyDescent="0.3">
      <c r="A31" s="30" t="s">
        <v>37</v>
      </c>
      <c r="B31" s="29" t="s">
        <v>4</v>
      </c>
      <c r="C31" s="10" t="s">
        <v>5</v>
      </c>
      <c r="D31" s="10" t="s">
        <v>6</v>
      </c>
      <c r="E31" s="10" t="s">
        <v>7</v>
      </c>
      <c r="F31" s="10" t="s">
        <v>21</v>
      </c>
      <c r="G31" s="10" t="s">
        <v>22</v>
      </c>
      <c r="H31" s="11"/>
      <c r="I31" s="12" t="s">
        <v>23</v>
      </c>
      <c r="J31" s="13" t="s">
        <v>24</v>
      </c>
      <c r="K31" s="10" t="s">
        <v>22</v>
      </c>
    </row>
    <row r="32" spans="1:11" x14ac:dyDescent="0.3">
      <c r="A32" s="14" t="s">
        <v>25</v>
      </c>
      <c r="B32" s="31">
        <f>SUM(B33:B36)</f>
        <v>1</v>
      </c>
      <c r="C32" s="31">
        <f>SUM(C33:C36)</f>
        <v>0</v>
      </c>
      <c r="D32" s="31">
        <f>SUM(D33:D36)</f>
        <v>0</v>
      </c>
      <c r="E32" s="31">
        <f>SUM(E33:E36)</f>
        <v>0</v>
      </c>
      <c r="F32" s="14">
        <f>SUM(B32:E32)</f>
        <v>1</v>
      </c>
      <c r="G32" s="15">
        <f>SUM(G33:G36)</f>
        <v>1</v>
      </c>
      <c r="H32" s="11"/>
      <c r="I32" s="14"/>
      <c r="J32" s="14">
        <f>SUM(J33)</f>
        <v>1</v>
      </c>
      <c r="K32" s="15">
        <f>SUM(K33)</f>
        <v>1</v>
      </c>
    </row>
    <row r="33" spans="1:11" x14ac:dyDescent="0.3">
      <c r="A33" s="16" t="s">
        <v>31</v>
      </c>
      <c r="B33" s="17">
        <v>1</v>
      </c>
      <c r="C33" s="17"/>
      <c r="D33" s="17"/>
      <c r="E33" s="17"/>
      <c r="F33" s="17">
        <f>SUM(B33:E33)</f>
        <v>1</v>
      </c>
      <c r="G33" s="18">
        <f>F33/$F$32</f>
        <v>1</v>
      </c>
      <c r="H33" s="11"/>
      <c r="I33" s="19" t="s">
        <v>28</v>
      </c>
      <c r="J33" s="20">
        <v>1</v>
      </c>
      <c r="K33" s="18">
        <f>J33/$J$24</f>
        <v>1</v>
      </c>
    </row>
    <row r="34" spans="1:11" x14ac:dyDescent="0.3">
      <c r="A34" s="5" t="s">
        <v>27</v>
      </c>
      <c r="B34" s="21">
        <v>0</v>
      </c>
      <c r="C34" s="21"/>
      <c r="D34" s="21"/>
      <c r="E34" s="21"/>
      <c r="F34" s="21">
        <f>SUM(B34:E34)</f>
        <v>0</v>
      </c>
      <c r="G34" s="18">
        <f t="shared" ref="G34:G36" si="2">F34/$F$32</f>
        <v>0</v>
      </c>
      <c r="H34" s="11"/>
    </row>
    <row r="35" spans="1:11" x14ac:dyDescent="0.3">
      <c r="A35" s="5" t="s">
        <v>36</v>
      </c>
      <c r="B35" s="21">
        <v>0</v>
      </c>
      <c r="C35" s="21"/>
      <c r="D35" s="21"/>
      <c r="E35" s="21"/>
      <c r="F35" s="21">
        <f>SUM(B35:E35)</f>
        <v>0</v>
      </c>
      <c r="G35" s="18">
        <f t="shared" si="2"/>
        <v>0</v>
      </c>
      <c r="H35" s="11"/>
    </row>
    <row r="36" spans="1:11" x14ac:dyDescent="0.3">
      <c r="A36" s="5" t="s">
        <v>33</v>
      </c>
      <c r="B36" s="21">
        <v>0</v>
      </c>
      <c r="C36" s="21"/>
      <c r="D36" s="21"/>
      <c r="E36" s="21"/>
      <c r="F36" s="21">
        <f>SUM(B36:E36)</f>
        <v>0</v>
      </c>
      <c r="G36" s="18">
        <f t="shared" si="2"/>
        <v>0</v>
      </c>
      <c r="H36" s="11"/>
    </row>
  </sheetData>
  <sortState xmlns:xlrd2="http://schemas.microsoft.com/office/spreadsheetml/2017/richdata2" ref="A4:G12">
    <sortCondition ref="C4:C12"/>
    <sortCondition ref="A4:A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A1D0-4BE4-4912-A84E-16E203AC9BFD}">
  <dimension ref="A1:K57"/>
  <sheetViews>
    <sheetView showGridLines="0" zoomScaleNormal="100" workbookViewId="0">
      <selection activeCell="C18" sqref="C18"/>
    </sheetView>
  </sheetViews>
  <sheetFormatPr baseColWidth="10" defaultRowHeight="14.4" x14ac:dyDescent="0.3"/>
  <cols>
    <col min="1" max="1" width="33.33203125" bestFit="1" customWidth="1"/>
    <col min="2" max="3" width="14.109375" bestFit="1" customWidth="1"/>
    <col min="4" max="6" width="10.77734375" customWidth="1"/>
    <col min="7" max="7" width="9.21875" bestFit="1" customWidth="1"/>
    <col min="8" max="8" width="7.5546875" customWidth="1"/>
    <col min="11" max="11" width="6.21875" customWidth="1"/>
  </cols>
  <sheetData>
    <row r="1" spans="1:11" ht="17.399999999999999" x14ac:dyDescent="0.35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</row>
    <row r="4" spans="1:11" x14ac:dyDescent="0.3">
      <c r="A4" s="7" t="s">
        <v>8</v>
      </c>
      <c r="B4" s="7" t="s">
        <v>9</v>
      </c>
      <c r="C4" s="8">
        <v>45652</v>
      </c>
      <c r="D4" s="9">
        <v>0</v>
      </c>
      <c r="E4" s="9">
        <v>0</v>
      </c>
      <c r="F4" s="9">
        <v>0</v>
      </c>
      <c r="G4" s="9">
        <v>0</v>
      </c>
    </row>
    <row r="5" spans="1:11" x14ac:dyDescent="0.3">
      <c r="A5" s="7" t="s">
        <v>10</v>
      </c>
      <c r="B5" s="7" t="s">
        <v>9</v>
      </c>
      <c r="C5" s="8">
        <v>45652</v>
      </c>
      <c r="D5" s="9">
        <v>0</v>
      </c>
      <c r="E5" s="9">
        <v>0</v>
      </c>
      <c r="F5" s="9">
        <v>0</v>
      </c>
      <c r="G5" s="9">
        <v>0</v>
      </c>
    </row>
    <row r="6" spans="1:11" x14ac:dyDescent="0.3">
      <c r="A6" s="7" t="s">
        <v>11</v>
      </c>
      <c r="B6" s="7" t="s">
        <v>9</v>
      </c>
      <c r="C6" s="8">
        <v>45652</v>
      </c>
      <c r="D6" s="9">
        <v>0</v>
      </c>
      <c r="E6" s="9">
        <v>0</v>
      </c>
      <c r="F6" s="9">
        <v>0</v>
      </c>
      <c r="G6" s="9">
        <v>0</v>
      </c>
    </row>
    <row r="7" spans="1:11" x14ac:dyDescent="0.3">
      <c r="A7" s="7" t="s">
        <v>12</v>
      </c>
      <c r="B7" s="7" t="s">
        <v>9</v>
      </c>
      <c r="C7" s="8">
        <v>45661</v>
      </c>
      <c r="D7" s="9">
        <v>0</v>
      </c>
      <c r="E7" s="9">
        <v>0</v>
      </c>
      <c r="F7" s="9"/>
      <c r="G7" s="9"/>
    </row>
    <row r="8" spans="1:11" x14ac:dyDescent="0.3">
      <c r="A8" s="7" t="s">
        <v>13</v>
      </c>
      <c r="B8" s="7" t="s">
        <v>9</v>
      </c>
      <c r="C8" s="8">
        <v>45661</v>
      </c>
      <c r="D8" s="9">
        <v>0</v>
      </c>
      <c r="E8" s="9">
        <v>0</v>
      </c>
      <c r="F8" s="9"/>
      <c r="G8" s="9"/>
    </row>
    <row r="9" spans="1:11" x14ac:dyDescent="0.3">
      <c r="A9" s="7" t="s">
        <v>14</v>
      </c>
      <c r="B9" s="7" t="s">
        <v>9</v>
      </c>
      <c r="C9" s="8">
        <v>45661</v>
      </c>
      <c r="D9" s="9">
        <v>0</v>
      </c>
      <c r="E9" s="9">
        <v>0</v>
      </c>
      <c r="F9" s="9"/>
      <c r="G9" s="9"/>
    </row>
    <row r="10" spans="1:11" x14ac:dyDescent="0.3">
      <c r="A10" s="7" t="s">
        <v>15</v>
      </c>
      <c r="B10" s="7" t="s">
        <v>16</v>
      </c>
      <c r="C10" s="8">
        <v>45661</v>
      </c>
      <c r="D10" s="9">
        <v>6</v>
      </c>
      <c r="E10" s="9">
        <v>3</v>
      </c>
      <c r="F10" s="9"/>
      <c r="G10" s="9"/>
    </row>
    <row r="11" spans="1:11" x14ac:dyDescent="0.3">
      <c r="A11" s="7" t="s">
        <v>17</v>
      </c>
      <c r="B11" s="7" t="s">
        <v>18</v>
      </c>
      <c r="C11" s="8">
        <v>45665</v>
      </c>
      <c r="D11" s="9">
        <v>1</v>
      </c>
      <c r="E11" s="9">
        <v>2</v>
      </c>
      <c r="F11" s="9"/>
      <c r="G11" s="9"/>
    </row>
    <row r="12" spans="1:11" x14ac:dyDescent="0.3">
      <c r="A12" s="7" t="s">
        <v>19</v>
      </c>
      <c r="B12" s="7" t="s">
        <v>18</v>
      </c>
      <c r="C12" s="8">
        <v>45665</v>
      </c>
      <c r="D12" s="9">
        <v>1</v>
      </c>
      <c r="E12" s="9">
        <v>2</v>
      </c>
      <c r="F12" s="9"/>
      <c r="G12" s="9"/>
    </row>
    <row r="13" spans="1:11" x14ac:dyDescent="0.3">
      <c r="A13" s="7" t="s">
        <v>38</v>
      </c>
      <c r="B13" s="7" t="s">
        <v>16</v>
      </c>
      <c r="C13" s="8">
        <v>45667</v>
      </c>
      <c r="D13" s="9">
        <v>8</v>
      </c>
      <c r="E13" s="9">
        <v>7</v>
      </c>
      <c r="F13" s="9"/>
      <c r="G13" s="9"/>
    </row>
    <row r="14" spans="1:11" x14ac:dyDescent="0.3">
      <c r="A14" s="7" t="s">
        <v>39</v>
      </c>
      <c r="B14" s="7" t="s">
        <v>16</v>
      </c>
      <c r="C14" s="8">
        <v>45667</v>
      </c>
      <c r="D14" s="9">
        <v>6</v>
      </c>
      <c r="E14" s="9">
        <v>4</v>
      </c>
      <c r="F14" s="9"/>
      <c r="G14" s="9"/>
    </row>
    <row r="17" spans="1:11" x14ac:dyDescent="0.3">
      <c r="A17" s="35" t="s">
        <v>20</v>
      </c>
      <c r="B17" s="29" t="s">
        <v>4</v>
      </c>
      <c r="C17" s="10" t="s">
        <v>5</v>
      </c>
      <c r="D17" s="10" t="s">
        <v>6</v>
      </c>
      <c r="E17" s="10" t="s">
        <v>7</v>
      </c>
      <c r="F17" s="10" t="s">
        <v>21</v>
      </c>
      <c r="G17" s="10" t="s">
        <v>22</v>
      </c>
      <c r="H17" s="11"/>
      <c r="I17" s="12" t="s">
        <v>23</v>
      </c>
      <c r="J17" s="13" t="s">
        <v>24</v>
      </c>
      <c r="K17" s="10" t="s">
        <v>22</v>
      </c>
    </row>
    <row r="18" spans="1:11" x14ac:dyDescent="0.3">
      <c r="A18" s="33" t="s">
        <v>25</v>
      </c>
      <c r="B18" s="33">
        <f>SUM(B19:B22)</f>
        <v>6</v>
      </c>
      <c r="C18" s="33">
        <f t="shared" ref="C18:F18" si="0">SUM(C19:C22)</f>
        <v>3</v>
      </c>
      <c r="D18" s="33">
        <f t="shared" si="0"/>
        <v>0</v>
      </c>
      <c r="E18" s="33">
        <f t="shared" si="0"/>
        <v>0</v>
      </c>
      <c r="F18" s="33">
        <f t="shared" si="0"/>
        <v>9</v>
      </c>
      <c r="G18" s="34">
        <f>SUM(G19:G22)</f>
        <v>1</v>
      </c>
      <c r="H18" s="11"/>
      <c r="I18" s="33" t="s">
        <v>26</v>
      </c>
      <c r="J18" s="33">
        <f>SUM(J19:J23)</f>
        <v>9</v>
      </c>
      <c r="K18" s="34">
        <f>SUM(K19:K23)</f>
        <v>1</v>
      </c>
    </row>
    <row r="19" spans="1:11" x14ac:dyDescent="0.3">
      <c r="A19" s="16" t="s">
        <v>27</v>
      </c>
      <c r="B19" s="17">
        <v>3</v>
      </c>
      <c r="C19" s="17">
        <v>1</v>
      </c>
      <c r="D19" s="17"/>
      <c r="E19" s="17"/>
      <c r="F19" s="17">
        <f>SUM(B19:E19)</f>
        <v>4</v>
      </c>
      <c r="G19" s="18">
        <f>F19/$F$18</f>
        <v>0.44444444444444442</v>
      </c>
      <c r="H19" s="11"/>
      <c r="I19" s="19" t="s">
        <v>28</v>
      </c>
      <c r="J19" s="20">
        <v>4</v>
      </c>
      <c r="K19" s="18">
        <f>J19/$J$18</f>
        <v>0.44444444444444442</v>
      </c>
    </row>
    <row r="20" spans="1:11" x14ac:dyDescent="0.3">
      <c r="A20" s="5" t="s">
        <v>31</v>
      </c>
      <c r="B20" s="21">
        <v>0</v>
      </c>
      <c r="C20" s="21">
        <v>2</v>
      </c>
      <c r="D20" s="21"/>
      <c r="E20" s="21"/>
      <c r="F20" s="21">
        <f>SUM(B20:E20)</f>
        <v>2</v>
      </c>
      <c r="G20" s="22">
        <f>F20/$F$18</f>
        <v>0.22222222222222221</v>
      </c>
      <c r="H20" s="11"/>
      <c r="I20" s="19" t="s">
        <v>30</v>
      </c>
      <c r="J20" s="20">
        <v>2</v>
      </c>
      <c r="K20" s="22">
        <f>J20/$J$18</f>
        <v>0.22222222222222221</v>
      </c>
    </row>
    <row r="21" spans="1:11" x14ac:dyDescent="0.3">
      <c r="A21" s="5" t="s">
        <v>33</v>
      </c>
      <c r="B21" s="21">
        <v>0</v>
      </c>
      <c r="C21" s="21">
        <v>0</v>
      </c>
      <c r="D21" s="21"/>
      <c r="E21" s="21"/>
      <c r="F21" s="21">
        <f>SUM(B21:E21)</f>
        <v>0</v>
      </c>
      <c r="G21" s="22">
        <f>F21/$F$18</f>
        <v>0</v>
      </c>
      <c r="H21" s="11"/>
      <c r="I21" s="19" t="s">
        <v>32</v>
      </c>
      <c r="J21" s="20">
        <v>1</v>
      </c>
      <c r="K21" s="22">
        <f>J21/$J$18</f>
        <v>0.1111111111111111</v>
      </c>
    </row>
    <row r="22" spans="1:11" x14ac:dyDescent="0.3">
      <c r="A22" s="5" t="s">
        <v>29</v>
      </c>
      <c r="B22" s="21">
        <v>3</v>
      </c>
      <c r="C22" s="21">
        <v>0</v>
      </c>
      <c r="D22" s="21"/>
      <c r="E22" s="21"/>
      <c r="F22" s="21">
        <f>SUM(B22:E22)</f>
        <v>3</v>
      </c>
      <c r="G22" s="22">
        <f>F22/$F$18</f>
        <v>0.33333333333333331</v>
      </c>
      <c r="H22" s="11"/>
      <c r="I22" s="19" t="s">
        <v>34</v>
      </c>
      <c r="J22" s="20">
        <v>1</v>
      </c>
      <c r="K22" s="22">
        <f>J22/$J$18</f>
        <v>0.1111111111111111</v>
      </c>
    </row>
    <row r="23" spans="1:11" x14ac:dyDescent="0.3">
      <c r="A23" s="23"/>
      <c r="B23" s="24"/>
      <c r="C23" s="24"/>
      <c r="D23" s="24"/>
      <c r="E23" s="24"/>
      <c r="F23" s="24"/>
      <c r="G23" s="25"/>
      <c r="H23" s="11"/>
      <c r="I23" s="19" t="s">
        <v>46</v>
      </c>
      <c r="J23" s="20">
        <v>1</v>
      </c>
      <c r="K23" s="22">
        <f>J23/$J$18</f>
        <v>0.1111111111111111</v>
      </c>
    </row>
    <row r="24" spans="1:11" x14ac:dyDescent="0.3">
      <c r="A24" s="23"/>
      <c r="B24" s="24"/>
      <c r="C24" s="24"/>
      <c r="D24" s="24"/>
      <c r="E24" s="24"/>
      <c r="F24" s="24"/>
      <c r="G24" s="25"/>
      <c r="H24" s="11"/>
      <c r="I24" s="26"/>
      <c r="J24" s="27"/>
      <c r="K24" s="25"/>
    </row>
    <row r="26" spans="1:11" x14ac:dyDescent="0.3">
      <c r="A26" s="35" t="s">
        <v>35</v>
      </c>
      <c r="B26" s="29" t="s">
        <v>4</v>
      </c>
      <c r="C26" s="10" t="s">
        <v>5</v>
      </c>
      <c r="D26" s="10" t="s">
        <v>6</v>
      </c>
      <c r="E26" s="10" t="s">
        <v>7</v>
      </c>
      <c r="F26" s="10" t="s">
        <v>21</v>
      </c>
      <c r="G26" s="10" t="s">
        <v>22</v>
      </c>
      <c r="H26" s="11"/>
      <c r="I26" s="12" t="s">
        <v>23</v>
      </c>
      <c r="J26" s="13" t="s">
        <v>24</v>
      </c>
      <c r="K26" s="10" t="s">
        <v>22</v>
      </c>
    </row>
    <row r="27" spans="1:11" x14ac:dyDescent="0.3">
      <c r="A27" s="33" t="s">
        <v>25</v>
      </c>
      <c r="B27" s="33">
        <f>SUM(B28:B31)</f>
        <v>1</v>
      </c>
      <c r="C27" s="33">
        <f>SUM(C28:C31)</f>
        <v>2</v>
      </c>
      <c r="D27" s="33">
        <f>SUM(D28:D31)</f>
        <v>0</v>
      </c>
      <c r="E27" s="33">
        <f>SUM(E28:E31)</f>
        <v>0</v>
      </c>
      <c r="F27" s="33">
        <f>SUM(B27:E27)</f>
        <v>3</v>
      </c>
      <c r="G27" s="34">
        <f>SUM(G28:G31)</f>
        <v>1</v>
      </c>
      <c r="H27" s="11"/>
      <c r="I27" s="33" t="s">
        <v>26</v>
      </c>
      <c r="J27" s="33">
        <f>SUM(J28:J30)</f>
        <v>3</v>
      </c>
      <c r="K27" s="34">
        <f>SUM(K28:K30)</f>
        <v>1</v>
      </c>
    </row>
    <row r="28" spans="1:11" x14ac:dyDescent="0.3">
      <c r="A28" s="16" t="s">
        <v>27</v>
      </c>
      <c r="B28" s="17">
        <v>0</v>
      </c>
      <c r="C28" s="17">
        <v>1</v>
      </c>
      <c r="D28" s="17"/>
      <c r="E28" s="17"/>
      <c r="F28" s="17">
        <f>SUM(B28:E28)</f>
        <v>1</v>
      </c>
      <c r="G28" s="18">
        <f>F28/$F$27</f>
        <v>0.33333333333333331</v>
      </c>
      <c r="H28" s="11"/>
      <c r="I28" s="19" t="s">
        <v>47</v>
      </c>
      <c r="J28" s="20">
        <v>1</v>
      </c>
      <c r="K28" s="18">
        <f>J28/$J$27</f>
        <v>0.33333333333333331</v>
      </c>
    </row>
    <row r="29" spans="1:11" x14ac:dyDescent="0.3">
      <c r="A29" s="5" t="s">
        <v>31</v>
      </c>
      <c r="B29" s="21">
        <v>1</v>
      </c>
      <c r="C29" s="21">
        <v>0</v>
      </c>
      <c r="D29" s="21"/>
      <c r="E29" s="21"/>
      <c r="F29" s="21">
        <f>SUM(B29:E29)</f>
        <v>1</v>
      </c>
      <c r="G29" s="18">
        <f>F29/$F$27</f>
        <v>0.33333333333333331</v>
      </c>
      <c r="H29" s="11"/>
      <c r="I29" s="19" t="s">
        <v>48</v>
      </c>
      <c r="J29" s="20">
        <v>1</v>
      </c>
      <c r="K29" s="18">
        <f>J29/$J$27</f>
        <v>0.33333333333333331</v>
      </c>
    </row>
    <row r="30" spans="1:11" x14ac:dyDescent="0.3">
      <c r="A30" s="5" t="s">
        <v>36</v>
      </c>
      <c r="B30" s="21">
        <v>0</v>
      </c>
      <c r="C30" s="21">
        <v>0</v>
      </c>
      <c r="D30" s="21"/>
      <c r="E30" s="21"/>
      <c r="F30" s="21">
        <f>SUM(B30:E30)</f>
        <v>0</v>
      </c>
      <c r="G30" s="18">
        <f>F30/$F$27</f>
        <v>0</v>
      </c>
      <c r="H30" s="11"/>
      <c r="I30" s="19" t="s">
        <v>28</v>
      </c>
      <c r="J30" s="20">
        <v>1</v>
      </c>
      <c r="K30" s="18">
        <f>J30/$J$27</f>
        <v>0.33333333333333331</v>
      </c>
    </row>
    <row r="31" spans="1:11" x14ac:dyDescent="0.3">
      <c r="A31" s="5" t="s">
        <v>33</v>
      </c>
      <c r="B31" s="21">
        <v>0</v>
      </c>
      <c r="C31" s="21">
        <v>1</v>
      </c>
      <c r="D31" s="21"/>
      <c r="E31" s="21"/>
      <c r="F31" s="21">
        <f>SUM(B31:E31)</f>
        <v>1</v>
      </c>
      <c r="G31" s="18">
        <f>F31/$F$27</f>
        <v>0.33333333333333331</v>
      </c>
      <c r="H31" s="11"/>
    </row>
    <row r="32" spans="1:11" x14ac:dyDescent="0.3">
      <c r="A32" s="23"/>
      <c r="B32" s="24"/>
      <c r="C32" s="24"/>
      <c r="D32" s="24"/>
      <c r="E32" s="24"/>
      <c r="F32" s="24"/>
      <c r="G32" s="25"/>
      <c r="H32" s="11"/>
    </row>
    <row r="33" spans="1:11" x14ac:dyDescent="0.3">
      <c r="A33" s="28"/>
    </row>
    <row r="34" spans="1:11" x14ac:dyDescent="0.3">
      <c r="A34" s="35" t="s">
        <v>37</v>
      </c>
      <c r="B34" s="29" t="s">
        <v>4</v>
      </c>
      <c r="C34" s="10" t="s">
        <v>5</v>
      </c>
      <c r="D34" s="10" t="s">
        <v>6</v>
      </c>
      <c r="E34" s="10" t="s">
        <v>7</v>
      </c>
      <c r="F34" s="10" t="s">
        <v>21</v>
      </c>
      <c r="G34" s="10" t="s">
        <v>22</v>
      </c>
      <c r="H34" s="11"/>
      <c r="I34" s="12" t="s">
        <v>23</v>
      </c>
      <c r="J34" s="13" t="s">
        <v>24</v>
      </c>
      <c r="K34" s="10" t="s">
        <v>22</v>
      </c>
    </row>
    <row r="35" spans="1:11" x14ac:dyDescent="0.3">
      <c r="A35" s="33" t="s">
        <v>25</v>
      </c>
      <c r="B35" s="33">
        <f>SUM(B36:B39)</f>
        <v>1</v>
      </c>
      <c r="C35" s="33">
        <f>SUM(C36:C39)</f>
        <v>2</v>
      </c>
      <c r="D35" s="33">
        <f>SUM(D36:D39)</f>
        <v>0</v>
      </c>
      <c r="E35" s="33">
        <f>SUM(E36:E39)</f>
        <v>0</v>
      </c>
      <c r="F35" s="33">
        <f>SUM(B35:E35)</f>
        <v>3</v>
      </c>
      <c r="G35" s="34">
        <f>SUM(G36:G39)</f>
        <v>1</v>
      </c>
      <c r="H35" s="11"/>
      <c r="I35" s="33" t="s">
        <v>26</v>
      </c>
      <c r="J35" s="33">
        <f>SUM(J36:J39)</f>
        <v>3</v>
      </c>
      <c r="K35" s="34">
        <f>SUM(K36:K39)</f>
        <v>1</v>
      </c>
    </row>
    <row r="36" spans="1:11" x14ac:dyDescent="0.3">
      <c r="A36" s="16" t="s">
        <v>27</v>
      </c>
      <c r="B36" s="17">
        <v>0</v>
      </c>
      <c r="C36" s="17">
        <v>1</v>
      </c>
      <c r="D36" s="17"/>
      <c r="E36" s="17"/>
      <c r="F36" s="17">
        <f>SUM(B36:E36)</f>
        <v>1</v>
      </c>
      <c r="G36" s="18">
        <f>F36/$F$35</f>
        <v>0.33333333333333331</v>
      </c>
      <c r="H36" s="11"/>
      <c r="I36" s="19" t="s">
        <v>47</v>
      </c>
      <c r="J36" s="20">
        <v>1</v>
      </c>
      <c r="K36" s="18">
        <f>J36/$J$35</f>
        <v>0.33333333333333331</v>
      </c>
    </row>
    <row r="37" spans="1:11" x14ac:dyDescent="0.3">
      <c r="A37" s="5" t="s">
        <v>31</v>
      </c>
      <c r="B37" s="21">
        <v>1</v>
      </c>
      <c r="C37" s="21">
        <v>0</v>
      </c>
      <c r="D37" s="21"/>
      <c r="E37" s="21"/>
      <c r="F37" s="21">
        <f>SUM(B37:E37)</f>
        <v>1</v>
      </c>
      <c r="G37" s="18">
        <f>F37/$F$35</f>
        <v>0.33333333333333331</v>
      </c>
      <c r="H37" s="11"/>
      <c r="I37" s="19" t="s">
        <v>48</v>
      </c>
      <c r="J37" s="20">
        <v>1</v>
      </c>
      <c r="K37" s="18">
        <f>J37/$J$35</f>
        <v>0.33333333333333331</v>
      </c>
    </row>
    <row r="38" spans="1:11" x14ac:dyDescent="0.3">
      <c r="A38" s="5" t="s">
        <v>36</v>
      </c>
      <c r="B38" s="21">
        <v>0</v>
      </c>
      <c r="C38" s="21">
        <v>0</v>
      </c>
      <c r="D38" s="21"/>
      <c r="E38" s="21"/>
      <c r="F38" s="21">
        <f>SUM(B38:E38)</f>
        <v>0</v>
      </c>
      <c r="G38" s="18">
        <f>F38/$F$35</f>
        <v>0</v>
      </c>
      <c r="H38" s="11"/>
      <c r="I38" s="19" t="s">
        <v>28</v>
      </c>
      <c r="J38" s="20">
        <v>1</v>
      </c>
      <c r="K38" s="18">
        <f>J38/$J$35</f>
        <v>0.33333333333333331</v>
      </c>
    </row>
    <row r="39" spans="1:11" x14ac:dyDescent="0.3">
      <c r="A39" s="5" t="s">
        <v>33</v>
      </c>
      <c r="B39" s="21">
        <v>0</v>
      </c>
      <c r="C39" s="21">
        <v>1</v>
      </c>
      <c r="D39" s="21"/>
      <c r="E39" s="21"/>
      <c r="F39" s="21">
        <f>SUM(B39:E39)</f>
        <v>1</v>
      </c>
      <c r="G39" s="18">
        <f>F39/$F$35</f>
        <v>0.33333333333333331</v>
      </c>
      <c r="H39" s="11"/>
    </row>
    <row r="42" spans="1:11" x14ac:dyDescent="0.3">
      <c r="A42" s="35" t="s">
        <v>49</v>
      </c>
      <c r="B42" s="29" t="s">
        <v>4</v>
      </c>
      <c r="C42" s="10" t="s">
        <v>5</v>
      </c>
      <c r="D42" s="10" t="s">
        <v>6</v>
      </c>
      <c r="E42" s="10" t="s">
        <v>7</v>
      </c>
      <c r="F42" s="10" t="s">
        <v>21</v>
      </c>
      <c r="G42" s="10" t="s">
        <v>22</v>
      </c>
      <c r="H42" s="11"/>
      <c r="I42" s="12" t="s">
        <v>23</v>
      </c>
      <c r="J42" s="13" t="s">
        <v>24</v>
      </c>
      <c r="K42" s="10" t="s">
        <v>22</v>
      </c>
    </row>
    <row r="43" spans="1:11" x14ac:dyDescent="0.3">
      <c r="A43" s="33" t="s">
        <v>25</v>
      </c>
      <c r="B43" s="33">
        <f>SUM(B44:B48)</f>
        <v>8</v>
      </c>
      <c r="C43" s="33">
        <f>SUM(C44:C48)</f>
        <v>7</v>
      </c>
      <c r="D43" s="33">
        <f>SUM(D44:D48)</f>
        <v>0</v>
      </c>
      <c r="E43" s="33">
        <f>SUM(E44:E48)</f>
        <v>0</v>
      </c>
      <c r="F43" s="33">
        <f>SUM(B43:E43)</f>
        <v>15</v>
      </c>
      <c r="G43" s="34">
        <f>SUM(G44:G48)</f>
        <v>0</v>
      </c>
      <c r="H43" s="11"/>
      <c r="I43" s="33" t="s">
        <v>26</v>
      </c>
      <c r="J43" s="33">
        <f>SUM(J44:J47)</f>
        <v>15</v>
      </c>
      <c r="K43" s="34">
        <f>SUM(K44:K47)</f>
        <v>1</v>
      </c>
    </row>
    <row r="44" spans="1:11" x14ac:dyDescent="0.3">
      <c r="A44" s="16" t="s">
        <v>31</v>
      </c>
      <c r="B44" s="17">
        <v>0</v>
      </c>
      <c r="C44" s="17">
        <v>0</v>
      </c>
      <c r="D44" s="17"/>
      <c r="E44" s="17"/>
      <c r="F44" s="17"/>
      <c r="G44" s="18">
        <f>F44/$F$27</f>
        <v>0</v>
      </c>
      <c r="H44" s="11"/>
      <c r="I44" s="19" t="s">
        <v>52</v>
      </c>
      <c r="J44" s="20">
        <v>5</v>
      </c>
      <c r="K44" s="18">
        <f>J44/$J$43</f>
        <v>0.33333333333333331</v>
      </c>
    </row>
    <row r="45" spans="1:11" x14ac:dyDescent="0.3">
      <c r="A45" s="5" t="s">
        <v>27</v>
      </c>
      <c r="B45" s="21">
        <v>0</v>
      </c>
      <c r="C45" s="21">
        <v>0</v>
      </c>
      <c r="D45" s="21"/>
      <c r="E45" s="21"/>
      <c r="F45" s="21"/>
      <c r="G45" s="18">
        <f>F45/$F$27</f>
        <v>0</v>
      </c>
      <c r="H45" s="11"/>
      <c r="I45" s="19" t="s">
        <v>28</v>
      </c>
      <c r="J45" s="20">
        <v>5</v>
      </c>
      <c r="K45" s="18">
        <f>J45/$J$43</f>
        <v>0.33333333333333331</v>
      </c>
    </row>
    <row r="46" spans="1:11" x14ac:dyDescent="0.3">
      <c r="A46" s="5" t="s">
        <v>36</v>
      </c>
      <c r="B46" s="21">
        <v>0</v>
      </c>
      <c r="C46" s="21">
        <v>0</v>
      </c>
      <c r="D46" s="21"/>
      <c r="E46" s="21"/>
      <c r="F46" s="21"/>
      <c r="G46" s="18">
        <f>F46/$F$27</f>
        <v>0</v>
      </c>
      <c r="H46" s="11"/>
      <c r="I46" s="19" t="s">
        <v>51</v>
      </c>
      <c r="J46" s="20">
        <v>4</v>
      </c>
      <c r="K46" s="18">
        <f>J46/$J$43</f>
        <v>0.26666666666666666</v>
      </c>
    </row>
    <row r="47" spans="1:11" x14ac:dyDescent="0.3">
      <c r="A47" s="5" t="s">
        <v>33</v>
      </c>
      <c r="B47" s="21">
        <v>2</v>
      </c>
      <c r="C47" s="21">
        <v>0</v>
      </c>
      <c r="D47" s="21"/>
      <c r="E47" s="21"/>
      <c r="F47" s="21"/>
      <c r="G47" s="18">
        <f>F47/$F$27</f>
        <v>0</v>
      </c>
      <c r="H47" s="11"/>
      <c r="I47" s="19" t="s">
        <v>47</v>
      </c>
      <c r="J47" s="20">
        <v>1</v>
      </c>
      <c r="K47" s="18">
        <f>J47/$J$43</f>
        <v>6.6666666666666666E-2</v>
      </c>
    </row>
    <row r="48" spans="1:11" x14ac:dyDescent="0.3">
      <c r="A48" s="5" t="s">
        <v>29</v>
      </c>
      <c r="B48" s="21">
        <v>6</v>
      </c>
      <c r="C48" s="21">
        <v>7</v>
      </c>
      <c r="D48" s="21"/>
      <c r="E48" s="21"/>
      <c r="F48" s="21"/>
      <c r="G48" s="18">
        <f>F48/$F$27</f>
        <v>0</v>
      </c>
      <c r="H48" s="11"/>
    </row>
    <row r="51" spans="1:11" x14ac:dyDescent="0.3">
      <c r="A51" s="35" t="s">
        <v>50</v>
      </c>
      <c r="B51" s="29" t="s">
        <v>4</v>
      </c>
      <c r="C51" s="10" t="s">
        <v>5</v>
      </c>
      <c r="D51" s="10" t="s">
        <v>6</v>
      </c>
      <c r="E51" s="10" t="s">
        <v>7</v>
      </c>
      <c r="F51" s="10" t="s">
        <v>21</v>
      </c>
      <c r="G51" s="10" t="s">
        <v>22</v>
      </c>
      <c r="H51" s="11"/>
      <c r="I51" s="12" t="s">
        <v>23</v>
      </c>
      <c r="J51" s="13" t="s">
        <v>24</v>
      </c>
      <c r="K51" s="10" t="s">
        <v>22</v>
      </c>
    </row>
    <row r="52" spans="1:11" x14ac:dyDescent="0.3">
      <c r="A52" s="33" t="s">
        <v>25</v>
      </c>
      <c r="B52" s="33">
        <f>SUM(B53:B57)</f>
        <v>6</v>
      </c>
      <c r="C52" s="33">
        <f>SUM(C53:C57)</f>
        <v>4</v>
      </c>
      <c r="D52" s="33">
        <f>SUM(D53:D57)</f>
        <v>0</v>
      </c>
      <c r="E52" s="33">
        <f>SUM(E53:E57)</f>
        <v>0</v>
      </c>
      <c r="F52" s="33">
        <f>SUM(B52:E52)</f>
        <v>10</v>
      </c>
      <c r="G52" s="34">
        <f>SUM(G53:G57)</f>
        <v>0</v>
      </c>
      <c r="H52" s="11"/>
      <c r="I52" s="33" t="s">
        <v>26</v>
      </c>
      <c r="J52" s="33">
        <f>SUM(J53:J55)</f>
        <v>10</v>
      </c>
      <c r="K52" s="34">
        <f>SUM(K53:K55)</f>
        <v>0.99999999999999989</v>
      </c>
    </row>
    <row r="53" spans="1:11" x14ac:dyDescent="0.3">
      <c r="A53" s="16" t="s">
        <v>31</v>
      </c>
      <c r="B53" s="17">
        <v>2</v>
      </c>
      <c r="C53" s="17">
        <v>0</v>
      </c>
      <c r="D53" s="17"/>
      <c r="E53" s="17"/>
      <c r="F53" s="17"/>
      <c r="G53" s="18">
        <f>F53/$F$27</f>
        <v>0</v>
      </c>
      <c r="H53" s="11"/>
      <c r="I53" s="19" t="s">
        <v>28</v>
      </c>
      <c r="J53" s="20">
        <v>7</v>
      </c>
      <c r="K53" s="18">
        <f>J53/$J$52</f>
        <v>0.7</v>
      </c>
    </row>
    <row r="54" spans="1:11" x14ac:dyDescent="0.3">
      <c r="A54" s="5" t="s">
        <v>27</v>
      </c>
      <c r="B54" s="21">
        <v>3</v>
      </c>
      <c r="C54" s="21">
        <v>2</v>
      </c>
      <c r="D54" s="21"/>
      <c r="E54" s="21"/>
      <c r="F54" s="21"/>
      <c r="G54" s="18">
        <f>F54/$F$27</f>
        <v>0</v>
      </c>
      <c r="H54" s="11"/>
      <c r="I54" s="19" t="s">
        <v>51</v>
      </c>
      <c r="J54" s="20">
        <v>2</v>
      </c>
      <c r="K54" s="18">
        <f>J54/$J$52</f>
        <v>0.2</v>
      </c>
    </row>
    <row r="55" spans="1:11" x14ac:dyDescent="0.3">
      <c r="A55" s="5" t="s">
        <v>36</v>
      </c>
      <c r="B55" s="21">
        <v>0</v>
      </c>
      <c r="C55" s="21">
        <v>0</v>
      </c>
      <c r="D55" s="21"/>
      <c r="E55" s="21"/>
      <c r="F55" s="21"/>
      <c r="G55" s="18">
        <f>F55/$F$27</f>
        <v>0</v>
      </c>
      <c r="H55" s="11"/>
      <c r="I55" s="19" t="s">
        <v>34</v>
      </c>
      <c r="J55" s="20">
        <v>1</v>
      </c>
      <c r="K55" s="18">
        <f>J55/$J$52</f>
        <v>0.1</v>
      </c>
    </row>
    <row r="56" spans="1:11" x14ac:dyDescent="0.3">
      <c r="A56" s="5" t="s">
        <v>33</v>
      </c>
      <c r="B56" s="21">
        <v>1</v>
      </c>
      <c r="C56" s="21">
        <v>0</v>
      </c>
      <c r="D56" s="21"/>
      <c r="E56" s="21"/>
      <c r="F56" s="21"/>
      <c r="G56" s="18">
        <f>F56/$F$27</f>
        <v>0</v>
      </c>
      <c r="H56" s="11"/>
    </row>
    <row r="57" spans="1:11" x14ac:dyDescent="0.3">
      <c r="A57" s="5" t="s">
        <v>29</v>
      </c>
      <c r="B57" s="21">
        <v>0</v>
      </c>
      <c r="C57" s="21">
        <v>2</v>
      </c>
      <c r="D57" s="21"/>
      <c r="E57" s="21"/>
      <c r="F57" s="21"/>
      <c r="G57" s="18">
        <f>F57/$F$27</f>
        <v>0</v>
      </c>
      <c r="H57" s="11"/>
    </row>
  </sheetData>
  <sortState xmlns:xlrd2="http://schemas.microsoft.com/office/spreadsheetml/2017/richdata2" ref="A4:G14">
    <sortCondition ref="C4:C14"/>
    <sortCondition ref="A4:A1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FD16-3FD8-4534-B5F9-4DD574036CBF}">
  <dimension ref="A1:K68"/>
  <sheetViews>
    <sheetView showGridLines="0" zoomScaleNormal="100" workbookViewId="0">
      <selection activeCell="A4" sqref="A4:XFD11"/>
    </sheetView>
  </sheetViews>
  <sheetFormatPr baseColWidth="10" defaultRowHeight="14.4" x14ac:dyDescent="0.3"/>
  <cols>
    <col min="1" max="1" width="33.33203125" bestFit="1" customWidth="1"/>
    <col min="2" max="2" width="15" customWidth="1"/>
    <col min="3" max="3" width="14.109375" bestFit="1" customWidth="1"/>
    <col min="4" max="7" width="9.21875" bestFit="1" customWidth="1"/>
    <col min="8" max="8" width="5" customWidth="1"/>
    <col min="11" max="11" width="6.21875" customWidth="1"/>
  </cols>
  <sheetData>
    <row r="1" spans="1:11" ht="17.399999999999999" x14ac:dyDescent="0.35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</row>
    <row r="4" spans="1:11" s="36" customFormat="1" x14ac:dyDescent="0.3">
      <c r="A4" s="32" t="s">
        <v>12</v>
      </c>
      <c r="B4" s="32" t="s">
        <v>9</v>
      </c>
      <c r="C4" s="5">
        <v>45661</v>
      </c>
      <c r="D4" s="21">
        <v>0</v>
      </c>
      <c r="E4" s="21">
        <v>0</v>
      </c>
      <c r="F4" s="21">
        <v>0</v>
      </c>
      <c r="G4" s="21">
        <v>0</v>
      </c>
    </row>
    <row r="5" spans="1:11" s="36" customFormat="1" x14ac:dyDescent="0.3">
      <c r="A5" s="32" t="s">
        <v>13</v>
      </c>
      <c r="B5" s="32" t="s">
        <v>9</v>
      </c>
      <c r="C5" s="5">
        <v>45661</v>
      </c>
      <c r="D5" s="21">
        <v>0</v>
      </c>
      <c r="E5" s="21">
        <v>0</v>
      </c>
      <c r="F5" s="21">
        <v>0</v>
      </c>
      <c r="G5" s="21">
        <v>0</v>
      </c>
    </row>
    <row r="6" spans="1:11" s="36" customFormat="1" x14ac:dyDescent="0.3">
      <c r="A6" s="32" t="s">
        <v>14</v>
      </c>
      <c r="B6" s="32" t="s">
        <v>9</v>
      </c>
      <c r="C6" s="5">
        <v>45661</v>
      </c>
      <c r="D6" s="21">
        <v>0</v>
      </c>
      <c r="E6" s="21">
        <v>0</v>
      </c>
      <c r="F6" s="21">
        <v>0</v>
      </c>
      <c r="G6" s="21">
        <v>0</v>
      </c>
    </row>
    <row r="7" spans="1:11" s="36" customFormat="1" x14ac:dyDescent="0.3">
      <c r="A7" s="32" t="s">
        <v>15</v>
      </c>
      <c r="B7" s="32" t="s">
        <v>16</v>
      </c>
      <c r="C7" s="5">
        <v>45661</v>
      </c>
      <c r="D7" s="21">
        <v>6</v>
      </c>
      <c r="E7" s="21">
        <v>3</v>
      </c>
      <c r="F7" s="21">
        <v>1</v>
      </c>
      <c r="G7" s="21">
        <v>4</v>
      </c>
    </row>
    <row r="8" spans="1:11" s="36" customFormat="1" x14ac:dyDescent="0.3">
      <c r="A8" s="32" t="s">
        <v>17</v>
      </c>
      <c r="B8" s="32" t="s">
        <v>18</v>
      </c>
      <c r="C8" s="5">
        <v>45665</v>
      </c>
      <c r="D8" s="21">
        <v>1</v>
      </c>
      <c r="E8" s="21">
        <v>2</v>
      </c>
      <c r="F8" s="21">
        <v>0</v>
      </c>
      <c r="G8" s="21">
        <v>0</v>
      </c>
    </row>
    <row r="9" spans="1:11" s="36" customFormat="1" x14ac:dyDescent="0.3">
      <c r="A9" s="32" t="s">
        <v>19</v>
      </c>
      <c r="B9" s="32" t="s">
        <v>18</v>
      </c>
      <c r="C9" s="5">
        <v>45665</v>
      </c>
      <c r="D9" s="21">
        <v>1</v>
      </c>
      <c r="E9" s="21">
        <v>2</v>
      </c>
      <c r="F9" s="21">
        <v>0</v>
      </c>
      <c r="G9" s="21">
        <v>4</v>
      </c>
    </row>
    <row r="10" spans="1:11" s="36" customFormat="1" x14ac:dyDescent="0.3">
      <c r="A10" s="32" t="s">
        <v>38</v>
      </c>
      <c r="B10" s="32" t="s">
        <v>16</v>
      </c>
      <c r="C10" s="5">
        <v>45667</v>
      </c>
      <c r="D10" s="21">
        <v>8</v>
      </c>
      <c r="E10" s="21">
        <v>7</v>
      </c>
      <c r="F10" s="21">
        <v>1</v>
      </c>
      <c r="G10" s="21">
        <v>1</v>
      </c>
    </row>
    <row r="11" spans="1:11" s="36" customFormat="1" x14ac:dyDescent="0.3">
      <c r="A11" s="32" t="s">
        <v>39</v>
      </c>
      <c r="B11" s="32" t="s">
        <v>16</v>
      </c>
      <c r="C11" s="5">
        <v>45667</v>
      </c>
      <c r="D11" s="21">
        <v>6</v>
      </c>
      <c r="E11" s="21">
        <v>4</v>
      </c>
      <c r="F11" s="21">
        <v>5</v>
      </c>
      <c r="G11" s="21">
        <v>1</v>
      </c>
    </row>
    <row r="12" spans="1:11" s="36" customFormat="1" x14ac:dyDescent="0.3">
      <c r="A12" s="32" t="s">
        <v>44</v>
      </c>
      <c r="B12" s="32" t="s">
        <v>16</v>
      </c>
      <c r="C12" s="5">
        <v>45678</v>
      </c>
      <c r="D12" s="21">
        <v>0</v>
      </c>
      <c r="E12" s="21">
        <v>1</v>
      </c>
      <c r="F12" s="21"/>
      <c r="G12" s="21"/>
    </row>
    <row r="13" spans="1:11" s="36" customFormat="1" x14ac:dyDescent="0.3">
      <c r="A13" s="32" t="s">
        <v>45</v>
      </c>
      <c r="B13" s="32" t="s">
        <v>16</v>
      </c>
      <c r="C13" s="5">
        <v>45681</v>
      </c>
      <c r="D13" s="21">
        <v>0</v>
      </c>
      <c r="E13" s="21">
        <v>0</v>
      </c>
      <c r="F13" s="21"/>
      <c r="G13" s="21"/>
    </row>
    <row r="14" spans="1:11" s="36" customFormat="1" x14ac:dyDescent="0.3">
      <c r="A14" s="32" t="s">
        <v>86</v>
      </c>
      <c r="B14" s="32" t="s">
        <v>9</v>
      </c>
      <c r="C14" s="5">
        <v>45688</v>
      </c>
      <c r="D14" s="21">
        <v>0</v>
      </c>
      <c r="E14" s="21"/>
      <c r="F14" s="21"/>
      <c r="G14" s="21"/>
    </row>
    <row r="15" spans="1:11" s="36" customFormat="1" x14ac:dyDescent="0.3">
      <c r="A15" s="32" t="s">
        <v>87</v>
      </c>
      <c r="B15" s="32" t="s">
        <v>9</v>
      </c>
      <c r="C15" s="5">
        <v>45688</v>
      </c>
      <c r="D15" s="21">
        <v>0</v>
      </c>
      <c r="E15" s="21"/>
      <c r="F15" s="21"/>
      <c r="G15" s="21"/>
    </row>
    <row r="16" spans="1:11" s="36" customFormat="1" x14ac:dyDescent="0.3">
      <c r="A16" s="32" t="s">
        <v>88</v>
      </c>
      <c r="B16" s="32" t="s">
        <v>9</v>
      </c>
      <c r="C16" s="5">
        <v>45688</v>
      </c>
      <c r="D16" s="21">
        <v>0</v>
      </c>
      <c r="E16" s="21"/>
      <c r="F16" s="21"/>
      <c r="G16" s="21"/>
    </row>
    <row r="19" spans="1:11" x14ac:dyDescent="0.3">
      <c r="A19" s="58" t="s">
        <v>20</v>
      </c>
      <c r="B19" s="29" t="s">
        <v>4</v>
      </c>
      <c r="C19" s="10" t="s">
        <v>5</v>
      </c>
      <c r="D19" s="10" t="s">
        <v>6</v>
      </c>
      <c r="E19" s="10" t="s">
        <v>7</v>
      </c>
      <c r="F19" s="10" t="s">
        <v>21</v>
      </c>
      <c r="G19" s="10" t="s">
        <v>22</v>
      </c>
      <c r="H19" s="11"/>
      <c r="I19" s="12" t="s">
        <v>23</v>
      </c>
      <c r="J19" s="13" t="s">
        <v>24</v>
      </c>
      <c r="K19" s="10" t="s">
        <v>22</v>
      </c>
    </row>
    <row r="20" spans="1:11" x14ac:dyDescent="0.3">
      <c r="A20" s="59" t="s">
        <v>25</v>
      </c>
      <c r="B20" s="59">
        <f>SUM(B21:B24)</f>
        <v>6</v>
      </c>
      <c r="C20" s="59">
        <f t="shared" ref="C20:F20" si="0">SUM(C21:C24)</f>
        <v>3</v>
      </c>
      <c r="D20" s="59">
        <f t="shared" si="0"/>
        <v>1</v>
      </c>
      <c r="E20" s="59">
        <f t="shared" si="0"/>
        <v>4</v>
      </c>
      <c r="F20" s="59">
        <f t="shared" si="0"/>
        <v>14</v>
      </c>
      <c r="G20" s="60">
        <f>SUM(G21:G24)</f>
        <v>1</v>
      </c>
      <c r="H20" s="11"/>
      <c r="I20" s="59" t="s">
        <v>26</v>
      </c>
      <c r="J20" s="59">
        <f>SUM(J21:J26)</f>
        <v>14</v>
      </c>
      <c r="K20" s="60">
        <f>SUM(K21:K25)</f>
        <v>0.92857142857142838</v>
      </c>
    </row>
    <row r="21" spans="1:11" x14ac:dyDescent="0.3">
      <c r="A21" s="16" t="s">
        <v>27</v>
      </c>
      <c r="B21" s="17">
        <v>3</v>
      </c>
      <c r="C21" s="17">
        <v>1</v>
      </c>
      <c r="D21" s="17">
        <v>0</v>
      </c>
      <c r="E21" s="17">
        <v>2</v>
      </c>
      <c r="F21" s="17">
        <f>SUM(B21:E21)</f>
        <v>6</v>
      </c>
      <c r="G21" s="18">
        <f>F21/$F$20</f>
        <v>0.42857142857142855</v>
      </c>
      <c r="H21" s="11"/>
      <c r="I21" s="19" t="s">
        <v>28</v>
      </c>
      <c r="J21" s="20">
        <v>6</v>
      </c>
      <c r="K21" s="18">
        <f t="shared" ref="K21:K26" si="1">J21/$J$20</f>
        <v>0.42857142857142855</v>
      </c>
    </row>
    <row r="22" spans="1:11" x14ac:dyDescent="0.3">
      <c r="A22" s="5" t="s">
        <v>29</v>
      </c>
      <c r="B22" s="21">
        <v>3</v>
      </c>
      <c r="C22" s="21">
        <v>0</v>
      </c>
      <c r="D22" s="21">
        <v>1</v>
      </c>
      <c r="E22" s="21">
        <v>2</v>
      </c>
      <c r="F22" s="21">
        <f>SUM(B22:E22)</f>
        <v>6</v>
      </c>
      <c r="G22" s="22">
        <f>F22/$F$20</f>
        <v>0.42857142857142855</v>
      </c>
      <c r="H22" s="11"/>
      <c r="I22" s="19" t="s">
        <v>32</v>
      </c>
      <c r="J22" s="20">
        <v>3</v>
      </c>
      <c r="K22" s="18">
        <f t="shared" si="1"/>
        <v>0.21428571428571427</v>
      </c>
    </row>
    <row r="23" spans="1:11" x14ac:dyDescent="0.3">
      <c r="A23" s="5" t="s">
        <v>31</v>
      </c>
      <c r="B23" s="21">
        <v>0</v>
      </c>
      <c r="C23" s="21">
        <v>2</v>
      </c>
      <c r="D23" s="21">
        <v>0</v>
      </c>
      <c r="E23" s="21">
        <v>0</v>
      </c>
      <c r="F23" s="21">
        <f>SUM(B23:E23)</f>
        <v>2</v>
      </c>
      <c r="G23" s="22">
        <f>F23/$F$20</f>
        <v>0.14285714285714285</v>
      </c>
      <c r="H23" s="11"/>
      <c r="I23" s="19" t="s">
        <v>30</v>
      </c>
      <c r="J23" s="20">
        <v>2</v>
      </c>
      <c r="K23" s="18">
        <f t="shared" si="1"/>
        <v>0.14285714285714285</v>
      </c>
    </row>
    <row r="24" spans="1:11" x14ac:dyDescent="0.3">
      <c r="A24" s="5" t="s">
        <v>33</v>
      </c>
      <c r="B24" s="21">
        <v>0</v>
      </c>
      <c r="C24" s="21">
        <v>0</v>
      </c>
      <c r="D24" s="21">
        <v>0</v>
      </c>
      <c r="E24" s="21">
        <v>0</v>
      </c>
      <c r="F24" s="21">
        <f>SUM(B24:E24)</f>
        <v>0</v>
      </c>
      <c r="G24" s="22">
        <f>F24/$F$20</f>
        <v>0</v>
      </c>
      <c r="H24" s="11"/>
      <c r="I24" s="19" t="s">
        <v>34</v>
      </c>
      <c r="J24" s="20">
        <v>1</v>
      </c>
      <c r="K24" s="18">
        <f t="shared" si="1"/>
        <v>7.1428571428571425E-2</v>
      </c>
    </row>
    <row r="25" spans="1:11" x14ac:dyDescent="0.3">
      <c r="A25" s="23"/>
      <c r="B25" s="24"/>
      <c r="C25" s="24"/>
      <c r="D25" s="24"/>
      <c r="E25" s="24"/>
      <c r="F25" s="24"/>
      <c r="G25" s="25"/>
      <c r="H25" s="11"/>
      <c r="I25" s="19" t="s">
        <v>46</v>
      </c>
      <c r="J25" s="20">
        <v>1</v>
      </c>
      <c r="K25" s="18">
        <f t="shared" si="1"/>
        <v>7.1428571428571425E-2</v>
      </c>
    </row>
    <row r="26" spans="1:11" x14ac:dyDescent="0.3">
      <c r="A26" s="23"/>
      <c r="B26" s="24"/>
      <c r="C26" s="24"/>
      <c r="D26" s="24"/>
      <c r="E26" s="24"/>
      <c r="F26" s="24"/>
      <c r="G26" s="25"/>
      <c r="H26" s="11"/>
      <c r="I26" s="19" t="s">
        <v>48</v>
      </c>
      <c r="J26" s="20">
        <v>1</v>
      </c>
      <c r="K26" s="18">
        <f t="shared" si="1"/>
        <v>7.1428571428571425E-2</v>
      </c>
    </row>
    <row r="27" spans="1:11" x14ac:dyDescent="0.3">
      <c r="A27" s="23"/>
      <c r="B27" s="24"/>
      <c r="C27" s="24"/>
      <c r="D27" s="24"/>
      <c r="E27" s="24"/>
      <c r="F27" s="24"/>
      <c r="G27" s="25"/>
      <c r="H27" s="11"/>
      <c r="I27" s="26"/>
      <c r="J27" s="27"/>
      <c r="K27" s="25"/>
    </row>
    <row r="29" spans="1:11" x14ac:dyDescent="0.3">
      <c r="A29" s="58" t="s">
        <v>35</v>
      </c>
      <c r="B29" s="29" t="s">
        <v>4</v>
      </c>
      <c r="C29" s="10" t="s">
        <v>5</v>
      </c>
      <c r="D29" s="10" t="s">
        <v>6</v>
      </c>
      <c r="E29" s="10" t="s">
        <v>7</v>
      </c>
      <c r="F29" s="10" t="s">
        <v>21</v>
      </c>
      <c r="G29" s="10" t="s">
        <v>22</v>
      </c>
      <c r="H29" s="11"/>
      <c r="I29" s="12" t="s">
        <v>23</v>
      </c>
      <c r="J29" s="13" t="s">
        <v>24</v>
      </c>
      <c r="K29" s="10" t="s">
        <v>22</v>
      </c>
    </row>
    <row r="30" spans="1:11" x14ac:dyDescent="0.3">
      <c r="A30" s="59" t="s">
        <v>25</v>
      </c>
      <c r="B30" s="59">
        <f t="shared" ref="B30:G30" si="2">SUM(B31:B34)</f>
        <v>1</v>
      </c>
      <c r="C30" s="59">
        <f t="shared" si="2"/>
        <v>2</v>
      </c>
      <c r="D30" s="59">
        <f t="shared" si="2"/>
        <v>0</v>
      </c>
      <c r="E30" s="59">
        <f t="shared" si="2"/>
        <v>0</v>
      </c>
      <c r="F30" s="59">
        <f t="shared" si="2"/>
        <v>3</v>
      </c>
      <c r="G30" s="60">
        <f t="shared" si="2"/>
        <v>1</v>
      </c>
      <c r="H30" s="11"/>
      <c r="I30" s="59" t="s">
        <v>26</v>
      </c>
      <c r="J30" s="59">
        <f>SUM(J31:J33)</f>
        <v>3</v>
      </c>
      <c r="K30" s="60">
        <f>SUM(K31:K33)</f>
        <v>1</v>
      </c>
    </row>
    <row r="31" spans="1:11" x14ac:dyDescent="0.3">
      <c r="A31" s="16" t="s">
        <v>27</v>
      </c>
      <c r="B31" s="17">
        <v>0</v>
      </c>
      <c r="C31" s="17">
        <v>1</v>
      </c>
      <c r="D31" s="17">
        <v>0</v>
      </c>
      <c r="E31" s="17">
        <v>0</v>
      </c>
      <c r="F31" s="17">
        <f>SUM(B31:E31)</f>
        <v>1</v>
      </c>
      <c r="G31" s="18">
        <f>F31/$F$30</f>
        <v>0.33333333333333331</v>
      </c>
      <c r="H31" s="11"/>
      <c r="I31" s="19" t="s">
        <v>47</v>
      </c>
      <c r="J31" s="20">
        <v>1</v>
      </c>
      <c r="K31" s="18">
        <f>J31/$J$30</f>
        <v>0.33333333333333331</v>
      </c>
    </row>
    <row r="32" spans="1:11" x14ac:dyDescent="0.3">
      <c r="A32" s="5" t="s">
        <v>31</v>
      </c>
      <c r="B32" s="21">
        <v>1</v>
      </c>
      <c r="C32" s="21">
        <v>0</v>
      </c>
      <c r="D32" s="21">
        <v>0</v>
      </c>
      <c r="E32" s="21">
        <v>0</v>
      </c>
      <c r="F32" s="21">
        <f>SUM(B32:E32)</f>
        <v>1</v>
      </c>
      <c r="G32" s="18">
        <f>F32/$F$30</f>
        <v>0.33333333333333331</v>
      </c>
      <c r="H32" s="11"/>
      <c r="I32" s="19" t="s">
        <v>48</v>
      </c>
      <c r="J32" s="20">
        <v>1</v>
      </c>
      <c r="K32" s="18">
        <f>J32/$J$30</f>
        <v>0.33333333333333331</v>
      </c>
    </row>
    <row r="33" spans="1:11" x14ac:dyDescent="0.3">
      <c r="A33" s="5" t="s">
        <v>33</v>
      </c>
      <c r="B33" s="21">
        <v>0</v>
      </c>
      <c r="C33" s="21">
        <v>1</v>
      </c>
      <c r="D33" s="21">
        <v>0</v>
      </c>
      <c r="E33" s="21">
        <v>0</v>
      </c>
      <c r="F33" s="21">
        <f>SUM(B33:E33)</f>
        <v>1</v>
      </c>
      <c r="G33" s="18">
        <f>F33/$F$30</f>
        <v>0.33333333333333331</v>
      </c>
      <c r="H33" s="11"/>
      <c r="I33" s="19" t="s">
        <v>28</v>
      </c>
      <c r="J33" s="20">
        <v>1</v>
      </c>
      <c r="K33" s="18">
        <f>J33/$J$30</f>
        <v>0.33333333333333331</v>
      </c>
    </row>
    <row r="34" spans="1:11" x14ac:dyDescent="0.3">
      <c r="A34" s="5" t="s">
        <v>36</v>
      </c>
      <c r="B34" s="21">
        <v>0</v>
      </c>
      <c r="C34" s="21">
        <v>0</v>
      </c>
      <c r="D34" s="21">
        <v>0</v>
      </c>
      <c r="E34" s="21">
        <v>0</v>
      </c>
      <c r="F34" s="21">
        <f>SUM(B34:E34)</f>
        <v>0</v>
      </c>
      <c r="G34" s="18">
        <f>F34/$F$30</f>
        <v>0</v>
      </c>
      <c r="H34" s="11"/>
    </row>
    <row r="35" spans="1:11" x14ac:dyDescent="0.3">
      <c r="A35" s="23"/>
      <c r="B35" s="24"/>
      <c r="C35" s="24"/>
      <c r="D35" s="24"/>
      <c r="E35" s="24"/>
      <c r="F35" s="24"/>
      <c r="G35" s="25"/>
      <c r="H35" s="11"/>
    </row>
    <row r="36" spans="1:11" x14ac:dyDescent="0.3">
      <c r="A36" s="28"/>
    </row>
    <row r="37" spans="1:11" x14ac:dyDescent="0.3">
      <c r="A37" s="58" t="s">
        <v>37</v>
      </c>
      <c r="B37" s="29" t="s">
        <v>4</v>
      </c>
      <c r="C37" s="10" t="s">
        <v>5</v>
      </c>
      <c r="D37" s="10" t="s">
        <v>6</v>
      </c>
      <c r="E37" s="10" t="s">
        <v>7</v>
      </c>
      <c r="F37" s="10" t="s">
        <v>21</v>
      </c>
      <c r="G37" s="10" t="s">
        <v>22</v>
      </c>
      <c r="H37" s="11"/>
      <c r="I37" s="12" t="s">
        <v>23</v>
      </c>
      <c r="J37" s="13" t="s">
        <v>24</v>
      </c>
      <c r="K37" s="10" t="s">
        <v>22</v>
      </c>
    </row>
    <row r="38" spans="1:11" x14ac:dyDescent="0.3">
      <c r="A38" s="59" t="s">
        <v>25</v>
      </c>
      <c r="B38" s="59">
        <f t="shared" ref="B38:G38" si="3">SUM(B39:B42)</f>
        <v>1</v>
      </c>
      <c r="C38" s="59">
        <f t="shared" si="3"/>
        <v>2</v>
      </c>
      <c r="D38" s="59">
        <f t="shared" si="3"/>
        <v>0</v>
      </c>
      <c r="E38" s="59">
        <f t="shared" si="3"/>
        <v>4</v>
      </c>
      <c r="F38" s="59">
        <f t="shared" si="3"/>
        <v>7</v>
      </c>
      <c r="G38" s="60">
        <f t="shared" si="3"/>
        <v>0.99999999999999978</v>
      </c>
      <c r="H38" s="11"/>
      <c r="I38" s="59" t="s">
        <v>26</v>
      </c>
      <c r="J38" s="59">
        <f>SUM(J39:J42)</f>
        <v>7</v>
      </c>
      <c r="K38" s="60">
        <f>SUM(K39:K42)</f>
        <v>0.99999999999999978</v>
      </c>
    </row>
    <row r="39" spans="1:11" x14ac:dyDescent="0.3">
      <c r="A39" s="16" t="s">
        <v>33</v>
      </c>
      <c r="B39" s="17">
        <v>0</v>
      </c>
      <c r="C39" s="17">
        <v>1</v>
      </c>
      <c r="D39" s="17">
        <v>0</v>
      </c>
      <c r="E39" s="17">
        <v>3</v>
      </c>
      <c r="F39" s="17">
        <f>SUM(B39:E39)</f>
        <v>4</v>
      </c>
      <c r="G39" s="18">
        <f>F39/$F$38</f>
        <v>0.5714285714285714</v>
      </c>
      <c r="H39" s="11"/>
      <c r="I39" s="19" t="s">
        <v>67</v>
      </c>
      <c r="J39" s="20">
        <v>4</v>
      </c>
      <c r="K39" s="18">
        <f>J39/$J$38</f>
        <v>0.5714285714285714</v>
      </c>
    </row>
    <row r="40" spans="1:11" x14ac:dyDescent="0.3">
      <c r="A40" s="5" t="s">
        <v>27</v>
      </c>
      <c r="B40" s="21">
        <v>0</v>
      </c>
      <c r="C40" s="21">
        <v>1</v>
      </c>
      <c r="D40" s="21">
        <v>0</v>
      </c>
      <c r="E40" s="21">
        <v>0</v>
      </c>
      <c r="F40" s="21">
        <f>SUM(B40:E40)</f>
        <v>1</v>
      </c>
      <c r="G40" s="18">
        <f>F40/$F$38</f>
        <v>0.14285714285714285</v>
      </c>
      <c r="H40" s="11"/>
      <c r="I40" s="19" t="s">
        <v>47</v>
      </c>
      <c r="J40" s="20">
        <v>1</v>
      </c>
      <c r="K40" s="18">
        <f>J40/$J$38</f>
        <v>0.14285714285714285</v>
      </c>
    </row>
    <row r="41" spans="1:11" x14ac:dyDescent="0.3">
      <c r="A41" s="5" t="s">
        <v>31</v>
      </c>
      <c r="B41" s="21">
        <v>1</v>
      </c>
      <c r="C41" s="21">
        <v>0</v>
      </c>
      <c r="D41" s="21">
        <v>0</v>
      </c>
      <c r="E41" s="21">
        <v>0</v>
      </c>
      <c r="F41" s="21">
        <f>SUM(B41:E41)</f>
        <v>1</v>
      </c>
      <c r="G41" s="18">
        <f>F41/$F$38</f>
        <v>0.14285714285714285</v>
      </c>
      <c r="H41" s="11"/>
      <c r="I41" s="19" t="s">
        <v>48</v>
      </c>
      <c r="J41" s="20">
        <v>1</v>
      </c>
      <c r="K41" s="18">
        <f>J41/$J$38</f>
        <v>0.14285714285714285</v>
      </c>
    </row>
    <row r="42" spans="1:11" x14ac:dyDescent="0.3">
      <c r="A42" s="5" t="s">
        <v>36</v>
      </c>
      <c r="B42" s="21">
        <v>0</v>
      </c>
      <c r="C42" s="21">
        <v>0</v>
      </c>
      <c r="D42" s="21">
        <v>0</v>
      </c>
      <c r="E42" s="21">
        <v>1</v>
      </c>
      <c r="F42" s="21">
        <f>SUM(B42:E42)</f>
        <v>1</v>
      </c>
      <c r="G42" s="18">
        <f>F42/$F$38</f>
        <v>0.14285714285714285</v>
      </c>
      <c r="H42" s="11"/>
      <c r="I42" s="19" t="s">
        <v>28</v>
      </c>
      <c r="J42" s="20">
        <v>1</v>
      </c>
      <c r="K42" s="18">
        <f>J42/$J$38</f>
        <v>0.14285714285714285</v>
      </c>
    </row>
    <row r="45" spans="1:11" x14ac:dyDescent="0.3">
      <c r="A45" s="58" t="s">
        <v>49</v>
      </c>
      <c r="B45" s="29" t="s">
        <v>4</v>
      </c>
      <c r="C45" s="10" t="s">
        <v>5</v>
      </c>
      <c r="D45" s="10" t="s">
        <v>6</v>
      </c>
      <c r="E45" s="10" t="s">
        <v>7</v>
      </c>
      <c r="F45" s="10" t="s">
        <v>21</v>
      </c>
      <c r="G45" s="10" t="s">
        <v>22</v>
      </c>
      <c r="H45" s="11"/>
      <c r="I45" s="12" t="s">
        <v>23</v>
      </c>
      <c r="J45" s="13" t="s">
        <v>24</v>
      </c>
      <c r="K45" s="10" t="s">
        <v>22</v>
      </c>
    </row>
    <row r="46" spans="1:11" x14ac:dyDescent="0.3">
      <c r="A46" s="59" t="s">
        <v>25</v>
      </c>
      <c r="B46" s="59">
        <f t="shared" ref="B46:G46" si="4">SUM(B47:B51)</f>
        <v>8</v>
      </c>
      <c r="C46" s="59">
        <f t="shared" si="4"/>
        <v>7</v>
      </c>
      <c r="D46" s="59">
        <f t="shared" si="4"/>
        <v>1</v>
      </c>
      <c r="E46" s="59">
        <f t="shared" si="4"/>
        <v>1</v>
      </c>
      <c r="F46" s="59">
        <f t="shared" si="4"/>
        <v>17</v>
      </c>
      <c r="G46" s="60">
        <f t="shared" si="4"/>
        <v>1</v>
      </c>
      <c r="H46" s="11"/>
      <c r="I46" s="59" t="s">
        <v>26</v>
      </c>
      <c r="J46" s="59">
        <f>SUM(J47:J51)</f>
        <v>17</v>
      </c>
      <c r="K46" s="60">
        <f>SUM(K47:K51)</f>
        <v>1</v>
      </c>
    </row>
    <row r="47" spans="1:11" x14ac:dyDescent="0.3">
      <c r="A47" s="16" t="s">
        <v>29</v>
      </c>
      <c r="B47" s="17">
        <v>6</v>
      </c>
      <c r="C47" s="17">
        <v>7</v>
      </c>
      <c r="D47" s="17">
        <v>0</v>
      </c>
      <c r="E47" s="17">
        <v>0</v>
      </c>
      <c r="F47" s="21">
        <f>SUM(B47:E47)</f>
        <v>13</v>
      </c>
      <c r="G47" s="18">
        <f>F47/$F$46</f>
        <v>0.76470588235294112</v>
      </c>
      <c r="H47" s="11"/>
      <c r="I47" s="19" t="s">
        <v>28</v>
      </c>
      <c r="J47" s="20">
        <v>6</v>
      </c>
      <c r="K47" s="18">
        <f>J47/$J$46</f>
        <v>0.35294117647058826</v>
      </c>
    </row>
    <row r="48" spans="1:11" x14ac:dyDescent="0.3">
      <c r="A48" s="5" t="s">
        <v>33</v>
      </c>
      <c r="B48" s="21">
        <v>2</v>
      </c>
      <c r="C48" s="21">
        <v>0</v>
      </c>
      <c r="D48" s="21">
        <v>1</v>
      </c>
      <c r="E48" s="21">
        <v>0</v>
      </c>
      <c r="F48" s="21">
        <f>SUM(B48:E48)</f>
        <v>3</v>
      </c>
      <c r="G48" s="18">
        <f>F48/$F$46</f>
        <v>0.17647058823529413</v>
      </c>
      <c r="H48" s="11"/>
      <c r="I48" s="19" t="s">
        <v>52</v>
      </c>
      <c r="J48" s="20">
        <v>5</v>
      </c>
      <c r="K48" s="18">
        <f>J48/$J$46</f>
        <v>0.29411764705882354</v>
      </c>
    </row>
    <row r="49" spans="1:11" x14ac:dyDescent="0.3">
      <c r="A49" s="5" t="s">
        <v>27</v>
      </c>
      <c r="B49" s="21">
        <v>0</v>
      </c>
      <c r="C49" s="21">
        <v>0</v>
      </c>
      <c r="D49" s="21">
        <v>0</v>
      </c>
      <c r="E49" s="21">
        <v>1</v>
      </c>
      <c r="F49" s="21">
        <f>SUM(B49:E49)</f>
        <v>1</v>
      </c>
      <c r="G49" s="18">
        <f>F49/$F$46</f>
        <v>5.8823529411764705E-2</v>
      </c>
      <c r="H49" s="11"/>
      <c r="I49" s="19" t="s">
        <v>51</v>
      </c>
      <c r="J49" s="20">
        <v>4</v>
      </c>
      <c r="K49" s="18">
        <f>J49/$J$46</f>
        <v>0.23529411764705882</v>
      </c>
    </row>
    <row r="50" spans="1:11" x14ac:dyDescent="0.3">
      <c r="A50" s="5" t="s">
        <v>31</v>
      </c>
      <c r="B50" s="21">
        <v>0</v>
      </c>
      <c r="C50" s="21">
        <v>0</v>
      </c>
      <c r="D50" s="21">
        <v>0</v>
      </c>
      <c r="E50" s="21">
        <v>0</v>
      </c>
      <c r="F50" s="21">
        <f>SUM(B50:E50)</f>
        <v>0</v>
      </c>
      <c r="G50" s="18">
        <f>F50/$F$46</f>
        <v>0</v>
      </c>
      <c r="H50" s="11"/>
      <c r="I50" s="19" t="s">
        <v>47</v>
      </c>
      <c r="J50" s="20">
        <v>1</v>
      </c>
      <c r="K50" s="18">
        <f>J50/$J$46</f>
        <v>5.8823529411764705E-2</v>
      </c>
    </row>
    <row r="51" spans="1:11" x14ac:dyDescent="0.3">
      <c r="A51" s="5" t="s">
        <v>36</v>
      </c>
      <c r="B51" s="21">
        <v>0</v>
      </c>
      <c r="C51" s="21">
        <v>0</v>
      </c>
      <c r="D51" s="21">
        <v>0</v>
      </c>
      <c r="E51" s="21">
        <v>0</v>
      </c>
      <c r="F51" s="21">
        <f>SUM(B51:E51)</f>
        <v>0</v>
      </c>
      <c r="G51" s="18">
        <f>F51/$F$46</f>
        <v>0</v>
      </c>
      <c r="H51" s="11"/>
      <c r="I51" s="19" t="s">
        <v>67</v>
      </c>
      <c r="J51" s="20">
        <v>1</v>
      </c>
      <c r="K51" s="18">
        <f>J51/$J$46</f>
        <v>5.8823529411764705E-2</v>
      </c>
    </row>
    <row r="54" spans="1:11" x14ac:dyDescent="0.3">
      <c r="A54" s="58" t="s">
        <v>50</v>
      </c>
      <c r="B54" s="29" t="s">
        <v>4</v>
      </c>
      <c r="C54" s="10" t="s">
        <v>5</v>
      </c>
      <c r="D54" s="10" t="s">
        <v>6</v>
      </c>
      <c r="E54" s="10" t="s">
        <v>7</v>
      </c>
      <c r="F54" s="10" t="s">
        <v>21</v>
      </c>
      <c r="G54" s="10" t="s">
        <v>22</v>
      </c>
      <c r="H54" s="11"/>
      <c r="I54" s="12" t="s">
        <v>23</v>
      </c>
      <c r="J54" s="13" t="s">
        <v>24</v>
      </c>
      <c r="K54" s="10" t="s">
        <v>22</v>
      </c>
    </row>
    <row r="55" spans="1:11" x14ac:dyDescent="0.3">
      <c r="A55" s="59" t="s">
        <v>25</v>
      </c>
      <c r="B55" s="59">
        <f t="shared" ref="B55:G55" si="5">SUM(B56:B60)</f>
        <v>6</v>
      </c>
      <c r="C55" s="59">
        <f t="shared" si="5"/>
        <v>4</v>
      </c>
      <c r="D55" s="59">
        <f t="shared" si="5"/>
        <v>5</v>
      </c>
      <c r="E55" s="59">
        <f t="shared" si="5"/>
        <v>1</v>
      </c>
      <c r="F55" s="59">
        <f t="shared" si="5"/>
        <v>16</v>
      </c>
      <c r="G55" s="60">
        <f t="shared" si="5"/>
        <v>1</v>
      </c>
      <c r="H55" s="11"/>
      <c r="I55" s="59" t="s">
        <v>26</v>
      </c>
      <c r="J55" s="59">
        <f>SUM(J56:J58)</f>
        <v>16</v>
      </c>
      <c r="K55" s="60">
        <f>SUM(K56:K58)</f>
        <v>1</v>
      </c>
    </row>
    <row r="56" spans="1:11" x14ac:dyDescent="0.3">
      <c r="A56" s="16" t="s">
        <v>27</v>
      </c>
      <c r="B56" s="17">
        <v>3</v>
      </c>
      <c r="C56" s="17">
        <v>2</v>
      </c>
      <c r="D56" s="17">
        <v>2</v>
      </c>
      <c r="E56" s="17">
        <v>0</v>
      </c>
      <c r="F56" s="21">
        <f>SUM(B56:E56)</f>
        <v>7</v>
      </c>
      <c r="G56" s="18">
        <f>F56/$F$55</f>
        <v>0.4375</v>
      </c>
      <c r="H56" s="11"/>
      <c r="I56" s="19" t="s">
        <v>28</v>
      </c>
      <c r="J56" s="20">
        <v>12</v>
      </c>
      <c r="K56" s="18">
        <f>J56/$J$55</f>
        <v>0.75</v>
      </c>
    </row>
    <row r="57" spans="1:11" x14ac:dyDescent="0.3">
      <c r="A57" s="5" t="s">
        <v>33</v>
      </c>
      <c r="B57" s="21">
        <v>1</v>
      </c>
      <c r="C57" s="21">
        <v>0</v>
      </c>
      <c r="D57" s="21">
        <v>3</v>
      </c>
      <c r="E57" s="21">
        <v>0</v>
      </c>
      <c r="F57" s="21">
        <f>SUM(B57:E57)</f>
        <v>4</v>
      </c>
      <c r="G57" s="18">
        <f>F57/$F$55</f>
        <v>0.25</v>
      </c>
      <c r="H57" s="11"/>
      <c r="I57" s="19" t="s">
        <v>51</v>
      </c>
      <c r="J57" s="20">
        <v>2</v>
      </c>
      <c r="K57" s="18">
        <f>J57/$J$55</f>
        <v>0.125</v>
      </c>
    </row>
    <row r="58" spans="1:11" x14ac:dyDescent="0.3">
      <c r="A58" s="5" t="s">
        <v>29</v>
      </c>
      <c r="B58" s="21">
        <v>0</v>
      </c>
      <c r="C58" s="21">
        <v>2</v>
      </c>
      <c r="D58" s="21">
        <v>0</v>
      </c>
      <c r="E58" s="21">
        <v>1</v>
      </c>
      <c r="F58" s="21">
        <f>SUM(B58:E58)</f>
        <v>3</v>
      </c>
      <c r="G58" s="18">
        <f>F58/$F$55</f>
        <v>0.1875</v>
      </c>
      <c r="H58" s="11"/>
      <c r="I58" s="19" t="s">
        <v>34</v>
      </c>
      <c r="J58" s="20">
        <v>2</v>
      </c>
      <c r="K58" s="18">
        <f>J58/$J$55</f>
        <v>0.125</v>
      </c>
    </row>
    <row r="59" spans="1:11" x14ac:dyDescent="0.3">
      <c r="A59" s="5" t="s">
        <v>31</v>
      </c>
      <c r="B59" s="21">
        <v>2</v>
      </c>
      <c r="C59" s="21">
        <v>0</v>
      </c>
      <c r="D59" s="21">
        <v>0</v>
      </c>
      <c r="E59" s="21">
        <v>0</v>
      </c>
      <c r="F59" s="21">
        <f>SUM(B59:E59)</f>
        <v>2</v>
      </c>
      <c r="G59" s="18">
        <f>F59/$F$55</f>
        <v>0.125</v>
      </c>
      <c r="H59" s="11"/>
    </row>
    <row r="60" spans="1:11" x14ac:dyDescent="0.3">
      <c r="A60" s="5" t="s">
        <v>36</v>
      </c>
      <c r="B60" s="21">
        <v>0</v>
      </c>
      <c r="C60" s="21">
        <v>0</v>
      </c>
      <c r="D60" s="21">
        <v>0</v>
      </c>
      <c r="E60" s="21">
        <v>0</v>
      </c>
      <c r="F60" s="21">
        <f>SUM(B60:E60)</f>
        <v>0</v>
      </c>
      <c r="G60" s="18">
        <f>F60/$F$55</f>
        <v>0</v>
      </c>
      <c r="H60" s="11"/>
    </row>
    <row r="63" spans="1:11" x14ac:dyDescent="0.3">
      <c r="A63" s="58" t="s">
        <v>90</v>
      </c>
      <c r="B63" s="29" t="s">
        <v>4</v>
      </c>
      <c r="C63" s="10" t="s">
        <v>5</v>
      </c>
      <c r="D63" s="10" t="s">
        <v>6</v>
      </c>
      <c r="E63" s="10" t="s">
        <v>7</v>
      </c>
      <c r="F63" s="10" t="s">
        <v>21</v>
      </c>
      <c r="G63" s="10" t="s">
        <v>22</v>
      </c>
      <c r="H63" s="11"/>
      <c r="I63" s="12" t="s">
        <v>23</v>
      </c>
      <c r="J63" s="13" t="s">
        <v>24</v>
      </c>
      <c r="K63" s="10" t="s">
        <v>22</v>
      </c>
    </row>
    <row r="64" spans="1:11" x14ac:dyDescent="0.3">
      <c r="A64" s="59" t="s">
        <v>25</v>
      </c>
      <c r="B64" s="59">
        <f t="shared" ref="B64:G64" si="6">SUM(B65:B68)</f>
        <v>0</v>
      </c>
      <c r="C64" s="59">
        <f t="shared" si="6"/>
        <v>1</v>
      </c>
      <c r="D64" s="59">
        <f t="shared" si="6"/>
        <v>0</v>
      </c>
      <c r="E64" s="59">
        <f t="shared" si="6"/>
        <v>0</v>
      </c>
      <c r="F64" s="59">
        <f t="shared" si="6"/>
        <v>1</v>
      </c>
      <c r="G64" s="60">
        <f t="shared" si="6"/>
        <v>1</v>
      </c>
      <c r="H64" s="11"/>
      <c r="I64" s="59" t="s">
        <v>26</v>
      </c>
      <c r="J64" s="59">
        <f>SUM(J65:J67)</f>
        <v>1</v>
      </c>
      <c r="K64" s="60">
        <f>SUM(K65:K67)</f>
        <v>1</v>
      </c>
    </row>
    <row r="65" spans="1:11" x14ac:dyDescent="0.3">
      <c r="A65" s="16" t="s">
        <v>31</v>
      </c>
      <c r="B65" s="17">
        <v>0</v>
      </c>
      <c r="C65" s="17">
        <v>1</v>
      </c>
      <c r="D65" s="17"/>
      <c r="E65" s="17"/>
      <c r="F65" s="21">
        <f>SUM(B65:E65)</f>
        <v>1</v>
      </c>
      <c r="G65" s="18">
        <f>F65/$F$64</f>
        <v>1</v>
      </c>
      <c r="H65" s="11"/>
      <c r="I65" s="19" t="s">
        <v>48</v>
      </c>
      <c r="J65" s="20">
        <v>1</v>
      </c>
      <c r="K65" s="18">
        <f>J65/$J$64</f>
        <v>1</v>
      </c>
    </row>
    <row r="66" spans="1:11" x14ac:dyDescent="0.3">
      <c r="A66" s="5" t="s">
        <v>27</v>
      </c>
      <c r="B66" s="21">
        <v>0</v>
      </c>
      <c r="C66" s="21">
        <v>0</v>
      </c>
      <c r="D66" s="21"/>
      <c r="E66" s="21"/>
      <c r="F66" s="21">
        <f>SUM(B66:E66)</f>
        <v>0</v>
      </c>
      <c r="G66" s="18">
        <f>F66/$F$64</f>
        <v>0</v>
      </c>
      <c r="H66" s="11"/>
    </row>
    <row r="67" spans="1:11" x14ac:dyDescent="0.3">
      <c r="A67" s="5" t="s">
        <v>33</v>
      </c>
      <c r="B67" s="21">
        <v>0</v>
      </c>
      <c r="C67" s="21">
        <v>0</v>
      </c>
      <c r="D67" s="21"/>
      <c r="E67" s="21"/>
      <c r="F67" s="21">
        <f>SUM(B67:E67)</f>
        <v>0</v>
      </c>
      <c r="G67" s="18">
        <f>F67/$F$64</f>
        <v>0</v>
      </c>
      <c r="H67" s="11"/>
    </row>
    <row r="68" spans="1:11" x14ac:dyDescent="0.3">
      <c r="A68" s="5" t="s">
        <v>29</v>
      </c>
      <c r="B68" s="21">
        <v>0</v>
      </c>
      <c r="C68" s="21">
        <v>0</v>
      </c>
      <c r="D68" s="21"/>
      <c r="E68" s="21"/>
      <c r="F68" s="21">
        <f>SUM(B68:E68)</f>
        <v>0</v>
      </c>
      <c r="G68" s="18">
        <f>F68/$F$64</f>
        <v>0</v>
      </c>
      <c r="H68" s="11"/>
    </row>
  </sheetData>
  <sortState xmlns:xlrd2="http://schemas.microsoft.com/office/spreadsheetml/2017/richdata2" ref="A65:G68">
    <sortCondition descending="1" ref="G65:G68"/>
  </sortState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8F5D-8A12-4317-AAA2-5018F7AE7071}">
  <dimension ref="A1:K49"/>
  <sheetViews>
    <sheetView showGridLines="0" zoomScaleNormal="100" workbookViewId="0">
      <selection activeCell="F26" sqref="F26"/>
    </sheetView>
  </sheetViews>
  <sheetFormatPr baseColWidth="10" defaultRowHeight="14.4" x14ac:dyDescent="0.3"/>
  <cols>
    <col min="1" max="1" width="34.6640625" bestFit="1" customWidth="1"/>
    <col min="2" max="2" width="15" customWidth="1"/>
    <col min="3" max="3" width="14.109375" bestFit="1" customWidth="1"/>
    <col min="4" max="7" width="9.21875" bestFit="1" customWidth="1"/>
    <col min="8" max="8" width="5" customWidth="1"/>
    <col min="11" max="11" width="6.21875" customWidth="1"/>
  </cols>
  <sheetData>
    <row r="1" spans="1:11" ht="17.399999999999999" x14ac:dyDescent="0.35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</row>
    <row r="4" spans="1:11" s="36" customFormat="1" x14ac:dyDescent="0.3">
      <c r="A4" s="32" t="s">
        <v>44</v>
      </c>
      <c r="B4" s="32" t="s">
        <v>16</v>
      </c>
      <c r="C4" s="5">
        <v>45678</v>
      </c>
      <c r="D4" s="21">
        <v>0</v>
      </c>
      <c r="E4" s="21">
        <v>1</v>
      </c>
      <c r="F4" s="21">
        <v>1</v>
      </c>
      <c r="G4" s="21">
        <v>2</v>
      </c>
    </row>
    <row r="5" spans="1:11" s="36" customFormat="1" x14ac:dyDescent="0.3">
      <c r="A5" s="32" t="s">
        <v>45</v>
      </c>
      <c r="B5" s="32" t="s">
        <v>16</v>
      </c>
      <c r="C5" s="5">
        <v>45681</v>
      </c>
      <c r="D5" s="21">
        <v>0</v>
      </c>
      <c r="E5" s="21">
        <v>0</v>
      </c>
      <c r="F5" s="21">
        <v>2</v>
      </c>
      <c r="G5" s="21">
        <v>2</v>
      </c>
    </row>
    <row r="6" spans="1:11" s="36" customFormat="1" x14ac:dyDescent="0.3">
      <c r="A6" s="32" t="s">
        <v>86</v>
      </c>
      <c r="B6" s="32" t="s">
        <v>9</v>
      </c>
      <c r="C6" s="5">
        <v>45688</v>
      </c>
      <c r="D6" s="21">
        <v>0</v>
      </c>
      <c r="E6" s="21">
        <v>0</v>
      </c>
      <c r="F6" s="21">
        <v>1</v>
      </c>
      <c r="G6" s="21"/>
    </row>
    <row r="7" spans="1:11" s="36" customFormat="1" x14ac:dyDescent="0.3">
      <c r="A7" s="32" t="s">
        <v>87</v>
      </c>
      <c r="B7" s="32" t="s">
        <v>9</v>
      </c>
      <c r="C7" s="5">
        <v>45688</v>
      </c>
      <c r="D7" s="21">
        <v>0</v>
      </c>
      <c r="E7" s="21">
        <v>1</v>
      </c>
      <c r="F7" s="21">
        <v>0</v>
      </c>
      <c r="G7" s="21"/>
    </row>
    <row r="8" spans="1:11" s="36" customFormat="1" x14ac:dyDescent="0.3">
      <c r="A8" s="32" t="s">
        <v>88</v>
      </c>
      <c r="B8" s="32" t="s">
        <v>9</v>
      </c>
      <c r="C8" s="5">
        <v>45688</v>
      </c>
      <c r="D8" s="21">
        <v>0</v>
      </c>
      <c r="E8" s="21">
        <v>0</v>
      </c>
      <c r="F8" s="21">
        <v>0</v>
      </c>
      <c r="G8" s="21"/>
    </row>
    <row r="9" spans="1:11" s="36" customFormat="1" x14ac:dyDescent="0.3">
      <c r="A9" s="32" t="s">
        <v>91</v>
      </c>
      <c r="B9" s="32" t="s">
        <v>16</v>
      </c>
      <c r="C9" s="5">
        <v>45693</v>
      </c>
      <c r="D9" s="21">
        <v>0</v>
      </c>
      <c r="E9" s="21">
        <v>0</v>
      </c>
      <c r="F9" s="21"/>
      <c r="G9" s="21"/>
    </row>
    <row r="10" spans="1:11" s="36" customFormat="1" x14ac:dyDescent="0.3">
      <c r="A10" s="32" t="s">
        <v>92</v>
      </c>
      <c r="B10" s="32" t="s">
        <v>16</v>
      </c>
      <c r="C10" s="5">
        <v>45693</v>
      </c>
      <c r="D10" s="21">
        <v>1</v>
      </c>
      <c r="E10" s="21">
        <v>0</v>
      </c>
      <c r="F10" s="21"/>
      <c r="G10" s="21"/>
    </row>
    <row r="13" spans="1:11" x14ac:dyDescent="0.3">
      <c r="A13" s="63" t="s">
        <v>90</v>
      </c>
      <c r="B13" s="29" t="s">
        <v>4</v>
      </c>
      <c r="C13" s="10" t="s">
        <v>5</v>
      </c>
      <c r="D13" s="10" t="s">
        <v>6</v>
      </c>
      <c r="E13" s="10" t="s">
        <v>7</v>
      </c>
      <c r="F13" s="10" t="s">
        <v>21</v>
      </c>
      <c r="G13" s="10" t="s">
        <v>22</v>
      </c>
      <c r="H13" s="11"/>
      <c r="I13" s="61" t="s">
        <v>23</v>
      </c>
      <c r="J13" s="62" t="s">
        <v>24</v>
      </c>
      <c r="K13" s="10" t="s">
        <v>22</v>
      </c>
    </row>
    <row r="14" spans="1:11" x14ac:dyDescent="0.3">
      <c r="A14" s="64" t="s">
        <v>25</v>
      </c>
      <c r="B14" s="64">
        <f t="shared" ref="B14:G14" si="0">SUM(B15:B18)</f>
        <v>0</v>
      </c>
      <c r="C14" s="64">
        <f t="shared" si="0"/>
        <v>1</v>
      </c>
      <c r="D14" s="64">
        <f t="shared" si="0"/>
        <v>1</v>
      </c>
      <c r="E14" s="64">
        <f t="shared" si="0"/>
        <v>2</v>
      </c>
      <c r="F14" s="64">
        <f t="shared" si="0"/>
        <v>4</v>
      </c>
      <c r="G14" s="65">
        <f t="shared" si="0"/>
        <v>1</v>
      </c>
      <c r="H14" s="11"/>
      <c r="I14" s="64" t="s">
        <v>26</v>
      </c>
      <c r="J14" s="64">
        <f>SUM(J15:J17)</f>
        <v>4</v>
      </c>
      <c r="K14" s="66">
        <f>SUM(K15:K17)</f>
        <v>1</v>
      </c>
    </row>
    <row r="15" spans="1:11" x14ac:dyDescent="0.3">
      <c r="A15" s="16" t="s">
        <v>29</v>
      </c>
      <c r="B15" s="17">
        <v>0</v>
      </c>
      <c r="C15" s="17">
        <v>0</v>
      </c>
      <c r="D15" s="21">
        <v>1</v>
      </c>
      <c r="E15" s="21">
        <v>1</v>
      </c>
      <c r="F15" s="21">
        <f>SUM(B15:E15)</f>
        <v>2</v>
      </c>
      <c r="G15" s="18">
        <f>F15/$F$14</f>
        <v>0.5</v>
      </c>
      <c r="H15" s="11"/>
      <c r="I15" s="19" t="s">
        <v>48</v>
      </c>
      <c r="J15" s="20">
        <v>2</v>
      </c>
      <c r="K15" s="18">
        <f>J15/$J$14</f>
        <v>0.5</v>
      </c>
    </row>
    <row r="16" spans="1:11" x14ac:dyDescent="0.3">
      <c r="A16" s="5" t="s">
        <v>31</v>
      </c>
      <c r="B16" s="21">
        <v>0</v>
      </c>
      <c r="C16" s="21">
        <v>1</v>
      </c>
      <c r="D16" s="21">
        <v>0</v>
      </c>
      <c r="E16" s="21">
        <v>0</v>
      </c>
      <c r="F16" s="21">
        <f>SUM(B16:E16)</f>
        <v>1</v>
      </c>
      <c r="G16" s="18">
        <f t="shared" ref="G16:G18" si="1">F16/$F$14</f>
        <v>0.25</v>
      </c>
      <c r="H16" s="11"/>
      <c r="I16" s="19" t="s">
        <v>73</v>
      </c>
      <c r="J16" s="20">
        <v>1</v>
      </c>
      <c r="K16" s="18">
        <f t="shared" ref="K16:K17" si="2">J16/$J$14</f>
        <v>0.25</v>
      </c>
    </row>
    <row r="17" spans="1:11" x14ac:dyDescent="0.3">
      <c r="A17" s="5" t="s">
        <v>33</v>
      </c>
      <c r="B17" s="21">
        <v>0</v>
      </c>
      <c r="C17" s="21">
        <v>0</v>
      </c>
      <c r="D17" s="21">
        <v>0</v>
      </c>
      <c r="E17" s="21">
        <v>1</v>
      </c>
      <c r="F17" s="21">
        <f>SUM(B17:E17)</f>
        <v>1</v>
      </c>
      <c r="G17" s="18">
        <f t="shared" si="1"/>
        <v>0.25</v>
      </c>
      <c r="H17" s="11"/>
      <c r="I17" s="19" t="s">
        <v>28</v>
      </c>
      <c r="J17" s="20">
        <v>1</v>
      </c>
      <c r="K17" s="18">
        <f t="shared" si="2"/>
        <v>0.25</v>
      </c>
    </row>
    <row r="18" spans="1:11" x14ac:dyDescent="0.3">
      <c r="A18" s="5" t="s">
        <v>27</v>
      </c>
      <c r="B18" s="21">
        <v>0</v>
      </c>
      <c r="C18" s="21">
        <v>0</v>
      </c>
      <c r="D18" s="21">
        <v>0</v>
      </c>
      <c r="E18" s="21">
        <v>0</v>
      </c>
      <c r="F18" s="21">
        <f>SUM(B18:E18)</f>
        <v>0</v>
      </c>
      <c r="G18" s="18">
        <f t="shared" si="1"/>
        <v>0</v>
      </c>
      <c r="H18" s="11"/>
    </row>
    <row r="21" spans="1:11" x14ac:dyDescent="0.3">
      <c r="A21" s="63" t="s">
        <v>94</v>
      </c>
      <c r="B21" s="29" t="s">
        <v>4</v>
      </c>
      <c r="C21" s="10" t="s">
        <v>5</v>
      </c>
      <c r="D21" s="10" t="s">
        <v>6</v>
      </c>
      <c r="E21" s="10" t="s">
        <v>7</v>
      </c>
      <c r="F21" s="10" t="s">
        <v>21</v>
      </c>
      <c r="G21" s="10" t="s">
        <v>22</v>
      </c>
      <c r="H21" s="11"/>
      <c r="I21" s="61" t="s">
        <v>23</v>
      </c>
      <c r="J21" s="62" t="s">
        <v>24</v>
      </c>
      <c r="K21" s="10" t="s">
        <v>22</v>
      </c>
    </row>
    <row r="22" spans="1:11" x14ac:dyDescent="0.3">
      <c r="A22" s="64" t="s">
        <v>25</v>
      </c>
      <c r="B22" s="64">
        <f t="shared" ref="B22:G22" si="3">SUM(B23:B26)</f>
        <v>0</v>
      </c>
      <c r="C22" s="64">
        <f t="shared" si="3"/>
        <v>0</v>
      </c>
      <c r="D22" s="64">
        <f t="shared" si="3"/>
        <v>2</v>
      </c>
      <c r="E22" s="64">
        <f t="shared" si="3"/>
        <v>2</v>
      </c>
      <c r="F22" s="64">
        <f t="shared" si="3"/>
        <v>4</v>
      </c>
      <c r="G22" s="65">
        <f t="shared" si="3"/>
        <v>1</v>
      </c>
      <c r="H22" s="11"/>
      <c r="I22" s="64" t="s">
        <v>26</v>
      </c>
      <c r="J22" s="64">
        <f>SUM(J23:J24)</f>
        <v>4</v>
      </c>
      <c r="K22" s="66">
        <f>SUM(K23:K24)</f>
        <v>1</v>
      </c>
    </row>
    <row r="23" spans="1:11" x14ac:dyDescent="0.3">
      <c r="A23" s="16" t="s">
        <v>29</v>
      </c>
      <c r="B23" s="17">
        <v>0</v>
      </c>
      <c r="C23" s="17">
        <v>0</v>
      </c>
      <c r="D23" s="21">
        <v>2</v>
      </c>
      <c r="E23" s="21">
        <v>1</v>
      </c>
      <c r="F23" s="21">
        <f>SUM(B23:E23)</f>
        <v>3</v>
      </c>
      <c r="G23" s="18">
        <f>F23/$F$22</f>
        <v>0.75</v>
      </c>
      <c r="H23" s="11"/>
      <c r="I23" s="19" t="s">
        <v>47</v>
      </c>
      <c r="J23" s="20">
        <v>2</v>
      </c>
      <c r="K23" s="18">
        <f>J23/$J$22</f>
        <v>0.5</v>
      </c>
    </row>
    <row r="24" spans="1:11" x14ac:dyDescent="0.3">
      <c r="A24" s="5" t="s">
        <v>31</v>
      </c>
      <c r="B24" s="21">
        <v>0</v>
      </c>
      <c r="C24" s="21">
        <v>0</v>
      </c>
      <c r="D24" s="21">
        <v>0</v>
      </c>
      <c r="E24" s="21">
        <v>1</v>
      </c>
      <c r="F24" s="21">
        <f>SUM(B24:E24)</f>
        <v>1</v>
      </c>
      <c r="G24" s="18">
        <f t="shared" ref="G24:G26" si="4">F24/$F$22</f>
        <v>0.25</v>
      </c>
      <c r="H24" s="11"/>
      <c r="I24" s="19" t="s">
        <v>34</v>
      </c>
      <c r="J24" s="20">
        <v>2</v>
      </c>
      <c r="K24" s="18">
        <f>J24/$J$22</f>
        <v>0.5</v>
      </c>
    </row>
    <row r="25" spans="1:11" x14ac:dyDescent="0.3">
      <c r="A25" s="5" t="s">
        <v>27</v>
      </c>
      <c r="B25" s="21">
        <v>0</v>
      </c>
      <c r="C25" s="21">
        <v>0</v>
      </c>
      <c r="D25" s="21">
        <v>0</v>
      </c>
      <c r="E25" s="21">
        <v>0</v>
      </c>
      <c r="F25" s="21">
        <f>SUM(B25:E25)</f>
        <v>0</v>
      </c>
      <c r="G25" s="18">
        <f t="shared" si="4"/>
        <v>0</v>
      </c>
      <c r="H25" s="11"/>
    </row>
    <row r="26" spans="1:11" x14ac:dyDescent="0.3">
      <c r="A26" s="5" t="s">
        <v>33</v>
      </c>
      <c r="B26" s="21">
        <v>0</v>
      </c>
      <c r="C26" s="21">
        <v>0</v>
      </c>
      <c r="D26" s="21">
        <v>0</v>
      </c>
      <c r="E26" s="21">
        <v>0</v>
      </c>
      <c r="F26" s="21">
        <f>SUM(B26:E26)</f>
        <v>0</v>
      </c>
      <c r="G26" s="18">
        <f t="shared" si="4"/>
        <v>0</v>
      </c>
      <c r="H26" s="11"/>
    </row>
    <row r="29" spans="1:11" x14ac:dyDescent="0.3">
      <c r="A29" s="63" t="s">
        <v>95</v>
      </c>
      <c r="B29" s="29" t="s">
        <v>4</v>
      </c>
      <c r="C29" s="10" t="s">
        <v>5</v>
      </c>
      <c r="D29" s="10" t="s">
        <v>6</v>
      </c>
      <c r="E29" s="10" t="s">
        <v>7</v>
      </c>
      <c r="F29" s="10" t="s">
        <v>21</v>
      </c>
      <c r="G29" s="10" t="s">
        <v>22</v>
      </c>
      <c r="H29" s="11"/>
      <c r="I29" s="61" t="s">
        <v>23</v>
      </c>
      <c r="J29" s="62" t="s">
        <v>24</v>
      </c>
      <c r="K29" s="10" t="s">
        <v>22</v>
      </c>
    </row>
    <row r="30" spans="1:11" x14ac:dyDescent="0.3">
      <c r="A30" s="64" t="s">
        <v>25</v>
      </c>
      <c r="B30" s="64">
        <f>SUM(B31:B35)</f>
        <v>0</v>
      </c>
      <c r="C30" s="64">
        <f t="shared" ref="C30:G30" si="5">SUM(C31:C35)</f>
        <v>0</v>
      </c>
      <c r="D30" s="64">
        <f t="shared" si="5"/>
        <v>1</v>
      </c>
      <c r="E30" s="64">
        <f t="shared" si="5"/>
        <v>0</v>
      </c>
      <c r="F30" s="64">
        <f t="shared" si="5"/>
        <v>1</v>
      </c>
      <c r="G30" s="65">
        <f t="shared" si="5"/>
        <v>1</v>
      </c>
      <c r="H30" s="11"/>
      <c r="I30" s="64" t="s">
        <v>26</v>
      </c>
      <c r="J30" s="64">
        <f>SUM(J31)</f>
        <v>1</v>
      </c>
      <c r="K30" s="66">
        <f>SUM(K31)</f>
        <v>1</v>
      </c>
    </row>
    <row r="31" spans="1:11" x14ac:dyDescent="0.3">
      <c r="A31" s="16" t="s">
        <v>29</v>
      </c>
      <c r="B31" s="17">
        <v>0</v>
      </c>
      <c r="C31" s="17">
        <v>0</v>
      </c>
      <c r="D31" s="21">
        <v>1</v>
      </c>
      <c r="E31" s="21"/>
      <c r="F31" s="21">
        <f>SUM(B31:E31)</f>
        <v>1</v>
      </c>
      <c r="G31" s="18">
        <f>F31/$F$30</f>
        <v>1</v>
      </c>
      <c r="H31" s="11"/>
      <c r="I31" s="19" t="s">
        <v>68</v>
      </c>
      <c r="J31" s="20">
        <v>1</v>
      </c>
      <c r="K31" s="18">
        <f>J31/$J$30</f>
        <v>1</v>
      </c>
    </row>
    <row r="32" spans="1:11" x14ac:dyDescent="0.3">
      <c r="A32" s="5" t="s">
        <v>27</v>
      </c>
      <c r="B32" s="21">
        <v>0</v>
      </c>
      <c r="C32" s="21">
        <v>0</v>
      </c>
      <c r="D32" s="21">
        <v>0</v>
      </c>
      <c r="E32" s="21"/>
      <c r="F32" s="21">
        <f>SUM(B32:E32)</f>
        <v>0</v>
      </c>
      <c r="G32" s="18">
        <f t="shared" ref="G32:G35" si="6">F32/$F$30</f>
        <v>0</v>
      </c>
      <c r="H32" s="11"/>
    </row>
    <row r="33" spans="1:11" x14ac:dyDescent="0.3">
      <c r="A33" s="5" t="s">
        <v>31</v>
      </c>
      <c r="B33" s="21">
        <v>0</v>
      </c>
      <c r="C33" s="21">
        <v>0</v>
      </c>
      <c r="D33" s="21">
        <v>0</v>
      </c>
      <c r="E33" s="21"/>
      <c r="F33" s="21">
        <f>SUM(B33:E33)</f>
        <v>0</v>
      </c>
      <c r="G33" s="18">
        <f t="shared" si="6"/>
        <v>0</v>
      </c>
      <c r="H33" s="11"/>
    </row>
    <row r="34" spans="1:11" x14ac:dyDescent="0.3">
      <c r="A34" s="5" t="s">
        <v>33</v>
      </c>
      <c r="B34" s="21">
        <v>0</v>
      </c>
      <c r="C34" s="21">
        <v>0</v>
      </c>
      <c r="D34" s="21">
        <v>0</v>
      </c>
      <c r="E34" s="21"/>
      <c r="F34" s="21">
        <f>SUM(B34:E34)</f>
        <v>0</v>
      </c>
      <c r="G34" s="18">
        <f t="shared" si="6"/>
        <v>0</v>
      </c>
      <c r="H34" s="11"/>
    </row>
    <row r="35" spans="1:11" x14ac:dyDescent="0.3">
      <c r="A35" s="16" t="s">
        <v>65</v>
      </c>
      <c r="B35" s="17">
        <v>0</v>
      </c>
      <c r="C35" s="17">
        <v>0</v>
      </c>
      <c r="D35" s="21">
        <v>0</v>
      </c>
      <c r="E35" s="21"/>
      <c r="F35" s="21">
        <f>SUM(B35:E35)</f>
        <v>0</v>
      </c>
      <c r="G35" s="18">
        <f t="shared" si="6"/>
        <v>0</v>
      </c>
    </row>
    <row r="38" spans="1:11" x14ac:dyDescent="0.3">
      <c r="A38" s="63" t="s">
        <v>96</v>
      </c>
      <c r="B38" s="29" t="s">
        <v>4</v>
      </c>
      <c r="C38" s="10" t="s">
        <v>5</v>
      </c>
      <c r="D38" s="10" t="s">
        <v>6</v>
      </c>
      <c r="E38" s="10" t="s">
        <v>7</v>
      </c>
      <c r="F38" s="10" t="s">
        <v>21</v>
      </c>
      <c r="G38" s="10" t="s">
        <v>22</v>
      </c>
      <c r="H38" s="11"/>
      <c r="I38" s="61" t="s">
        <v>23</v>
      </c>
      <c r="J38" s="62" t="s">
        <v>24</v>
      </c>
      <c r="K38" s="10" t="s">
        <v>22</v>
      </c>
    </row>
    <row r="39" spans="1:11" x14ac:dyDescent="0.3">
      <c r="A39" s="64" t="s">
        <v>25</v>
      </c>
      <c r="B39" s="64">
        <f>SUM(B40:B44)</f>
        <v>0</v>
      </c>
      <c r="C39" s="64">
        <f t="shared" ref="C39:F39" si="7">SUM(C40:C44)</f>
        <v>1</v>
      </c>
      <c r="D39" s="64">
        <f t="shared" si="7"/>
        <v>0</v>
      </c>
      <c r="E39" s="64">
        <f t="shared" si="7"/>
        <v>0</v>
      </c>
      <c r="F39" s="64">
        <f t="shared" si="7"/>
        <v>1</v>
      </c>
      <c r="G39" s="65">
        <f>SUM(G40:G44)</f>
        <v>1</v>
      </c>
      <c r="H39" s="11"/>
      <c r="I39" s="64" t="s">
        <v>26</v>
      </c>
      <c r="J39" s="64">
        <f>SUM(J40)</f>
        <v>1</v>
      </c>
      <c r="K39" s="66">
        <f>SUM(K40)</f>
        <v>1</v>
      </c>
    </row>
    <row r="40" spans="1:11" x14ac:dyDescent="0.3">
      <c r="A40" s="16" t="s">
        <v>29</v>
      </c>
      <c r="B40" s="17">
        <v>0</v>
      </c>
      <c r="C40" s="17">
        <v>1</v>
      </c>
      <c r="D40" s="17">
        <v>0</v>
      </c>
      <c r="E40" s="21"/>
      <c r="F40" s="21">
        <f>SUM(B40:E40)</f>
        <v>1</v>
      </c>
      <c r="G40" s="18">
        <f>F40/$F$39</f>
        <v>1</v>
      </c>
      <c r="H40" s="11"/>
      <c r="I40" s="19" t="s">
        <v>48</v>
      </c>
      <c r="J40" s="20">
        <v>1</v>
      </c>
      <c r="K40" s="18">
        <f>J40/$J$39</f>
        <v>1</v>
      </c>
    </row>
    <row r="41" spans="1:11" x14ac:dyDescent="0.3">
      <c r="A41" s="5" t="s">
        <v>27</v>
      </c>
      <c r="B41" s="21">
        <v>0</v>
      </c>
      <c r="C41" s="21">
        <v>0</v>
      </c>
      <c r="D41" s="21">
        <v>0</v>
      </c>
      <c r="E41" s="21"/>
      <c r="F41" s="21">
        <f>SUM(B41:E41)</f>
        <v>0</v>
      </c>
      <c r="G41" s="18">
        <f t="shared" ref="G41:G44" si="8">F41/$F$39</f>
        <v>0</v>
      </c>
      <c r="H41" s="11"/>
    </row>
    <row r="42" spans="1:11" x14ac:dyDescent="0.3">
      <c r="A42" s="5" t="s">
        <v>31</v>
      </c>
      <c r="B42" s="21">
        <v>0</v>
      </c>
      <c r="C42" s="21">
        <v>0</v>
      </c>
      <c r="D42" s="21">
        <v>0</v>
      </c>
      <c r="E42" s="21"/>
      <c r="F42" s="21">
        <f>SUM(B42:E42)</f>
        <v>0</v>
      </c>
      <c r="G42" s="18">
        <f t="shared" si="8"/>
        <v>0</v>
      </c>
      <c r="H42" s="11"/>
    </row>
    <row r="43" spans="1:11" x14ac:dyDescent="0.3">
      <c r="A43" s="5" t="s">
        <v>33</v>
      </c>
      <c r="B43" s="21">
        <v>0</v>
      </c>
      <c r="C43" s="21">
        <v>0</v>
      </c>
      <c r="D43" s="21">
        <v>0</v>
      </c>
      <c r="E43" s="21"/>
      <c r="F43" s="21">
        <f>SUM(B43:E43)</f>
        <v>0</v>
      </c>
      <c r="G43" s="18">
        <f t="shared" si="8"/>
        <v>0</v>
      </c>
      <c r="H43" s="11"/>
    </row>
    <row r="44" spans="1:11" x14ac:dyDescent="0.3">
      <c r="A44" s="16" t="s">
        <v>65</v>
      </c>
      <c r="B44" s="17">
        <v>0</v>
      </c>
      <c r="C44" s="17">
        <v>0</v>
      </c>
      <c r="D44" s="17">
        <v>0</v>
      </c>
      <c r="E44" s="21"/>
      <c r="F44" s="21">
        <f>SUM(B44:E44)</f>
        <v>0</v>
      </c>
      <c r="G44" s="18">
        <f t="shared" si="8"/>
        <v>0</v>
      </c>
    </row>
    <row r="47" spans="1:11" x14ac:dyDescent="0.3">
      <c r="A47" s="63" t="s">
        <v>97</v>
      </c>
      <c r="B47" s="29" t="s">
        <v>4</v>
      </c>
      <c r="C47" s="10" t="s">
        <v>5</v>
      </c>
      <c r="D47" s="10" t="s">
        <v>6</v>
      </c>
      <c r="E47" s="10" t="s">
        <v>7</v>
      </c>
      <c r="F47" s="10" t="s">
        <v>21</v>
      </c>
      <c r="G47" s="10" t="s">
        <v>22</v>
      </c>
      <c r="H47" s="11"/>
      <c r="I47" s="61" t="s">
        <v>23</v>
      </c>
      <c r="J47" s="62" t="s">
        <v>24</v>
      </c>
      <c r="K47" s="10" t="s">
        <v>22</v>
      </c>
    </row>
    <row r="48" spans="1:11" x14ac:dyDescent="0.3">
      <c r="A48" s="64" t="s">
        <v>25</v>
      </c>
      <c r="B48" s="64">
        <f>SUM(B49:B49)</f>
        <v>1</v>
      </c>
      <c r="C48" s="64">
        <f t="shared" ref="C48:G48" si="9">SUM(C49:C49)</f>
        <v>0</v>
      </c>
      <c r="D48" s="64">
        <f t="shared" si="9"/>
        <v>0</v>
      </c>
      <c r="E48" s="64">
        <f t="shared" si="9"/>
        <v>0</v>
      </c>
      <c r="F48" s="64">
        <f t="shared" si="9"/>
        <v>1</v>
      </c>
      <c r="G48" s="65">
        <f t="shared" si="9"/>
        <v>1</v>
      </c>
      <c r="H48" s="11"/>
      <c r="I48" s="64" t="s">
        <v>26</v>
      </c>
      <c r="J48" s="64">
        <f>SUM(J49)</f>
        <v>1</v>
      </c>
      <c r="K48" s="66">
        <f>SUM(K49)</f>
        <v>1</v>
      </c>
    </row>
    <row r="49" spans="1:11" x14ac:dyDescent="0.3">
      <c r="A49" s="5" t="s">
        <v>27</v>
      </c>
      <c r="B49" s="21">
        <v>1</v>
      </c>
      <c r="C49" s="21">
        <v>0</v>
      </c>
      <c r="D49" s="21"/>
      <c r="E49" s="21"/>
      <c r="F49" s="21">
        <f>SUM(B49:E49)</f>
        <v>1</v>
      </c>
      <c r="G49" s="18">
        <f>F49/$F$48</f>
        <v>1</v>
      </c>
      <c r="H49" s="11"/>
      <c r="I49" s="19" t="s">
        <v>47</v>
      </c>
      <c r="J49" s="20">
        <v>1</v>
      </c>
      <c r="K49" s="18">
        <f>J49/$J$48</f>
        <v>1</v>
      </c>
    </row>
  </sheetData>
  <sortState xmlns:xlrd2="http://schemas.microsoft.com/office/spreadsheetml/2017/richdata2" ref="A40:G44">
    <sortCondition descending="1" ref="G40:G44"/>
    <sortCondition ref="A40:A44"/>
  </sortState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109E-1ACE-4B4E-8DA2-292917E60E7F}">
  <dimension ref="A1:K46"/>
  <sheetViews>
    <sheetView showGridLines="0" zoomScaleNormal="100" workbookViewId="0">
      <selection activeCell="D46" sqref="D46"/>
    </sheetView>
  </sheetViews>
  <sheetFormatPr baseColWidth="10" defaultRowHeight="14.4" x14ac:dyDescent="0.3"/>
  <cols>
    <col min="1" max="1" width="33" bestFit="1" customWidth="1"/>
    <col min="2" max="2" width="15" customWidth="1"/>
    <col min="3" max="3" width="14.109375" bestFit="1" customWidth="1"/>
    <col min="4" max="10" width="9.21875" customWidth="1"/>
    <col min="11" max="11" width="6.21875" customWidth="1"/>
  </cols>
  <sheetData>
    <row r="1" spans="1:11" ht="17.399999999999999" x14ac:dyDescent="0.35">
      <c r="A1" s="7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  <c r="H3" s="69" t="s">
        <v>103</v>
      </c>
      <c r="I3" s="69" t="s">
        <v>101</v>
      </c>
      <c r="J3" s="69" t="s">
        <v>102</v>
      </c>
    </row>
    <row r="4" spans="1:11" s="36" customFormat="1" x14ac:dyDescent="0.3">
      <c r="A4" s="32" t="s">
        <v>8</v>
      </c>
      <c r="B4" s="32" t="s">
        <v>9</v>
      </c>
      <c r="C4" s="5">
        <v>45652</v>
      </c>
      <c r="D4" s="21">
        <v>0</v>
      </c>
      <c r="E4" s="21">
        <v>0</v>
      </c>
      <c r="F4" s="21">
        <v>0</v>
      </c>
      <c r="G4" s="21">
        <v>0</v>
      </c>
      <c r="H4" s="70">
        <f>SUM(D4:G4)</f>
        <v>0</v>
      </c>
      <c r="I4" s="70">
        <v>0</v>
      </c>
      <c r="J4" s="70"/>
    </row>
    <row r="5" spans="1:11" s="36" customFormat="1" x14ac:dyDescent="0.3">
      <c r="A5" s="32" t="s">
        <v>10</v>
      </c>
      <c r="B5" s="32" t="s">
        <v>9</v>
      </c>
      <c r="C5" s="5">
        <v>45652</v>
      </c>
      <c r="D5" s="21">
        <v>0</v>
      </c>
      <c r="E5" s="21">
        <v>0</v>
      </c>
      <c r="F5" s="21">
        <v>0</v>
      </c>
      <c r="G5" s="21">
        <v>0</v>
      </c>
      <c r="H5" s="70">
        <f t="shared" ref="H5:H21" si="0">SUM(D5:G5)</f>
        <v>0</v>
      </c>
      <c r="I5" s="70">
        <v>1</v>
      </c>
      <c r="J5" s="70"/>
    </row>
    <row r="6" spans="1:11" s="36" customFormat="1" x14ac:dyDescent="0.3">
      <c r="A6" s="32" t="s">
        <v>11</v>
      </c>
      <c r="B6" s="32" t="s">
        <v>9</v>
      </c>
      <c r="C6" s="5">
        <v>45652</v>
      </c>
      <c r="D6" s="21">
        <v>0</v>
      </c>
      <c r="E6" s="21">
        <v>0</v>
      </c>
      <c r="F6" s="21">
        <v>0</v>
      </c>
      <c r="G6" s="21">
        <v>0</v>
      </c>
      <c r="H6" s="70">
        <f t="shared" si="0"/>
        <v>0</v>
      </c>
      <c r="I6" s="70">
        <v>0</v>
      </c>
      <c r="J6" s="70"/>
    </row>
    <row r="7" spans="1:11" s="36" customFormat="1" x14ac:dyDescent="0.3">
      <c r="A7" s="32" t="s">
        <v>12</v>
      </c>
      <c r="B7" s="32" t="s">
        <v>9</v>
      </c>
      <c r="C7" s="5">
        <v>45661</v>
      </c>
      <c r="D7" s="21">
        <v>0</v>
      </c>
      <c r="E7" s="21">
        <v>0</v>
      </c>
      <c r="F7" s="21">
        <v>0</v>
      </c>
      <c r="G7" s="21">
        <v>0</v>
      </c>
      <c r="H7" s="70">
        <f t="shared" si="0"/>
        <v>0</v>
      </c>
      <c r="I7" s="70">
        <v>1</v>
      </c>
      <c r="J7" s="70"/>
    </row>
    <row r="8" spans="1:11" s="36" customFormat="1" x14ac:dyDescent="0.3">
      <c r="A8" s="32" t="s">
        <v>13</v>
      </c>
      <c r="B8" s="32" t="s">
        <v>9</v>
      </c>
      <c r="C8" s="5">
        <v>45661</v>
      </c>
      <c r="D8" s="21">
        <v>0</v>
      </c>
      <c r="E8" s="21">
        <v>0</v>
      </c>
      <c r="F8" s="21">
        <v>0</v>
      </c>
      <c r="G8" s="21">
        <v>0</v>
      </c>
      <c r="H8" s="70">
        <f t="shared" si="0"/>
        <v>0</v>
      </c>
      <c r="I8" s="70">
        <v>0</v>
      </c>
      <c r="J8" s="70"/>
    </row>
    <row r="9" spans="1:11" s="36" customFormat="1" x14ac:dyDescent="0.3">
      <c r="A9" s="32" t="s">
        <v>14</v>
      </c>
      <c r="B9" s="32" t="s">
        <v>9</v>
      </c>
      <c r="C9" s="5">
        <v>45661</v>
      </c>
      <c r="D9" s="21">
        <v>0</v>
      </c>
      <c r="E9" s="21">
        <v>0</v>
      </c>
      <c r="F9" s="21">
        <v>0</v>
      </c>
      <c r="G9" s="21">
        <v>0</v>
      </c>
      <c r="H9" s="70">
        <f t="shared" si="0"/>
        <v>0</v>
      </c>
      <c r="I9" s="70">
        <v>0</v>
      </c>
      <c r="J9" s="70"/>
    </row>
    <row r="10" spans="1:11" s="36" customFormat="1" x14ac:dyDescent="0.3">
      <c r="A10" s="32" t="s">
        <v>15</v>
      </c>
      <c r="B10" s="32" t="s">
        <v>16</v>
      </c>
      <c r="C10" s="5">
        <v>45661</v>
      </c>
      <c r="D10" s="21">
        <v>6</v>
      </c>
      <c r="E10" s="21">
        <v>3</v>
      </c>
      <c r="F10" s="21">
        <v>1</v>
      </c>
      <c r="G10" s="21">
        <v>4</v>
      </c>
      <c r="H10" s="70">
        <f t="shared" si="0"/>
        <v>14</v>
      </c>
      <c r="I10" s="70">
        <v>34</v>
      </c>
      <c r="J10" s="70"/>
    </row>
    <row r="11" spans="1:11" s="36" customFormat="1" x14ac:dyDescent="0.3">
      <c r="A11" s="32" t="s">
        <v>17</v>
      </c>
      <c r="B11" s="32" t="s">
        <v>18</v>
      </c>
      <c r="C11" s="5">
        <v>45665</v>
      </c>
      <c r="D11" s="21">
        <v>1</v>
      </c>
      <c r="E11" s="21">
        <v>2</v>
      </c>
      <c r="F11" s="21">
        <v>0</v>
      </c>
      <c r="G11" s="21">
        <v>0</v>
      </c>
      <c r="H11" s="70">
        <f t="shared" si="0"/>
        <v>3</v>
      </c>
      <c r="I11" s="70">
        <v>2</v>
      </c>
      <c r="J11" s="70"/>
    </row>
    <row r="12" spans="1:11" s="36" customFormat="1" x14ac:dyDescent="0.3">
      <c r="A12" s="32" t="s">
        <v>19</v>
      </c>
      <c r="B12" s="32" t="s">
        <v>18</v>
      </c>
      <c r="C12" s="5">
        <v>45665</v>
      </c>
      <c r="D12" s="21">
        <v>1</v>
      </c>
      <c r="E12" s="21">
        <v>2</v>
      </c>
      <c r="F12" s="21">
        <v>0</v>
      </c>
      <c r="G12" s="21">
        <v>4</v>
      </c>
      <c r="H12" s="70">
        <f t="shared" si="0"/>
        <v>7</v>
      </c>
      <c r="I12" s="70">
        <v>11</v>
      </c>
      <c r="J12" s="70"/>
    </row>
    <row r="13" spans="1:11" s="36" customFormat="1" x14ac:dyDescent="0.3">
      <c r="A13" s="32" t="s">
        <v>38</v>
      </c>
      <c r="B13" s="32" t="s">
        <v>16</v>
      </c>
      <c r="C13" s="5">
        <v>45667</v>
      </c>
      <c r="D13" s="21">
        <v>8</v>
      </c>
      <c r="E13" s="21">
        <v>7</v>
      </c>
      <c r="F13" s="21">
        <v>1</v>
      </c>
      <c r="G13" s="21">
        <v>1</v>
      </c>
      <c r="H13" s="70">
        <f t="shared" si="0"/>
        <v>17</v>
      </c>
      <c r="I13" s="70">
        <v>27</v>
      </c>
      <c r="J13" s="70"/>
    </row>
    <row r="14" spans="1:11" s="36" customFormat="1" x14ac:dyDescent="0.3">
      <c r="A14" s="32" t="s">
        <v>39</v>
      </c>
      <c r="B14" s="32" t="s">
        <v>16</v>
      </c>
      <c r="C14" s="5">
        <v>45667</v>
      </c>
      <c r="D14" s="21">
        <v>6</v>
      </c>
      <c r="E14" s="21">
        <v>4</v>
      </c>
      <c r="F14" s="21">
        <v>5</v>
      </c>
      <c r="G14" s="21">
        <v>1</v>
      </c>
      <c r="H14" s="70">
        <f t="shared" si="0"/>
        <v>16</v>
      </c>
      <c r="I14" s="70">
        <v>17</v>
      </c>
      <c r="J14" s="70"/>
    </row>
    <row r="15" spans="1:11" s="36" customFormat="1" x14ac:dyDescent="0.3">
      <c r="A15" s="32" t="s">
        <v>44</v>
      </c>
      <c r="B15" s="32" t="s">
        <v>16</v>
      </c>
      <c r="C15" s="5">
        <v>45678</v>
      </c>
      <c r="D15" s="21">
        <v>0</v>
      </c>
      <c r="E15" s="21">
        <v>1</v>
      </c>
      <c r="F15" s="21">
        <v>1</v>
      </c>
      <c r="G15" s="21">
        <v>2</v>
      </c>
      <c r="H15" s="70">
        <f t="shared" si="0"/>
        <v>4</v>
      </c>
      <c r="I15" s="70"/>
      <c r="J15" s="70"/>
    </row>
    <row r="16" spans="1:11" s="36" customFormat="1" x14ac:dyDescent="0.3">
      <c r="A16" s="32" t="s">
        <v>45</v>
      </c>
      <c r="B16" s="32" t="s">
        <v>16</v>
      </c>
      <c r="C16" s="5">
        <v>45681</v>
      </c>
      <c r="D16" s="21">
        <v>0</v>
      </c>
      <c r="E16" s="21">
        <v>0</v>
      </c>
      <c r="F16" s="21">
        <v>2</v>
      </c>
      <c r="G16" s="21">
        <v>2</v>
      </c>
      <c r="H16" s="70">
        <f t="shared" si="0"/>
        <v>4</v>
      </c>
      <c r="I16" s="70"/>
      <c r="J16" s="70"/>
    </row>
    <row r="17" spans="1:11" s="36" customFormat="1" x14ac:dyDescent="0.3">
      <c r="A17" s="32" t="s">
        <v>86</v>
      </c>
      <c r="B17" s="32" t="s">
        <v>9</v>
      </c>
      <c r="C17" s="5">
        <v>45688</v>
      </c>
      <c r="D17" s="21">
        <v>0</v>
      </c>
      <c r="E17" s="21">
        <v>0</v>
      </c>
      <c r="F17" s="21">
        <v>1</v>
      </c>
      <c r="G17" s="21">
        <v>0</v>
      </c>
      <c r="H17" s="70">
        <f t="shared" si="0"/>
        <v>1</v>
      </c>
      <c r="I17" s="70"/>
      <c r="J17" s="70"/>
    </row>
    <row r="18" spans="1:11" s="36" customFormat="1" x14ac:dyDescent="0.3">
      <c r="A18" s="32" t="s">
        <v>87</v>
      </c>
      <c r="B18" s="32" t="s">
        <v>9</v>
      </c>
      <c r="C18" s="5">
        <v>45688</v>
      </c>
      <c r="D18" s="21">
        <v>0</v>
      </c>
      <c r="E18" s="21">
        <v>1</v>
      </c>
      <c r="F18" s="21">
        <v>0</v>
      </c>
      <c r="G18" s="21">
        <v>1</v>
      </c>
      <c r="H18" s="70">
        <f t="shared" si="0"/>
        <v>2</v>
      </c>
      <c r="I18" s="70"/>
      <c r="J18" s="70"/>
    </row>
    <row r="19" spans="1:11" s="36" customFormat="1" x14ac:dyDescent="0.3">
      <c r="A19" s="32" t="s">
        <v>88</v>
      </c>
      <c r="B19" s="32" t="s">
        <v>9</v>
      </c>
      <c r="C19" s="5">
        <v>45688</v>
      </c>
      <c r="D19" s="21">
        <v>0</v>
      </c>
      <c r="E19" s="21">
        <v>0</v>
      </c>
      <c r="F19" s="21">
        <v>0</v>
      </c>
      <c r="G19" s="21">
        <v>0</v>
      </c>
      <c r="H19" s="70">
        <f t="shared" si="0"/>
        <v>0</v>
      </c>
      <c r="I19" s="70"/>
      <c r="J19" s="70"/>
    </row>
    <row r="20" spans="1:11" s="36" customFormat="1" x14ac:dyDescent="0.3">
      <c r="A20" s="32" t="s">
        <v>91</v>
      </c>
      <c r="B20" s="32" t="s">
        <v>16</v>
      </c>
      <c r="C20" s="5">
        <v>45693</v>
      </c>
      <c r="D20" s="21">
        <v>0</v>
      </c>
      <c r="E20" s="21">
        <v>0</v>
      </c>
      <c r="F20" s="21">
        <v>0</v>
      </c>
      <c r="G20" s="21">
        <v>0</v>
      </c>
      <c r="H20" s="70">
        <f t="shared" si="0"/>
        <v>0</v>
      </c>
      <c r="I20" s="70"/>
      <c r="J20" s="70"/>
    </row>
    <row r="21" spans="1:11" s="36" customFormat="1" x14ac:dyDescent="0.3">
      <c r="A21" s="32" t="s">
        <v>92</v>
      </c>
      <c r="B21" s="32" t="s">
        <v>16</v>
      </c>
      <c r="C21" s="5">
        <v>45693</v>
      </c>
      <c r="D21" s="21">
        <v>1</v>
      </c>
      <c r="E21" s="21">
        <v>0</v>
      </c>
      <c r="F21" s="21">
        <v>0</v>
      </c>
      <c r="G21" s="21">
        <v>0</v>
      </c>
      <c r="H21" s="70">
        <f t="shared" si="0"/>
        <v>1</v>
      </c>
      <c r="I21" s="70"/>
      <c r="J21" s="70"/>
    </row>
    <row r="22" spans="1:11" s="36" customFormat="1" x14ac:dyDescent="0.3">
      <c r="A22" s="32" t="s">
        <v>99</v>
      </c>
      <c r="B22" s="32" t="s">
        <v>104</v>
      </c>
      <c r="C22" s="56">
        <v>45728</v>
      </c>
      <c r="D22" s="21"/>
      <c r="E22" s="21"/>
      <c r="F22" s="21"/>
      <c r="G22" s="21"/>
      <c r="H22" s="70"/>
      <c r="I22" s="70"/>
      <c r="J22" s="70"/>
    </row>
    <row r="23" spans="1:11" s="36" customFormat="1" x14ac:dyDescent="0.3">
      <c r="A23" s="32" t="s">
        <v>98</v>
      </c>
      <c r="B23" s="32" t="s">
        <v>16</v>
      </c>
      <c r="C23" s="56">
        <v>45728</v>
      </c>
      <c r="D23" s="21"/>
      <c r="E23" s="21"/>
      <c r="F23" s="21"/>
      <c r="G23" s="21"/>
      <c r="H23" s="70"/>
      <c r="I23" s="70"/>
      <c r="J23" s="70"/>
    </row>
    <row r="26" spans="1:11" x14ac:dyDescent="0.3">
      <c r="A26" s="72" t="s">
        <v>95</v>
      </c>
      <c r="B26" s="29" t="s">
        <v>4</v>
      </c>
      <c r="C26" s="10" t="s">
        <v>5</v>
      </c>
      <c r="D26" s="10" t="s">
        <v>6</v>
      </c>
      <c r="E26" s="10" t="s">
        <v>7</v>
      </c>
      <c r="F26" s="10" t="s">
        <v>21</v>
      </c>
      <c r="G26" s="10" t="s">
        <v>22</v>
      </c>
      <c r="H26" s="11"/>
      <c r="I26" s="61" t="s">
        <v>23</v>
      </c>
      <c r="J26" s="62" t="s">
        <v>24</v>
      </c>
      <c r="K26" s="10" t="s">
        <v>22</v>
      </c>
    </row>
    <row r="27" spans="1:11" x14ac:dyDescent="0.3">
      <c r="A27" s="67" t="s">
        <v>25</v>
      </c>
      <c r="B27" s="67">
        <f>SUM(B28:B32)</f>
        <v>0</v>
      </c>
      <c r="C27" s="67">
        <f t="shared" ref="C27:G27" si="1">SUM(C28:C32)</f>
        <v>0</v>
      </c>
      <c r="D27" s="67">
        <f t="shared" si="1"/>
        <v>1</v>
      </c>
      <c r="E27" s="67">
        <f t="shared" si="1"/>
        <v>0</v>
      </c>
      <c r="F27" s="67">
        <f t="shared" si="1"/>
        <v>1</v>
      </c>
      <c r="G27" s="68">
        <f t="shared" si="1"/>
        <v>1</v>
      </c>
      <c r="H27" s="11"/>
      <c r="I27" s="67" t="s">
        <v>26</v>
      </c>
      <c r="J27" s="67">
        <f>SUM(J28)</f>
        <v>1</v>
      </c>
      <c r="K27" s="68">
        <f>SUM(K28)</f>
        <v>1</v>
      </c>
    </row>
    <row r="28" spans="1:11" x14ac:dyDescent="0.3">
      <c r="A28" s="16" t="s">
        <v>29</v>
      </c>
      <c r="B28" s="17">
        <v>0</v>
      </c>
      <c r="C28" s="17">
        <v>0</v>
      </c>
      <c r="D28" s="17">
        <v>1</v>
      </c>
      <c r="E28" s="17">
        <v>0</v>
      </c>
      <c r="F28" s="17">
        <f>SUM(B28:E28)</f>
        <v>1</v>
      </c>
      <c r="G28" s="18">
        <f>F28/$F$27</f>
        <v>1</v>
      </c>
      <c r="H28" s="11"/>
      <c r="I28" s="19" t="s">
        <v>68</v>
      </c>
      <c r="J28" s="20">
        <v>1</v>
      </c>
      <c r="K28" s="18">
        <f>J28/$J$27</f>
        <v>1</v>
      </c>
    </row>
    <row r="29" spans="1:11" x14ac:dyDescent="0.3">
      <c r="A29" s="5" t="s">
        <v>27</v>
      </c>
      <c r="B29" s="21">
        <v>0</v>
      </c>
      <c r="C29" s="21">
        <v>0</v>
      </c>
      <c r="D29" s="21">
        <v>0</v>
      </c>
      <c r="E29" s="21">
        <v>0</v>
      </c>
      <c r="F29" s="21">
        <f>SUM(B29:E29)</f>
        <v>0</v>
      </c>
      <c r="G29" s="18">
        <f t="shared" ref="G29:G32" si="2">F29/$F$27</f>
        <v>0</v>
      </c>
      <c r="H29" s="11"/>
    </row>
    <row r="30" spans="1:11" x14ac:dyDescent="0.3">
      <c r="A30" s="5" t="s">
        <v>31</v>
      </c>
      <c r="B30" s="21">
        <v>0</v>
      </c>
      <c r="C30" s="21">
        <v>0</v>
      </c>
      <c r="D30" s="21">
        <v>0</v>
      </c>
      <c r="E30" s="21">
        <v>0</v>
      </c>
      <c r="F30" s="21">
        <f>SUM(B30:E30)</f>
        <v>0</v>
      </c>
      <c r="G30" s="18">
        <f t="shared" si="2"/>
        <v>0</v>
      </c>
      <c r="H30" s="11"/>
    </row>
    <row r="31" spans="1:11" x14ac:dyDescent="0.3">
      <c r="A31" s="5" t="s">
        <v>33</v>
      </c>
      <c r="B31" s="21">
        <v>0</v>
      </c>
      <c r="C31" s="21">
        <v>0</v>
      </c>
      <c r="D31" s="21">
        <v>0</v>
      </c>
      <c r="E31" s="21">
        <v>0</v>
      </c>
      <c r="F31" s="21">
        <f>SUM(B31:E31)</f>
        <v>0</v>
      </c>
      <c r="G31" s="18">
        <f t="shared" si="2"/>
        <v>0</v>
      </c>
      <c r="H31" s="11"/>
    </row>
    <row r="32" spans="1:11" x14ac:dyDescent="0.3">
      <c r="A32" s="16" t="s">
        <v>65</v>
      </c>
      <c r="B32" s="17">
        <v>0</v>
      </c>
      <c r="C32" s="17">
        <v>0</v>
      </c>
      <c r="D32" s="21">
        <v>0</v>
      </c>
      <c r="E32" s="21">
        <v>0</v>
      </c>
      <c r="F32" s="21">
        <f>SUM(B32:E32)</f>
        <v>0</v>
      </c>
      <c r="G32" s="18">
        <f t="shared" si="2"/>
        <v>0</v>
      </c>
    </row>
    <row r="35" spans="1:11" x14ac:dyDescent="0.3">
      <c r="A35" s="72" t="s">
        <v>96</v>
      </c>
      <c r="B35" s="29" t="s">
        <v>4</v>
      </c>
      <c r="C35" s="10" t="s">
        <v>5</v>
      </c>
      <c r="D35" s="10" t="s">
        <v>6</v>
      </c>
      <c r="E35" s="10" t="s">
        <v>7</v>
      </c>
      <c r="F35" s="10" t="s">
        <v>21</v>
      </c>
      <c r="G35" s="10" t="s">
        <v>22</v>
      </c>
      <c r="H35" s="11"/>
      <c r="I35" s="61" t="s">
        <v>23</v>
      </c>
      <c r="J35" s="62" t="s">
        <v>24</v>
      </c>
      <c r="K35" s="10" t="s">
        <v>22</v>
      </c>
    </row>
    <row r="36" spans="1:11" x14ac:dyDescent="0.3">
      <c r="A36" s="67" t="s">
        <v>25</v>
      </c>
      <c r="B36" s="67">
        <f>SUM(B37:B41)</f>
        <v>0</v>
      </c>
      <c r="C36" s="67">
        <f t="shared" ref="C36:F36" si="3">SUM(C37:C41)</f>
        <v>1</v>
      </c>
      <c r="D36" s="67">
        <f t="shared" si="3"/>
        <v>0</v>
      </c>
      <c r="E36" s="67">
        <f t="shared" si="3"/>
        <v>1</v>
      </c>
      <c r="F36" s="67">
        <f t="shared" si="3"/>
        <v>2</v>
      </c>
      <c r="G36" s="68">
        <f>SUM(G37:G41)</f>
        <v>1</v>
      </c>
      <c r="H36" s="11"/>
      <c r="I36" s="67" t="s">
        <v>26</v>
      </c>
      <c r="J36" s="67">
        <f>SUM(J37:J38)</f>
        <v>2</v>
      </c>
      <c r="K36" s="68">
        <f>SUM(K37:K38)</f>
        <v>1</v>
      </c>
    </row>
    <row r="37" spans="1:11" x14ac:dyDescent="0.3">
      <c r="A37" s="16" t="s">
        <v>29</v>
      </c>
      <c r="B37" s="17">
        <v>0</v>
      </c>
      <c r="C37" s="17">
        <v>1</v>
      </c>
      <c r="D37" s="17">
        <v>0</v>
      </c>
      <c r="E37" s="17">
        <v>1</v>
      </c>
      <c r="F37" s="17">
        <f>SUM(B37:E37)</f>
        <v>2</v>
      </c>
      <c r="G37" s="18">
        <f>F37/$F$36</f>
        <v>1</v>
      </c>
      <c r="H37" s="11"/>
      <c r="I37" s="19" t="s">
        <v>67</v>
      </c>
      <c r="J37" s="20">
        <v>1</v>
      </c>
      <c r="K37" s="18">
        <f>J37/$J$36</f>
        <v>0.5</v>
      </c>
    </row>
    <row r="38" spans="1:11" x14ac:dyDescent="0.3">
      <c r="A38" s="5" t="s">
        <v>27</v>
      </c>
      <c r="B38" s="21">
        <v>0</v>
      </c>
      <c r="C38" s="21">
        <v>0</v>
      </c>
      <c r="D38" s="21">
        <v>0</v>
      </c>
      <c r="E38" s="21">
        <v>0</v>
      </c>
      <c r="F38" s="21">
        <f>SUM(B38:E38)</f>
        <v>0</v>
      </c>
      <c r="G38" s="18">
        <f t="shared" ref="G38:G41" si="4">F38/$F$36</f>
        <v>0</v>
      </c>
      <c r="H38" s="11"/>
      <c r="I38" s="19" t="s">
        <v>48</v>
      </c>
      <c r="J38" s="20">
        <v>1</v>
      </c>
      <c r="K38" s="18">
        <f>J38/$J$36</f>
        <v>0.5</v>
      </c>
    </row>
    <row r="39" spans="1:11" x14ac:dyDescent="0.3">
      <c r="A39" s="5" t="s">
        <v>31</v>
      </c>
      <c r="B39" s="21">
        <v>0</v>
      </c>
      <c r="C39" s="21">
        <v>0</v>
      </c>
      <c r="D39" s="21">
        <v>0</v>
      </c>
      <c r="E39" s="21">
        <v>0</v>
      </c>
      <c r="F39" s="21">
        <f>SUM(B39:E39)</f>
        <v>0</v>
      </c>
      <c r="G39" s="18">
        <f t="shared" si="4"/>
        <v>0</v>
      </c>
      <c r="H39" s="11"/>
    </row>
    <row r="40" spans="1:11" x14ac:dyDescent="0.3">
      <c r="A40" s="5" t="s">
        <v>33</v>
      </c>
      <c r="B40" s="21">
        <v>0</v>
      </c>
      <c r="C40" s="21">
        <v>0</v>
      </c>
      <c r="D40" s="21">
        <v>0</v>
      </c>
      <c r="E40" s="21">
        <v>0</v>
      </c>
      <c r="F40" s="21">
        <f>SUM(B40:E40)</f>
        <v>0</v>
      </c>
      <c r="G40" s="18">
        <f t="shared" si="4"/>
        <v>0</v>
      </c>
      <c r="H40" s="11"/>
    </row>
    <row r="41" spans="1:11" x14ac:dyDescent="0.3">
      <c r="A41" s="16" t="s">
        <v>65</v>
      </c>
      <c r="B41" s="17">
        <v>0</v>
      </c>
      <c r="C41" s="17">
        <v>0</v>
      </c>
      <c r="D41" s="17">
        <v>0</v>
      </c>
      <c r="E41" s="21">
        <v>0</v>
      </c>
      <c r="F41" s="21">
        <f>SUM(B41:E41)</f>
        <v>0</v>
      </c>
      <c r="G41" s="18">
        <f t="shared" si="4"/>
        <v>0</v>
      </c>
    </row>
    <row r="44" spans="1:11" x14ac:dyDescent="0.3">
      <c r="A44" s="72" t="s">
        <v>97</v>
      </c>
      <c r="B44" s="29" t="s">
        <v>4</v>
      </c>
      <c r="C44" s="10" t="s">
        <v>5</v>
      </c>
      <c r="D44" s="10" t="s">
        <v>6</v>
      </c>
      <c r="E44" s="10" t="s">
        <v>7</v>
      </c>
      <c r="F44" s="10" t="s">
        <v>21</v>
      </c>
      <c r="G44" s="10" t="s">
        <v>22</v>
      </c>
      <c r="H44" s="11"/>
      <c r="I44" s="61" t="s">
        <v>23</v>
      </c>
      <c r="J44" s="62" t="s">
        <v>24</v>
      </c>
      <c r="K44" s="10" t="s">
        <v>22</v>
      </c>
    </row>
    <row r="45" spans="1:11" x14ac:dyDescent="0.3">
      <c r="A45" s="67" t="s">
        <v>25</v>
      </c>
      <c r="B45" s="67">
        <f>SUM(B46:B46)</f>
        <v>1</v>
      </c>
      <c r="C45" s="67">
        <f t="shared" ref="C45:G45" si="5">SUM(C46:C46)</f>
        <v>0</v>
      </c>
      <c r="D45" s="67">
        <f t="shared" si="5"/>
        <v>0</v>
      </c>
      <c r="E45" s="67">
        <f t="shared" si="5"/>
        <v>0</v>
      </c>
      <c r="F45" s="67">
        <f t="shared" si="5"/>
        <v>1</v>
      </c>
      <c r="G45" s="68">
        <f t="shared" si="5"/>
        <v>1</v>
      </c>
      <c r="H45" s="11"/>
      <c r="I45" s="67" t="s">
        <v>26</v>
      </c>
      <c r="J45" s="67">
        <f>SUM(J46)</f>
        <v>1</v>
      </c>
      <c r="K45" s="68">
        <f>SUM(K46)</f>
        <v>1</v>
      </c>
    </row>
    <row r="46" spans="1:11" x14ac:dyDescent="0.3">
      <c r="A46" s="16" t="s">
        <v>27</v>
      </c>
      <c r="B46" s="17">
        <v>1</v>
      </c>
      <c r="C46" s="17">
        <v>0</v>
      </c>
      <c r="D46" s="17">
        <v>0</v>
      </c>
      <c r="E46" s="17">
        <v>0</v>
      </c>
      <c r="F46" s="17">
        <f>SUM(B46:E46)</f>
        <v>1</v>
      </c>
      <c r="G46" s="18">
        <f>F46/$F$45</f>
        <v>1</v>
      </c>
      <c r="H46" s="11"/>
      <c r="I46" s="19" t="s">
        <v>47</v>
      </c>
      <c r="J46" s="20">
        <v>1</v>
      </c>
      <c r="K46" s="18">
        <f>J46/$J$45</f>
        <v>1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rowBreaks count="1" manualBreakCount="1">
    <brk id="34" max="16383" man="1"/>
  </rowBreaks>
  <ignoredErrors>
    <ignoredError sqref="H4:H2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2F8F-C847-457A-BA0F-E74094CCB364}">
  <dimension ref="A1:K53"/>
  <sheetViews>
    <sheetView showGridLines="0" zoomScaleNormal="100" workbookViewId="0">
      <selection activeCell="C16" sqref="C16"/>
    </sheetView>
  </sheetViews>
  <sheetFormatPr baseColWidth="10" defaultRowHeight="14.4" x14ac:dyDescent="0.3"/>
  <cols>
    <col min="1" max="1" width="33" bestFit="1" customWidth="1"/>
    <col min="2" max="2" width="11.6640625" bestFit="1" customWidth="1"/>
    <col min="3" max="3" width="14.109375" bestFit="1" customWidth="1"/>
    <col min="4" max="11" width="9.77734375" customWidth="1"/>
  </cols>
  <sheetData>
    <row r="1" spans="1:11" ht="17.399999999999999" x14ac:dyDescent="0.35">
      <c r="A1" s="7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x14ac:dyDescent="0.35">
      <c r="A2" s="3"/>
    </row>
    <row r="3" spans="1:11" x14ac:dyDescent="0.3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5" t="s">
        <v>7</v>
      </c>
      <c r="H3" s="69" t="s">
        <v>103</v>
      </c>
      <c r="I3" s="69" t="s">
        <v>101</v>
      </c>
      <c r="J3" s="69" t="s">
        <v>102</v>
      </c>
    </row>
    <row r="4" spans="1:11" s="36" customFormat="1" x14ac:dyDescent="0.3">
      <c r="A4" s="32" t="s">
        <v>8</v>
      </c>
      <c r="B4" s="32" t="s">
        <v>9</v>
      </c>
      <c r="C4" s="5">
        <v>45652</v>
      </c>
      <c r="D4" s="21">
        <v>0</v>
      </c>
      <c r="E4" s="21">
        <v>0</v>
      </c>
      <c r="F4" s="21">
        <v>0</v>
      </c>
      <c r="G4" s="21">
        <v>0</v>
      </c>
      <c r="H4" s="70">
        <f>SUM(D4:G4)</f>
        <v>0</v>
      </c>
      <c r="I4" s="70">
        <v>0</v>
      </c>
      <c r="J4" s="70"/>
    </row>
    <row r="5" spans="1:11" s="36" customFormat="1" x14ac:dyDescent="0.3">
      <c r="A5" s="32" t="s">
        <v>10</v>
      </c>
      <c r="B5" s="32" t="s">
        <v>9</v>
      </c>
      <c r="C5" s="5">
        <v>45652</v>
      </c>
      <c r="D5" s="21">
        <v>0</v>
      </c>
      <c r="E5" s="21">
        <v>0</v>
      </c>
      <c r="F5" s="21">
        <v>0</v>
      </c>
      <c r="G5" s="21">
        <v>0</v>
      </c>
      <c r="H5" s="70">
        <f t="shared" ref="H5:H21" si="0">SUM(D5:G5)</f>
        <v>0</v>
      </c>
      <c r="I5" s="70">
        <v>1</v>
      </c>
      <c r="J5" s="70"/>
    </row>
    <row r="6" spans="1:11" s="36" customFormat="1" x14ac:dyDescent="0.3">
      <c r="A6" s="32" t="s">
        <v>11</v>
      </c>
      <c r="B6" s="32" t="s">
        <v>9</v>
      </c>
      <c r="C6" s="5">
        <v>45652</v>
      </c>
      <c r="D6" s="21">
        <v>0</v>
      </c>
      <c r="E6" s="21">
        <v>0</v>
      </c>
      <c r="F6" s="21">
        <v>0</v>
      </c>
      <c r="G6" s="21">
        <v>0</v>
      </c>
      <c r="H6" s="70">
        <f t="shared" si="0"/>
        <v>0</v>
      </c>
      <c r="I6" s="70">
        <v>0</v>
      </c>
      <c r="J6" s="70"/>
    </row>
    <row r="7" spans="1:11" s="36" customFormat="1" x14ac:dyDescent="0.3">
      <c r="A7" s="32" t="s">
        <v>12</v>
      </c>
      <c r="B7" s="32" t="s">
        <v>9</v>
      </c>
      <c r="C7" s="5">
        <v>45661</v>
      </c>
      <c r="D7" s="21">
        <v>0</v>
      </c>
      <c r="E7" s="21">
        <v>0</v>
      </c>
      <c r="F7" s="21">
        <v>0</v>
      </c>
      <c r="G7" s="21">
        <v>0</v>
      </c>
      <c r="H7" s="70">
        <f t="shared" si="0"/>
        <v>0</v>
      </c>
      <c r="I7" s="70">
        <v>1</v>
      </c>
      <c r="J7" s="70"/>
    </row>
    <row r="8" spans="1:11" s="36" customFormat="1" x14ac:dyDescent="0.3">
      <c r="A8" s="32" t="s">
        <v>13</v>
      </c>
      <c r="B8" s="32" t="s">
        <v>9</v>
      </c>
      <c r="C8" s="5">
        <v>45661</v>
      </c>
      <c r="D8" s="21">
        <v>0</v>
      </c>
      <c r="E8" s="21">
        <v>0</v>
      </c>
      <c r="F8" s="21">
        <v>0</v>
      </c>
      <c r="G8" s="21">
        <v>0</v>
      </c>
      <c r="H8" s="70">
        <f t="shared" si="0"/>
        <v>0</v>
      </c>
      <c r="I8" s="70">
        <v>0</v>
      </c>
      <c r="J8" s="70"/>
    </row>
    <row r="9" spans="1:11" s="36" customFormat="1" x14ac:dyDescent="0.3">
      <c r="A9" s="32" t="s">
        <v>14</v>
      </c>
      <c r="B9" s="32" t="s">
        <v>9</v>
      </c>
      <c r="C9" s="5">
        <v>45661</v>
      </c>
      <c r="D9" s="21">
        <v>0</v>
      </c>
      <c r="E9" s="21">
        <v>0</v>
      </c>
      <c r="F9" s="21">
        <v>0</v>
      </c>
      <c r="G9" s="21">
        <v>0</v>
      </c>
      <c r="H9" s="70">
        <f t="shared" si="0"/>
        <v>0</v>
      </c>
      <c r="I9" s="70">
        <v>0</v>
      </c>
      <c r="J9" s="70"/>
    </row>
    <row r="10" spans="1:11" s="36" customFormat="1" x14ac:dyDescent="0.3">
      <c r="A10" s="32" t="s">
        <v>15</v>
      </c>
      <c r="B10" s="32" t="s">
        <v>16</v>
      </c>
      <c r="C10" s="5">
        <v>45661</v>
      </c>
      <c r="D10" s="21">
        <v>6</v>
      </c>
      <c r="E10" s="21">
        <v>3</v>
      </c>
      <c r="F10" s="21">
        <v>1</v>
      </c>
      <c r="G10" s="21">
        <v>4</v>
      </c>
      <c r="H10" s="70">
        <f t="shared" si="0"/>
        <v>14</v>
      </c>
      <c r="I10" s="70">
        <v>34</v>
      </c>
      <c r="J10" s="70"/>
    </row>
    <row r="11" spans="1:11" s="36" customFormat="1" x14ac:dyDescent="0.3">
      <c r="A11" s="32" t="s">
        <v>17</v>
      </c>
      <c r="B11" s="32" t="s">
        <v>18</v>
      </c>
      <c r="C11" s="5">
        <v>45665</v>
      </c>
      <c r="D11" s="21">
        <v>1</v>
      </c>
      <c r="E11" s="21">
        <v>2</v>
      </c>
      <c r="F11" s="21">
        <v>0</v>
      </c>
      <c r="G11" s="21">
        <v>0</v>
      </c>
      <c r="H11" s="70">
        <f t="shared" si="0"/>
        <v>3</v>
      </c>
      <c r="I11" s="70">
        <v>2</v>
      </c>
      <c r="J11" s="70"/>
    </row>
    <row r="12" spans="1:11" s="36" customFormat="1" x14ac:dyDescent="0.3">
      <c r="A12" s="32" t="s">
        <v>19</v>
      </c>
      <c r="B12" s="32" t="s">
        <v>18</v>
      </c>
      <c r="C12" s="5">
        <v>45665</v>
      </c>
      <c r="D12" s="21">
        <v>1</v>
      </c>
      <c r="E12" s="21">
        <v>2</v>
      </c>
      <c r="F12" s="21">
        <v>0</v>
      </c>
      <c r="G12" s="21">
        <v>4</v>
      </c>
      <c r="H12" s="70">
        <f t="shared" si="0"/>
        <v>7</v>
      </c>
      <c r="I12" s="70">
        <v>11</v>
      </c>
      <c r="J12" s="70"/>
    </row>
    <row r="13" spans="1:11" s="36" customFormat="1" x14ac:dyDescent="0.3">
      <c r="A13" s="32" t="s">
        <v>38</v>
      </c>
      <c r="B13" s="32" t="s">
        <v>16</v>
      </c>
      <c r="C13" s="5">
        <v>45667</v>
      </c>
      <c r="D13" s="21">
        <v>8</v>
      </c>
      <c r="E13" s="21">
        <v>7</v>
      </c>
      <c r="F13" s="21">
        <v>1</v>
      </c>
      <c r="G13" s="21">
        <v>1</v>
      </c>
      <c r="H13" s="70">
        <f t="shared" si="0"/>
        <v>17</v>
      </c>
      <c r="I13" s="70">
        <v>27</v>
      </c>
      <c r="J13" s="70"/>
    </row>
    <row r="14" spans="1:11" s="36" customFormat="1" x14ac:dyDescent="0.3">
      <c r="A14" s="32" t="s">
        <v>39</v>
      </c>
      <c r="B14" s="32" t="s">
        <v>16</v>
      </c>
      <c r="C14" s="5">
        <v>45667</v>
      </c>
      <c r="D14" s="21">
        <v>6</v>
      </c>
      <c r="E14" s="21">
        <v>4</v>
      </c>
      <c r="F14" s="21">
        <v>5</v>
      </c>
      <c r="G14" s="21">
        <v>1</v>
      </c>
      <c r="H14" s="70">
        <f t="shared" si="0"/>
        <v>16</v>
      </c>
      <c r="I14" s="70">
        <v>17</v>
      </c>
      <c r="J14" s="70"/>
    </row>
    <row r="15" spans="1:11" s="36" customFormat="1" x14ac:dyDescent="0.3">
      <c r="A15" s="32" t="s">
        <v>44</v>
      </c>
      <c r="B15" s="32" t="s">
        <v>16</v>
      </c>
      <c r="C15" s="5">
        <v>45678</v>
      </c>
      <c r="D15" s="21">
        <v>0</v>
      </c>
      <c r="E15" s="21">
        <v>1</v>
      </c>
      <c r="F15" s="21">
        <v>1</v>
      </c>
      <c r="G15" s="21">
        <v>2</v>
      </c>
      <c r="H15" s="70">
        <f t="shared" si="0"/>
        <v>4</v>
      </c>
      <c r="I15" s="70">
        <v>3</v>
      </c>
      <c r="J15" s="70"/>
    </row>
    <row r="16" spans="1:11" s="36" customFormat="1" x14ac:dyDescent="0.3">
      <c r="A16" s="32" t="s">
        <v>45</v>
      </c>
      <c r="B16" s="32" t="s">
        <v>16</v>
      </c>
      <c r="C16" s="5">
        <v>45681</v>
      </c>
      <c r="D16" s="21">
        <v>0</v>
      </c>
      <c r="E16" s="21">
        <v>0</v>
      </c>
      <c r="F16" s="21">
        <v>2</v>
      </c>
      <c r="G16" s="21">
        <v>2</v>
      </c>
      <c r="H16" s="70">
        <f t="shared" si="0"/>
        <v>4</v>
      </c>
      <c r="I16" s="70">
        <v>3</v>
      </c>
      <c r="J16" s="70"/>
    </row>
    <row r="17" spans="1:11" s="36" customFormat="1" x14ac:dyDescent="0.3">
      <c r="A17" s="32" t="s">
        <v>86</v>
      </c>
      <c r="B17" s="32" t="s">
        <v>9</v>
      </c>
      <c r="C17" s="5">
        <v>45688</v>
      </c>
      <c r="D17" s="21">
        <v>0</v>
      </c>
      <c r="E17" s="21">
        <v>0</v>
      </c>
      <c r="F17" s="21">
        <v>1</v>
      </c>
      <c r="G17" s="21">
        <v>0</v>
      </c>
      <c r="H17" s="70">
        <f t="shared" si="0"/>
        <v>1</v>
      </c>
      <c r="I17" s="70"/>
      <c r="J17" s="70"/>
    </row>
    <row r="18" spans="1:11" s="36" customFormat="1" x14ac:dyDescent="0.3">
      <c r="A18" s="32" t="s">
        <v>87</v>
      </c>
      <c r="B18" s="32" t="s">
        <v>9</v>
      </c>
      <c r="C18" s="5">
        <v>45688</v>
      </c>
      <c r="D18" s="21">
        <v>0</v>
      </c>
      <c r="E18" s="21">
        <v>1</v>
      </c>
      <c r="F18" s="21">
        <v>0</v>
      </c>
      <c r="G18" s="21">
        <v>1</v>
      </c>
      <c r="H18" s="70">
        <f t="shared" si="0"/>
        <v>2</v>
      </c>
      <c r="I18" s="70"/>
      <c r="J18" s="70"/>
    </row>
    <row r="19" spans="1:11" s="36" customFormat="1" x14ac:dyDescent="0.3">
      <c r="A19" s="32" t="s">
        <v>88</v>
      </c>
      <c r="B19" s="32" t="s">
        <v>9</v>
      </c>
      <c r="C19" s="5">
        <v>45688</v>
      </c>
      <c r="D19" s="21">
        <v>0</v>
      </c>
      <c r="E19" s="21">
        <v>0</v>
      </c>
      <c r="F19" s="21">
        <v>0</v>
      </c>
      <c r="G19" s="21">
        <v>0</v>
      </c>
      <c r="H19" s="70">
        <f t="shared" si="0"/>
        <v>0</v>
      </c>
      <c r="I19" s="70"/>
      <c r="J19" s="70"/>
    </row>
    <row r="20" spans="1:11" s="36" customFormat="1" x14ac:dyDescent="0.3">
      <c r="A20" s="32" t="s">
        <v>91</v>
      </c>
      <c r="B20" s="32" t="s">
        <v>16</v>
      </c>
      <c r="C20" s="5">
        <v>45693</v>
      </c>
      <c r="D20" s="21">
        <v>0</v>
      </c>
      <c r="E20" s="21">
        <v>0</v>
      </c>
      <c r="F20" s="21">
        <v>0</v>
      </c>
      <c r="G20" s="21">
        <v>0</v>
      </c>
      <c r="H20" s="70">
        <f t="shared" si="0"/>
        <v>0</v>
      </c>
      <c r="I20" s="70"/>
      <c r="J20" s="70"/>
    </row>
    <row r="21" spans="1:11" s="36" customFormat="1" x14ac:dyDescent="0.3">
      <c r="A21" s="32" t="s">
        <v>92</v>
      </c>
      <c r="B21" s="32" t="s">
        <v>16</v>
      </c>
      <c r="C21" s="5">
        <v>45693</v>
      </c>
      <c r="D21" s="21">
        <v>1</v>
      </c>
      <c r="E21" s="21">
        <v>0</v>
      </c>
      <c r="F21" s="21">
        <v>0</v>
      </c>
      <c r="G21" s="21">
        <v>0</v>
      </c>
      <c r="H21" s="70">
        <f t="shared" si="0"/>
        <v>1</v>
      </c>
      <c r="I21" s="70"/>
      <c r="J21" s="70"/>
    </row>
    <row r="22" spans="1:11" s="36" customFormat="1" x14ac:dyDescent="0.3">
      <c r="A22" s="32" t="s">
        <v>99</v>
      </c>
      <c r="B22" s="32" t="s">
        <v>104</v>
      </c>
      <c r="C22" s="56">
        <v>45728</v>
      </c>
      <c r="D22" s="21">
        <v>1</v>
      </c>
      <c r="E22" s="21">
        <v>0</v>
      </c>
      <c r="F22" s="21"/>
      <c r="G22" s="21"/>
      <c r="H22" s="70"/>
      <c r="I22" s="70"/>
      <c r="J22" s="70"/>
    </row>
    <row r="23" spans="1:11" s="36" customFormat="1" x14ac:dyDescent="0.3">
      <c r="A23" s="32" t="s">
        <v>98</v>
      </c>
      <c r="B23" s="32" t="s">
        <v>16</v>
      </c>
      <c r="C23" s="56">
        <v>45728</v>
      </c>
      <c r="D23" s="21">
        <v>5</v>
      </c>
      <c r="E23" s="21">
        <v>5</v>
      </c>
      <c r="F23" s="21"/>
      <c r="G23" s="21"/>
      <c r="H23" s="70"/>
      <c r="I23" s="70"/>
      <c r="J23" s="70"/>
    </row>
    <row r="24" spans="1:11" x14ac:dyDescent="0.3">
      <c r="A24" s="32" t="s">
        <v>106</v>
      </c>
      <c r="B24" s="32" t="s">
        <v>16</v>
      </c>
      <c r="C24" s="56">
        <v>45730</v>
      </c>
      <c r="D24" s="21">
        <v>4</v>
      </c>
      <c r="E24" s="21"/>
      <c r="F24" s="21"/>
      <c r="G24" s="21"/>
      <c r="H24" s="70"/>
      <c r="I24" s="70"/>
      <c r="J24" s="70"/>
    </row>
    <row r="25" spans="1:11" x14ac:dyDescent="0.3">
      <c r="A25" s="73"/>
    </row>
    <row r="27" spans="1:11" x14ac:dyDescent="0.3">
      <c r="A27" s="72" t="s">
        <v>108</v>
      </c>
      <c r="B27" s="29" t="s">
        <v>4</v>
      </c>
      <c r="C27" s="10" t="s">
        <v>5</v>
      </c>
      <c r="D27" s="10" t="s">
        <v>6</v>
      </c>
      <c r="E27" s="10" t="s">
        <v>7</v>
      </c>
      <c r="F27" s="10" t="s">
        <v>21</v>
      </c>
      <c r="G27" s="10" t="s">
        <v>22</v>
      </c>
      <c r="H27" s="11"/>
      <c r="I27" s="61" t="s">
        <v>23</v>
      </c>
      <c r="J27" s="62" t="s">
        <v>24</v>
      </c>
      <c r="K27" s="10" t="s">
        <v>22</v>
      </c>
    </row>
    <row r="28" spans="1:11" x14ac:dyDescent="0.3">
      <c r="A28" s="67" t="s">
        <v>25</v>
      </c>
      <c r="B28" s="74">
        <f>SUM(B29:B34)</f>
        <v>1</v>
      </c>
      <c r="C28" s="74">
        <f t="shared" ref="C28:F28" si="1">SUM(C29:C34)</f>
        <v>0</v>
      </c>
      <c r="D28" s="74">
        <f t="shared" si="1"/>
        <v>0</v>
      </c>
      <c r="E28" s="74">
        <f t="shared" si="1"/>
        <v>0</v>
      </c>
      <c r="F28" s="74">
        <f t="shared" si="1"/>
        <v>1</v>
      </c>
      <c r="G28" s="68">
        <f>SUM(G29:G34)</f>
        <v>1</v>
      </c>
      <c r="H28" s="11"/>
      <c r="I28" s="67" t="s">
        <v>26</v>
      </c>
      <c r="J28" s="67">
        <f>SUM(J29)</f>
        <v>1</v>
      </c>
      <c r="K28" s="68">
        <f>SUM(K29)</f>
        <v>1</v>
      </c>
    </row>
    <row r="29" spans="1:11" x14ac:dyDescent="0.3">
      <c r="A29" s="16" t="s">
        <v>27</v>
      </c>
      <c r="B29" s="17">
        <v>1</v>
      </c>
      <c r="C29" s="17">
        <v>0</v>
      </c>
      <c r="D29" s="17"/>
      <c r="E29" s="17"/>
      <c r="F29" s="17">
        <f>SUM(B29:E29)</f>
        <v>1</v>
      </c>
      <c r="G29" s="18">
        <f t="shared" ref="G29:G34" si="2">F29/$F$28</f>
        <v>1</v>
      </c>
      <c r="H29" s="11"/>
      <c r="I29" s="19" t="s">
        <v>67</v>
      </c>
      <c r="J29" s="20">
        <v>1</v>
      </c>
      <c r="K29" s="18">
        <f>J29/$J$28</f>
        <v>1</v>
      </c>
    </row>
    <row r="30" spans="1:11" x14ac:dyDescent="0.3">
      <c r="A30" s="5" t="s">
        <v>31</v>
      </c>
      <c r="B30" s="21">
        <v>0</v>
      </c>
      <c r="C30" s="17">
        <v>0</v>
      </c>
      <c r="D30" s="21"/>
      <c r="E30" s="21"/>
      <c r="F30" s="17">
        <f t="shared" ref="F30:F34" si="3">SUM(B30:E30)</f>
        <v>0</v>
      </c>
      <c r="G30" s="18">
        <f t="shared" si="2"/>
        <v>0</v>
      </c>
      <c r="H30" s="11"/>
    </row>
    <row r="31" spans="1:11" x14ac:dyDescent="0.3">
      <c r="A31" s="5" t="s">
        <v>36</v>
      </c>
      <c r="B31" s="21">
        <v>0</v>
      </c>
      <c r="C31" s="17">
        <v>0</v>
      </c>
      <c r="D31" s="21"/>
      <c r="E31" s="21"/>
      <c r="F31" s="17">
        <f t="shared" si="3"/>
        <v>0</v>
      </c>
      <c r="G31" s="18">
        <f t="shared" si="2"/>
        <v>0</v>
      </c>
      <c r="H31" s="11"/>
    </row>
    <row r="32" spans="1:11" x14ac:dyDescent="0.3">
      <c r="A32" s="5" t="s">
        <v>33</v>
      </c>
      <c r="B32" s="21">
        <v>0</v>
      </c>
      <c r="C32" s="17">
        <v>0</v>
      </c>
      <c r="D32" s="21"/>
      <c r="E32" s="21"/>
      <c r="F32" s="17">
        <f t="shared" si="3"/>
        <v>0</v>
      </c>
      <c r="G32" s="18">
        <f t="shared" si="2"/>
        <v>0</v>
      </c>
      <c r="H32" s="11"/>
    </row>
    <row r="33" spans="1:11" x14ac:dyDescent="0.3">
      <c r="A33" s="16" t="s">
        <v>29</v>
      </c>
      <c r="B33" s="21">
        <v>0</v>
      </c>
      <c r="C33" s="17">
        <v>0</v>
      </c>
      <c r="D33" s="21"/>
      <c r="E33" s="21"/>
      <c r="F33" s="17">
        <f t="shared" si="3"/>
        <v>0</v>
      </c>
      <c r="G33" s="18">
        <f t="shared" si="2"/>
        <v>0</v>
      </c>
    </row>
    <row r="34" spans="1:11" x14ac:dyDescent="0.3">
      <c r="A34" s="16" t="s">
        <v>65</v>
      </c>
      <c r="B34" s="21">
        <v>0</v>
      </c>
      <c r="C34" s="17">
        <v>0</v>
      </c>
      <c r="D34" s="21"/>
      <c r="E34" s="21"/>
      <c r="F34" s="17">
        <f t="shared" si="3"/>
        <v>0</v>
      </c>
      <c r="G34" s="18">
        <f t="shared" si="2"/>
        <v>0</v>
      </c>
    </row>
    <row r="35" spans="1:11" x14ac:dyDescent="0.3">
      <c r="A35" s="23"/>
      <c r="B35" s="24"/>
      <c r="C35" s="24"/>
      <c r="D35" s="24"/>
      <c r="E35" s="24"/>
      <c r="F35" s="24"/>
      <c r="G35" s="25"/>
    </row>
    <row r="37" spans="1:11" x14ac:dyDescent="0.3">
      <c r="A37" s="72" t="s">
        <v>109</v>
      </c>
      <c r="B37" s="29" t="s">
        <v>4</v>
      </c>
      <c r="C37" s="10" t="s">
        <v>5</v>
      </c>
      <c r="D37" s="10" t="s">
        <v>6</v>
      </c>
      <c r="E37" s="10" t="s">
        <v>7</v>
      </c>
      <c r="F37" s="10" t="s">
        <v>21</v>
      </c>
      <c r="G37" s="10" t="s">
        <v>22</v>
      </c>
      <c r="H37" s="11"/>
      <c r="I37" s="61" t="s">
        <v>23</v>
      </c>
      <c r="J37" s="62" t="s">
        <v>24</v>
      </c>
      <c r="K37" s="10" t="s">
        <v>22</v>
      </c>
    </row>
    <row r="38" spans="1:11" x14ac:dyDescent="0.3">
      <c r="A38" s="67" t="s">
        <v>25</v>
      </c>
      <c r="B38" s="74">
        <f>SUM(B39:B43)</f>
        <v>5</v>
      </c>
      <c r="C38" s="74">
        <f t="shared" ref="C38:F38" si="4">SUM(C39:C43)</f>
        <v>5</v>
      </c>
      <c r="D38" s="74">
        <f t="shared" si="4"/>
        <v>0</v>
      </c>
      <c r="E38" s="74">
        <f t="shared" si="4"/>
        <v>0</v>
      </c>
      <c r="F38" s="74">
        <f t="shared" si="4"/>
        <v>10</v>
      </c>
      <c r="G38" s="68">
        <f>SUM(G39:G43)</f>
        <v>1</v>
      </c>
      <c r="H38" s="11"/>
      <c r="I38" s="67" t="s">
        <v>26</v>
      </c>
      <c r="J38" s="67">
        <f>SUM(J39:J41)</f>
        <v>10</v>
      </c>
      <c r="K38" s="68">
        <f>SUM(K39:K41)</f>
        <v>1</v>
      </c>
    </row>
    <row r="39" spans="1:11" x14ac:dyDescent="0.3">
      <c r="A39" s="16" t="s">
        <v>29</v>
      </c>
      <c r="B39" s="17">
        <v>5</v>
      </c>
      <c r="C39" s="17">
        <v>1</v>
      </c>
      <c r="D39" s="17"/>
      <c r="E39" s="17"/>
      <c r="F39" s="17">
        <f>SUM(B39:E39)</f>
        <v>6</v>
      </c>
      <c r="G39" s="18">
        <f>F39/$F$38</f>
        <v>0.6</v>
      </c>
      <c r="H39" s="11"/>
      <c r="I39" s="19" t="s">
        <v>28</v>
      </c>
      <c r="J39" s="20">
        <v>5</v>
      </c>
      <c r="K39" s="18">
        <f>J39/$J$38</f>
        <v>0.5</v>
      </c>
    </row>
    <row r="40" spans="1:11" x14ac:dyDescent="0.3">
      <c r="A40" s="5" t="s">
        <v>33</v>
      </c>
      <c r="B40" s="21">
        <v>0</v>
      </c>
      <c r="C40" s="17">
        <v>2</v>
      </c>
      <c r="D40" s="21"/>
      <c r="E40" s="21"/>
      <c r="F40" s="17">
        <f>SUM(B40:E40)</f>
        <v>2</v>
      </c>
      <c r="G40" s="18">
        <f>F40/$F$38</f>
        <v>0.2</v>
      </c>
      <c r="H40" s="11"/>
      <c r="I40" s="19" t="s">
        <v>110</v>
      </c>
      <c r="J40" s="20">
        <v>4</v>
      </c>
      <c r="K40" s="18">
        <f t="shared" ref="K40:K41" si="5">J40/$J$38</f>
        <v>0.4</v>
      </c>
    </row>
    <row r="41" spans="1:11" x14ac:dyDescent="0.3">
      <c r="A41" s="5" t="s">
        <v>27</v>
      </c>
      <c r="B41" s="21">
        <v>0</v>
      </c>
      <c r="C41" s="17">
        <v>1</v>
      </c>
      <c r="D41" s="21"/>
      <c r="E41" s="21"/>
      <c r="F41" s="17">
        <f>SUM(B41:E41)</f>
        <v>1</v>
      </c>
      <c r="G41" s="18">
        <f>F41/$F$38</f>
        <v>0.1</v>
      </c>
      <c r="H41" s="11"/>
      <c r="I41" s="19" t="s">
        <v>67</v>
      </c>
      <c r="J41" s="20">
        <v>1</v>
      </c>
      <c r="K41" s="18">
        <f t="shared" si="5"/>
        <v>0.1</v>
      </c>
    </row>
    <row r="42" spans="1:11" x14ac:dyDescent="0.3">
      <c r="A42" s="16" t="s">
        <v>65</v>
      </c>
      <c r="B42" s="21">
        <v>0</v>
      </c>
      <c r="C42" s="17">
        <v>1</v>
      </c>
      <c r="D42" s="21"/>
      <c r="E42" s="21"/>
      <c r="F42" s="17">
        <f>SUM(B42:E42)</f>
        <v>1</v>
      </c>
      <c r="G42" s="18">
        <f>F42/$F$38</f>
        <v>0.1</v>
      </c>
    </row>
    <row r="43" spans="1:11" x14ac:dyDescent="0.3">
      <c r="A43" s="16" t="s">
        <v>31</v>
      </c>
      <c r="B43" s="21">
        <v>0</v>
      </c>
      <c r="C43" s="17">
        <v>0</v>
      </c>
      <c r="D43" s="21"/>
      <c r="E43" s="21"/>
      <c r="F43" s="17">
        <f>SUM(B43:E43)</f>
        <v>0</v>
      </c>
      <c r="G43" s="18">
        <f>F43/$F$38</f>
        <v>0</v>
      </c>
    </row>
    <row r="46" spans="1:11" x14ac:dyDescent="0.3">
      <c r="A46" s="72" t="s">
        <v>111</v>
      </c>
      <c r="B46" s="29" t="s">
        <v>4</v>
      </c>
      <c r="C46" s="10" t="s">
        <v>5</v>
      </c>
      <c r="D46" s="10" t="s">
        <v>6</v>
      </c>
      <c r="E46" s="10" t="s">
        <v>7</v>
      </c>
      <c r="F46" s="10" t="s">
        <v>21</v>
      </c>
      <c r="G46" s="10" t="s">
        <v>22</v>
      </c>
      <c r="H46" s="11"/>
      <c r="I46" s="61" t="s">
        <v>23</v>
      </c>
      <c r="J46" s="62" t="s">
        <v>24</v>
      </c>
      <c r="K46" s="10" t="s">
        <v>22</v>
      </c>
    </row>
    <row r="47" spans="1:11" x14ac:dyDescent="0.3">
      <c r="A47" s="67" t="s">
        <v>25</v>
      </c>
      <c r="B47" s="74">
        <f>SUM(B48:B53)</f>
        <v>4</v>
      </c>
      <c r="C47" s="74">
        <f t="shared" ref="C47:F47" si="6">SUM(C48:C53)</f>
        <v>0</v>
      </c>
      <c r="D47" s="74">
        <f t="shared" si="6"/>
        <v>0</v>
      </c>
      <c r="E47" s="74">
        <f t="shared" si="6"/>
        <v>0</v>
      </c>
      <c r="F47" s="74">
        <f t="shared" si="6"/>
        <v>4</v>
      </c>
      <c r="G47" s="68">
        <f>SUM(G48:G53)</f>
        <v>1</v>
      </c>
      <c r="H47" s="11"/>
      <c r="I47" s="67" t="s">
        <v>26</v>
      </c>
      <c r="J47" s="67">
        <f>SUM(J48:J50)</f>
        <v>4</v>
      </c>
      <c r="K47" s="68">
        <f>SUM(K48:K50)</f>
        <v>1</v>
      </c>
    </row>
    <row r="48" spans="1:11" x14ac:dyDescent="0.3">
      <c r="A48" s="16" t="s">
        <v>29</v>
      </c>
      <c r="B48" s="17">
        <v>3</v>
      </c>
      <c r="C48" s="17"/>
      <c r="D48" s="17"/>
      <c r="E48" s="17"/>
      <c r="F48" s="17">
        <f t="shared" ref="F48:F53" si="7">SUM(B48:E48)</f>
        <v>3</v>
      </c>
      <c r="G48" s="18">
        <f t="shared" ref="G48:G53" si="8">F48/$F$47</f>
        <v>0.75</v>
      </c>
      <c r="H48" s="11"/>
      <c r="I48" s="19" t="s">
        <v>28</v>
      </c>
      <c r="J48" s="20">
        <v>2</v>
      </c>
      <c r="K48" s="18">
        <f>J48/$J$47</f>
        <v>0.5</v>
      </c>
    </row>
    <row r="49" spans="1:11" x14ac:dyDescent="0.3">
      <c r="A49" s="5" t="s">
        <v>65</v>
      </c>
      <c r="B49" s="21">
        <v>1</v>
      </c>
      <c r="C49" s="17"/>
      <c r="D49" s="21"/>
      <c r="E49" s="21"/>
      <c r="F49" s="17">
        <f t="shared" si="7"/>
        <v>1</v>
      </c>
      <c r="G49" s="18">
        <f t="shared" si="8"/>
        <v>0.25</v>
      </c>
      <c r="H49" s="11"/>
      <c r="I49" s="19" t="s">
        <v>69</v>
      </c>
      <c r="J49" s="20">
        <v>1</v>
      </c>
      <c r="K49" s="18">
        <f t="shared" ref="K49:K50" si="9">J49/$J$47</f>
        <v>0.25</v>
      </c>
    </row>
    <row r="50" spans="1:11" x14ac:dyDescent="0.3">
      <c r="A50" s="5" t="s">
        <v>27</v>
      </c>
      <c r="B50" s="21">
        <v>0</v>
      </c>
      <c r="C50" s="17"/>
      <c r="D50" s="21"/>
      <c r="E50" s="21"/>
      <c r="F50" s="17">
        <f t="shared" si="7"/>
        <v>0</v>
      </c>
      <c r="G50" s="18">
        <f t="shared" si="8"/>
        <v>0</v>
      </c>
      <c r="H50" s="11"/>
      <c r="I50" s="19" t="s">
        <v>34</v>
      </c>
      <c r="J50" s="20">
        <v>1</v>
      </c>
      <c r="K50" s="18">
        <f t="shared" si="9"/>
        <v>0.25</v>
      </c>
    </row>
    <row r="51" spans="1:11" x14ac:dyDescent="0.3">
      <c r="A51" s="5" t="s">
        <v>31</v>
      </c>
      <c r="B51" s="21">
        <v>0</v>
      </c>
      <c r="C51" s="17"/>
      <c r="D51" s="21"/>
      <c r="E51" s="21"/>
      <c r="F51" s="17">
        <f t="shared" si="7"/>
        <v>0</v>
      </c>
      <c r="G51" s="18">
        <f t="shared" si="8"/>
        <v>0</v>
      </c>
      <c r="H51" s="11"/>
    </row>
    <row r="52" spans="1:11" x14ac:dyDescent="0.3">
      <c r="A52" s="16" t="s">
        <v>36</v>
      </c>
      <c r="B52" s="21">
        <v>0</v>
      </c>
      <c r="C52" s="17"/>
      <c r="D52" s="21"/>
      <c r="E52" s="21"/>
      <c r="F52" s="17">
        <f t="shared" si="7"/>
        <v>0</v>
      </c>
      <c r="G52" s="18">
        <f t="shared" si="8"/>
        <v>0</v>
      </c>
    </row>
    <row r="53" spans="1:11" x14ac:dyDescent="0.3">
      <c r="A53" s="16" t="s">
        <v>33</v>
      </c>
      <c r="B53" s="21">
        <v>0</v>
      </c>
      <c r="C53" s="17"/>
      <c r="D53" s="21"/>
      <c r="E53" s="21"/>
      <c r="F53" s="17">
        <f t="shared" si="7"/>
        <v>0</v>
      </c>
      <c r="G53" s="18">
        <f t="shared" si="8"/>
        <v>0</v>
      </c>
    </row>
  </sheetData>
  <sortState xmlns:xlrd2="http://schemas.microsoft.com/office/spreadsheetml/2017/richdata2" ref="A48:G53">
    <sortCondition descending="1" ref="G48:G53"/>
  </sortState>
  <pageMargins left="0.70866141732283472" right="0.70866141732283472" top="0.74803149606299213" bottom="0.74803149606299213" header="0.31496062992125984" footer="0.31496062992125984"/>
  <pageSetup paperSize="9" scale="90" orientation="landscape" r:id="rId1"/>
  <ignoredErrors>
    <ignoredError sqref="H4:H2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6EBD-A57F-40E9-85C1-740D54E0B7E7}">
  <dimension ref="B1:M23"/>
  <sheetViews>
    <sheetView showGridLines="0" zoomScaleNormal="100" workbookViewId="0">
      <selection activeCell="E25" sqref="E25"/>
    </sheetView>
  </sheetViews>
  <sheetFormatPr baseColWidth="10" defaultRowHeight="14.4" x14ac:dyDescent="0.3"/>
  <cols>
    <col min="1" max="1" width="11.5546875" style="36"/>
    <col min="2" max="2" width="49.109375" style="36" bestFit="1" customWidth="1"/>
    <col min="3" max="3" width="12" style="36" bestFit="1" customWidth="1"/>
    <col min="4" max="4" width="6.5546875" style="36" bestFit="1" customWidth="1"/>
    <col min="5" max="5" width="9.88671875" style="36" bestFit="1" customWidth="1"/>
    <col min="6" max="6" width="14" style="36" bestFit="1" customWidth="1"/>
    <col min="7" max="7" width="9.33203125" style="36" bestFit="1" customWidth="1"/>
    <col min="8" max="8" width="11.109375" style="36" bestFit="1" customWidth="1"/>
    <col min="9" max="10" width="15.21875" style="36" bestFit="1" customWidth="1"/>
    <col min="11" max="12" width="11.5546875" style="36"/>
    <col min="13" max="13" width="6.21875" style="36" customWidth="1"/>
    <col min="14" max="16384" width="11.5546875" style="36"/>
  </cols>
  <sheetData>
    <row r="1" spans="2:13" ht="17.399999999999999" x14ac:dyDescent="0.35">
      <c r="B1" s="37" t="s">
        <v>53</v>
      </c>
      <c r="C1" s="38"/>
      <c r="D1" s="39"/>
      <c r="E1" s="39"/>
      <c r="F1" s="39"/>
      <c r="G1" s="39"/>
      <c r="H1" s="39"/>
      <c r="I1" s="39"/>
      <c r="J1" s="39"/>
      <c r="K1" s="39"/>
      <c r="L1" s="39"/>
      <c r="M1" s="39"/>
    </row>
    <row r="4" spans="2:13" s="46" customFormat="1" x14ac:dyDescent="0.3">
      <c r="B4" s="43" t="s">
        <v>1</v>
      </c>
      <c r="C4" s="43" t="s">
        <v>64</v>
      </c>
      <c r="D4" s="44" t="s">
        <v>56</v>
      </c>
      <c r="E4" s="44" t="s">
        <v>57</v>
      </c>
      <c r="F4" s="44" t="s">
        <v>58</v>
      </c>
      <c r="G4" s="44" t="s">
        <v>59</v>
      </c>
      <c r="H4" s="44" t="s">
        <v>60</v>
      </c>
      <c r="I4" s="44" t="s">
        <v>61</v>
      </c>
      <c r="J4" s="45" t="s">
        <v>63</v>
      </c>
    </row>
    <row r="5" spans="2:13" x14ac:dyDescent="0.3">
      <c r="B5" s="42" t="s">
        <v>54</v>
      </c>
      <c r="C5" s="40">
        <v>29990</v>
      </c>
      <c r="D5" s="4"/>
      <c r="E5" s="4"/>
      <c r="F5" s="4"/>
      <c r="G5" s="4"/>
      <c r="H5" s="4">
        <v>18</v>
      </c>
      <c r="I5" s="4">
        <v>13</v>
      </c>
      <c r="J5" s="41">
        <f t="shared" ref="J5:J12" si="0">SUM(D5:I5)</f>
        <v>31</v>
      </c>
    </row>
    <row r="6" spans="2:13" x14ac:dyDescent="0.3">
      <c r="B6" s="42" t="s">
        <v>62</v>
      </c>
      <c r="C6" s="40">
        <v>49990</v>
      </c>
      <c r="D6" s="4">
        <v>6</v>
      </c>
      <c r="E6" s="4">
        <v>14</v>
      </c>
      <c r="F6" s="4">
        <v>6</v>
      </c>
      <c r="G6" s="4">
        <v>14</v>
      </c>
      <c r="H6" s="4">
        <v>15</v>
      </c>
      <c r="I6" s="4">
        <v>15</v>
      </c>
      <c r="J6" s="41">
        <f t="shared" si="0"/>
        <v>70</v>
      </c>
    </row>
    <row r="7" spans="2:13" x14ac:dyDescent="0.3">
      <c r="B7" s="42" t="s">
        <v>55</v>
      </c>
      <c r="C7" s="40">
        <v>7990</v>
      </c>
      <c r="D7" s="4"/>
      <c r="E7" s="4"/>
      <c r="F7" s="4"/>
      <c r="G7" s="4"/>
      <c r="H7" s="4">
        <v>17</v>
      </c>
      <c r="I7" s="4">
        <v>25</v>
      </c>
      <c r="J7" s="41">
        <f t="shared" si="0"/>
        <v>42</v>
      </c>
    </row>
    <row r="8" spans="2:13" x14ac:dyDescent="0.3">
      <c r="B8" s="42" t="s">
        <v>79</v>
      </c>
      <c r="C8" s="40">
        <v>7990</v>
      </c>
      <c r="D8" s="4"/>
      <c r="E8" s="4"/>
      <c r="F8" s="4"/>
      <c r="G8" s="4"/>
      <c r="H8" s="4">
        <v>11</v>
      </c>
      <c r="I8" s="4">
        <v>6</v>
      </c>
      <c r="J8" s="41">
        <f t="shared" si="0"/>
        <v>17</v>
      </c>
    </row>
    <row r="9" spans="2:13" x14ac:dyDescent="0.3">
      <c r="B9" s="42" t="s">
        <v>80</v>
      </c>
      <c r="C9" s="40">
        <v>7990</v>
      </c>
      <c r="D9" s="4"/>
      <c r="E9" s="4"/>
      <c r="F9" s="4"/>
      <c r="G9" s="4"/>
      <c r="H9" s="4">
        <v>7</v>
      </c>
      <c r="I9" s="4">
        <v>1</v>
      </c>
      <c r="J9" s="41">
        <f t="shared" si="0"/>
        <v>8</v>
      </c>
    </row>
    <row r="10" spans="2:13" x14ac:dyDescent="0.3">
      <c r="B10" s="42" t="s">
        <v>81</v>
      </c>
      <c r="C10" s="40">
        <v>49990</v>
      </c>
      <c r="D10" s="4"/>
      <c r="E10" s="4"/>
      <c r="F10" s="4"/>
      <c r="G10" s="4">
        <v>46</v>
      </c>
      <c r="H10" s="4">
        <v>63</v>
      </c>
      <c r="I10" s="4">
        <v>30</v>
      </c>
      <c r="J10" s="41">
        <f t="shared" si="0"/>
        <v>139</v>
      </c>
    </row>
    <row r="11" spans="2:13" x14ac:dyDescent="0.3">
      <c r="B11" s="42" t="s">
        <v>82</v>
      </c>
      <c r="C11" s="40">
        <v>49990</v>
      </c>
      <c r="D11" s="4"/>
      <c r="E11" s="4"/>
      <c r="F11" s="4"/>
      <c r="G11" s="4">
        <v>16</v>
      </c>
      <c r="H11" s="4">
        <v>17</v>
      </c>
      <c r="I11" s="4">
        <v>5</v>
      </c>
      <c r="J11" s="41">
        <f t="shared" si="0"/>
        <v>38</v>
      </c>
    </row>
    <row r="12" spans="2:13" x14ac:dyDescent="0.3">
      <c r="B12" s="42" t="s">
        <v>83</v>
      </c>
      <c r="C12" s="40">
        <v>49990</v>
      </c>
      <c r="D12" s="4"/>
      <c r="E12" s="4"/>
      <c r="F12" s="4"/>
      <c r="G12" s="4">
        <v>3</v>
      </c>
      <c r="H12" s="4">
        <v>9</v>
      </c>
      <c r="I12" s="4">
        <v>4</v>
      </c>
      <c r="J12" s="41">
        <f t="shared" si="0"/>
        <v>16</v>
      </c>
    </row>
    <row r="15" spans="2:13" s="46" customFormat="1" x14ac:dyDescent="0.3">
      <c r="B15" s="43" t="s">
        <v>1</v>
      </c>
      <c r="C15" s="43" t="s">
        <v>64</v>
      </c>
      <c r="D15" s="44" t="s">
        <v>27</v>
      </c>
      <c r="E15" s="44" t="s">
        <v>31</v>
      </c>
      <c r="F15" s="44" t="s">
        <v>66</v>
      </c>
      <c r="G15" s="44" t="s">
        <v>33</v>
      </c>
      <c r="H15" s="44" t="s">
        <v>65</v>
      </c>
      <c r="I15" s="45" t="s">
        <v>63</v>
      </c>
    </row>
    <row r="16" spans="2:13" x14ac:dyDescent="0.3">
      <c r="B16" s="42" t="s">
        <v>54</v>
      </c>
      <c r="C16" s="40">
        <v>29990</v>
      </c>
      <c r="D16" s="4">
        <v>18</v>
      </c>
      <c r="E16" s="4">
        <v>1</v>
      </c>
      <c r="F16" s="4"/>
      <c r="G16" s="4">
        <v>12</v>
      </c>
      <c r="H16" s="4"/>
      <c r="I16" s="41">
        <f t="shared" ref="I16:I23" si="1">SUM(D16:H16)</f>
        <v>31</v>
      </c>
    </row>
    <row r="17" spans="2:9" x14ac:dyDescent="0.3">
      <c r="B17" s="42" t="s">
        <v>62</v>
      </c>
      <c r="C17" s="40">
        <v>49990</v>
      </c>
      <c r="D17" s="4">
        <v>21</v>
      </c>
      <c r="E17" s="4"/>
      <c r="F17" s="4">
        <v>1</v>
      </c>
      <c r="G17" s="4">
        <v>48</v>
      </c>
      <c r="H17" s="4"/>
      <c r="I17" s="41">
        <f t="shared" si="1"/>
        <v>70</v>
      </c>
    </row>
    <row r="18" spans="2:9" x14ac:dyDescent="0.3">
      <c r="B18" s="42" t="s">
        <v>55</v>
      </c>
      <c r="C18" s="40">
        <v>7990</v>
      </c>
      <c r="D18" s="4">
        <v>20</v>
      </c>
      <c r="E18" s="4">
        <v>3</v>
      </c>
      <c r="F18" s="4"/>
      <c r="G18" s="4">
        <v>14</v>
      </c>
      <c r="H18" s="4">
        <v>5</v>
      </c>
      <c r="I18" s="41">
        <f t="shared" si="1"/>
        <v>42</v>
      </c>
    </row>
    <row r="19" spans="2:9" x14ac:dyDescent="0.3">
      <c r="B19" s="42" t="s">
        <v>79</v>
      </c>
      <c r="C19" s="40">
        <v>7990</v>
      </c>
      <c r="D19" s="4">
        <v>5</v>
      </c>
      <c r="E19" s="4">
        <v>1</v>
      </c>
      <c r="F19" s="4">
        <v>3</v>
      </c>
      <c r="G19" s="4">
        <v>3</v>
      </c>
      <c r="H19" s="4">
        <v>5</v>
      </c>
      <c r="I19" s="41">
        <f t="shared" si="1"/>
        <v>17</v>
      </c>
    </row>
    <row r="20" spans="2:9" x14ac:dyDescent="0.3">
      <c r="B20" s="42" t="s">
        <v>80</v>
      </c>
      <c r="C20" s="40">
        <v>7990</v>
      </c>
      <c r="D20" s="4">
        <v>1</v>
      </c>
      <c r="E20" s="4">
        <v>1</v>
      </c>
      <c r="F20" s="4"/>
      <c r="G20" s="4">
        <v>6</v>
      </c>
      <c r="H20" s="4"/>
      <c r="I20" s="41">
        <f t="shared" si="1"/>
        <v>8</v>
      </c>
    </row>
    <row r="21" spans="2:9" x14ac:dyDescent="0.3">
      <c r="B21" s="42" t="s">
        <v>81</v>
      </c>
      <c r="C21" s="40">
        <v>49990</v>
      </c>
      <c r="D21" s="4">
        <v>37</v>
      </c>
      <c r="E21" s="4">
        <v>36</v>
      </c>
      <c r="F21" s="4"/>
      <c r="G21" s="4">
        <v>47</v>
      </c>
      <c r="H21" s="4">
        <v>19</v>
      </c>
      <c r="I21" s="41">
        <f t="shared" si="1"/>
        <v>139</v>
      </c>
    </row>
    <row r="22" spans="2:9" x14ac:dyDescent="0.3">
      <c r="B22" s="42" t="s">
        <v>82</v>
      </c>
      <c r="C22" s="40">
        <v>49990</v>
      </c>
      <c r="D22" s="4">
        <v>12</v>
      </c>
      <c r="E22" s="4">
        <v>7</v>
      </c>
      <c r="F22" s="4"/>
      <c r="G22" s="4">
        <v>18</v>
      </c>
      <c r="H22" s="4">
        <v>1</v>
      </c>
      <c r="I22" s="41">
        <f t="shared" si="1"/>
        <v>38</v>
      </c>
    </row>
    <row r="23" spans="2:9" x14ac:dyDescent="0.3">
      <c r="B23" s="42" t="s">
        <v>83</v>
      </c>
      <c r="C23" s="40">
        <v>49990</v>
      </c>
      <c r="D23" s="4">
        <v>9</v>
      </c>
      <c r="E23" s="4">
        <v>4</v>
      </c>
      <c r="F23" s="4"/>
      <c r="G23" s="4">
        <v>2</v>
      </c>
      <c r="H23" s="4">
        <v>1</v>
      </c>
      <c r="I23" s="41">
        <f t="shared" si="1"/>
        <v>16</v>
      </c>
    </row>
  </sheetData>
  <phoneticPr fontId="11" type="noConversion"/>
  <pageMargins left="0.7" right="0.7" top="0.75" bottom="0.75" header="0.3" footer="0.3"/>
  <ignoredErrors>
    <ignoredError sqref="J5:J12 I16:I2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6AB1-AFB8-45E0-9D7E-A19532D4ACDA}">
  <dimension ref="B2:L24"/>
  <sheetViews>
    <sheetView showGridLines="0" zoomScale="90" zoomScaleNormal="90" workbookViewId="0">
      <selection activeCell="E25" sqref="E25"/>
    </sheetView>
  </sheetViews>
  <sheetFormatPr baseColWidth="10" defaultRowHeight="14.4" x14ac:dyDescent="0.3"/>
  <cols>
    <col min="1" max="1" width="3.5546875" customWidth="1"/>
    <col min="3" max="10" width="15.77734375" customWidth="1"/>
    <col min="11" max="11" width="6.5546875" style="47" bestFit="1" customWidth="1"/>
    <col min="12" max="12" width="7" style="47" bestFit="1" customWidth="1"/>
  </cols>
  <sheetData>
    <row r="2" spans="2:12" s="36" customFormat="1" ht="66" x14ac:dyDescent="0.3">
      <c r="B2" s="42" t="s">
        <v>23</v>
      </c>
      <c r="C2" s="51" t="s">
        <v>54</v>
      </c>
      <c r="D2" s="51" t="s">
        <v>62</v>
      </c>
      <c r="E2" s="51" t="s">
        <v>55</v>
      </c>
      <c r="F2" s="51" t="s">
        <v>79</v>
      </c>
      <c r="G2" s="51" t="s">
        <v>80</v>
      </c>
      <c r="H2" s="51" t="s">
        <v>81</v>
      </c>
      <c r="I2" s="51" t="s">
        <v>82</v>
      </c>
      <c r="J2" s="51" t="s">
        <v>83</v>
      </c>
      <c r="K2" s="49" t="s">
        <v>84</v>
      </c>
      <c r="L2" s="49" t="s">
        <v>85</v>
      </c>
    </row>
    <row r="3" spans="2:12" x14ac:dyDescent="0.3">
      <c r="B3" s="42" t="s">
        <v>67</v>
      </c>
      <c r="C3" s="4">
        <v>11</v>
      </c>
      <c r="D3" s="4">
        <v>42</v>
      </c>
      <c r="E3" s="4">
        <v>21</v>
      </c>
      <c r="F3" s="4">
        <v>6</v>
      </c>
      <c r="G3" s="4">
        <v>4</v>
      </c>
      <c r="H3" s="4">
        <v>67</v>
      </c>
      <c r="I3" s="4">
        <v>23</v>
      </c>
      <c r="J3" s="4">
        <v>13</v>
      </c>
      <c r="K3" s="49">
        <f t="shared" ref="K3:K23" si="0">SUM(C3:J3)</f>
        <v>187</v>
      </c>
      <c r="L3" s="50">
        <f t="shared" ref="L3:L23" si="1">K3/SUM($K$3:$K$23)</f>
        <v>0.51800554016620504</v>
      </c>
    </row>
    <row r="4" spans="2:12" x14ac:dyDescent="0.3">
      <c r="B4" s="42" t="s">
        <v>28</v>
      </c>
      <c r="C4" s="4">
        <v>9</v>
      </c>
      <c r="D4" s="4">
        <v>12</v>
      </c>
      <c r="E4" s="4">
        <v>7</v>
      </c>
      <c r="F4" s="4"/>
      <c r="G4" s="4"/>
      <c r="H4" s="4">
        <v>30</v>
      </c>
      <c r="I4" s="4">
        <v>5</v>
      </c>
      <c r="J4" s="4"/>
      <c r="K4" s="49">
        <f t="shared" si="0"/>
        <v>63</v>
      </c>
      <c r="L4" s="50">
        <f t="shared" si="1"/>
        <v>0.17451523545706371</v>
      </c>
    </row>
    <row r="5" spans="2:12" x14ac:dyDescent="0.3">
      <c r="B5" s="42" t="s">
        <v>34</v>
      </c>
      <c r="C5" s="4">
        <v>1</v>
      </c>
      <c r="D5" s="4">
        <v>3</v>
      </c>
      <c r="E5" s="4">
        <v>4</v>
      </c>
      <c r="F5" s="4">
        <v>4</v>
      </c>
      <c r="G5" s="4"/>
      <c r="H5" s="4">
        <v>10</v>
      </c>
      <c r="I5" s="4">
        <v>7</v>
      </c>
      <c r="J5" s="4"/>
      <c r="K5" s="49">
        <f t="shared" si="0"/>
        <v>29</v>
      </c>
      <c r="L5" s="50">
        <f t="shared" si="1"/>
        <v>8.0332409972299165E-2</v>
      </c>
    </row>
    <row r="6" spans="2:12" x14ac:dyDescent="0.3">
      <c r="B6" s="42" t="s">
        <v>68</v>
      </c>
      <c r="C6" s="4">
        <v>6</v>
      </c>
      <c r="D6" s="4">
        <v>2</v>
      </c>
      <c r="E6" s="4"/>
      <c r="F6" s="4"/>
      <c r="G6" s="4"/>
      <c r="H6" s="4">
        <v>6</v>
      </c>
      <c r="I6" s="4"/>
      <c r="J6" s="4"/>
      <c r="K6" s="49">
        <f t="shared" si="0"/>
        <v>14</v>
      </c>
      <c r="L6" s="50">
        <f t="shared" si="1"/>
        <v>3.8781163434903045E-2</v>
      </c>
    </row>
    <row r="7" spans="2:12" x14ac:dyDescent="0.3">
      <c r="B7" s="42" t="s">
        <v>32</v>
      </c>
      <c r="C7" s="4"/>
      <c r="D7" s="4">
        <v>3</v>
      </c>
      <c r="E7" s="4">
        <v>1</v>
      </c>
      <c r="F7" s="4">
        <v>2</v>
      </c>
      <c r="G7" s="4"/>
      <c r="H7" s="4">
        <v>3</v>
      </c>
      <c r="I7" s="4"/>
      <c r="J7" s="4"/>
      <c r="K7" s="49">
        <f t="shared" si="0"/>
        <v>9</v>
      </c>
      <c r="L7" s="50">
        <f t="shared" si="1"/>
        <v>2.4930747922437674E-2</v>
      </c>
    </row>
    <row r="8" spans="2:12" x14ac:dyDescent="0.3">
      <c r="B8" s="42" t="s">
        <v>30</v>
      </c>
      <c r="C8" s="4">
        <v>1</v>
      </c>
      <c r="D8" s="4"/>
      <c r="E8" s="4">
        <v>5</v>
      </c>
      <c r="F8" s="4">
        <v>1</v>
      </c>
      <c r="G8" s="4"/>
      <c r="H8" s="4">
        <v>2</v>
      </c>
      <c r="I8" s="4"/>
      <c r="J8" s="4"/>
      <c r="K8" s="49">
        <f t="shared" si="0"/>
        <v>9</v>
      </c>
      <c r="L8" s="50">
        <f t="shared" si="1"/>
        <v>2.4930747922437674E-2</v>
      </c>
    </row>
    <row r="9" spans="2:12" x14ac:dyDescent="0.3">
      <c r="B9" s="42" t="s">
        <v>48</v>
      </c>
      <c r="C9" s="4"/>
      <c r="D9" s="4"/>
      <c r="E9" s="4"/>
      <c r="F9" s="4"/>
      <c r="G9" s="4">
        <v>3</v>
      </c>
      <c r="H9" s="4">
        <v>4</v>
      </c>
      <c r="I9" s="4"/>
      <c r="J9" s="4">
        <v>2</v>
      </c>
      <c r="K9" s="49">
        <f t="shared" si="0"/>
        <v>9</v>
      </c>
      <c r="L9" s="50">
        <f t="shared" si="1"/>
        <v>2.4930747922437674E-2</v>
      </c>
    </row>
    <row r="10" spans="2:12" x14ac:dyDescent="0.3">
      <c r="B10" s="42" t="s">
        <v>73</v>
      </c>
      <c r="C10" s="4"/>
      <c r="D10" s="4">
        <v>1</v>
      </c>
      <c r="E10" s="4">
        <v>3</v>
      </c>
      <c r="F10" s="4">
        <v>1</v>
      </c>
      <c r="G10" s="4"/>
      <c r="H10" s="4">
        <v>3</v>
      </c>
      <c r="I10" s="4">
        <v>1</v>
      </c>
      <c r="J10" s="4"/>
      <c r="K10" s="49">
        <f t="shared" si="0"/>
        <v>9</v>
      </c>
      <c r="L10" s="50">
        <f t="shared" si="1"/>
        <v>2.4930747922437674E-2</v>
      </c>
    </row>
    <row r="11" spans="2:12" x14ac:dyDescent="0.3">
      <c r="B11" s="42" t="s">
        <v>51</v>
      </c>
      <c r="C11" s="4"/>
      <c r="D11" s="4"/>
      <c r="E11" s="4">
        <v>1</v>
      </c>
      <c r="F11" s="4"/>
      <c r="G11" s="4"/>
      <c r="H11" s="4">
        <v>5</v>
      </c>
      <c r="I11" s="4">
        <v>1</v>
      </c>
      <c r="J11" s="4">
        <v>1</v>
      </c>
      <c r="K11" s="49">
        <f t="shared" si="0"/>
        <v>8</v>
      </c>
      <c r="L11" s="50">
        <f t="shared" si="1"/>
        <v>2.2160664819944598E-2</v>
      </c>
    </row>
    <row r="12" spans="2:12" x14ac:dyDescent="0.3">
      <c r="B12" s="42" t="s">
        <v>47</v>
      </c>
      <c r="C12" s="4"/>
      <c r="D12" s="4">
        <v>5</v>
      </c>
      <c r="E12" s="4"/>
      <c r="F12" s="4"/>
      <c r="G12" s="4"/>
      <c r="H12" s="4"/>
      <c r="I12" s="4">
        <v>1</v>
      </c>
      <c r="J12" s="4"/>
      <c r="K12" s="49">
        <f t="shared" si="0"/>
        <v>6</v>
      </c>
      <c r="L12" s="50">
        <f t="shared" si="1"/>
        <v>1.662049861495845E-2</v>
      </c>
    </row>
    <row r="13" spans="2:12" x14ac:dyDescent="0.3">
      <c r="B13" s="42" t="s">
        <v>75</v>
      </c>
      <c r="C13" s="4"/>
      <c r="D13" s="4"/>
      <c r="E13" s="4"/>
      <c r="F13" s="4">
        <v>3</v>
      </c>
      <c r="G13" s="4">
        <v>1</v>
      </c>
      <c r="H13" s="4"/>
      <c r="I13" s="4"/>
      <c r="J13" s="4"/>
      <c r="K13" s="49">
        <f t="shared" si="0"/>
        <v>4</v>
      </c>
      <c r="L13" s="50">
        <f t="shared" si="1"/>
        <v>1.1080332409972299E-2</v>
      </c>
    </row>
    <row r="14" spans="2:12" x14ac:dyDescent="0.3">
      <c r="B14" s="42" t="s">
        <v>69</v>
      </c>
      <c r="C14" s="4">
        <v>2</v>
      </c>
      <c r="D14" s="4"/>
      <c r="E14" s="4"/>
      <c r="F14" s="4"/>
      <c r="G14" s="4"/>
      <c r="H14" s="4"/>
      <c r="I14" s="4"/>
      <c r="J14" s="4"/>
      <c r="K14" s="49">
        <f t="shared" si="0"/>
        <v>2</v>
      </c>
      <c r="L14" s="50">
        <f t="shared" si="1"/>
        <v>5.5401662049861496E-3</v>
      </c>
    </row>
    <row r="15" spans="2:12" x14ac:dyDescent="0.3">
      <c r="B15" s="42" t="s">
        <v>70</v>
      </c>
      <c r="C15" s="4"/>
      <c r="D15" s="4"/>
      <c r="E15" s="4"/>
      <c r="F15" s="4"/>
      <c r="G15" s="4"/>
      <c r="H15" s="4">
        <v>2</v>
      </c>
      <c r="I15" s="4"/>
      <c r="J15" s="4"/>
      <c r="K15" s="49">
        <f t="shared" si="0"/>
        <v>2</v>
      </c>
      <c r="L15" s="50">
        <f t="shared" si="1"/>
        <v>5.5401662049861496E-3</v>
      </c>
    </row>
    <row r="16" spans="2:12" x14ac:dyDescent="0.3">
      <c r="B16" s="42" t="s">
        <v>72</v>
      </c>
      <c r="C16" s="4"/>
      <c r="D16" s="4"/>
      <c r="E16" s="4"/>
      <c r="F16" s="4"/>
      <c r="G16" s="4"/>
      <c r="H16" s="4">
        <v>2</v>
      </c>
      <c r="I16" s="4"/>
      <c r="J16" s="4"/>
      <c r="K16" s="49">
        <f t="shared" si="0"/>
        <v>2</v>
      </c>
      <c r="L16" s="50">
        <f t="shared" si="1"/>
        <v>5.5401662049861496E-3</v>
      </c>
    </row>
    <row r="17" spans="2:12" x14ac:dyDescent="0.3">
      <c r="B17" s="42" t="s">
        <v>76</v>
      </c>
      <c r="C17" s="4"/>
      <c r="D17" s="4"/>
      <c r="E17" s="4"/>
      <c r="F17" s="4"/>
      <c r="G17" s="4"/>
      <c r="H17" s="4">
        <v>2</v>
      </c>
      <c r="I17" s="4"/>
      <c r="J17" s="4"/>
      <c r="K17" s="49">
        <f t="shared" si="0"/>
        <v>2</v>
      </c>
      <c r="L17" s="50">
        <f t="shared" si="1"/>
        <v>5.5401662049861496E-3</v>
      </c>
    </row>
    <row r="18" spans="2:12" x14ac:dyDescent="0.3">
      <c r="B18" s="42" t="s">
        <v>78</v>
      </c>
      <c r="C18" s="4"/>
      <c r="D18" s="4"/>
      <c r="E18" s="4"/>
      <c r="F18" s="4"/>
      <c r="G18" s="4"/>
      <c r="H18" s="4">
        <v>1</v>
      </c>
      <c r="I18" s="4"/>
      <c r="J18" s="4"/>
      <c r="K18" s="49">
        <f t="shared" si="0"/>
        <v>1</v>
      </c>
      <c r="L18" s="50">
        <f t="shared" si="1"/>
        <v>2.7700831024930748E-3</v>
      </c>
    </row>
    <row r="19" spans="2:12" x14ac:dyDescent="0.3">
      <c r="B19" s="42" t="s">
        <v>71</v>
      </c>
      <c r="C19" s="4"/>
      <c r="D19" s="4">
        <v>1</v>
      </c>
      <c r="E19" s="4"/>
      <c r="F19" s="4"/>
      <c r="G19" s="4"/>
      <c r="H19" s="4"/>
      <c r="I19" s="4"/>
      <c r="J19" s="4"/>
      <c r="K19" s="49">
        <f t="shared" si="0"/>
        <v>1</v>
      </c>
      <c r="L19" s="50">
        <f t="shared" si="1"/>
        <v>2.7700831024930748E-3</v>
      </c>
    </row>
    <row r="20" spans="2:12" x14ac:dyDescent="0.3">
      <c r="B20" s="42" t="s">
        <v>74</v>
      </c>
      <c r="C20" s="4">
        <v>1</v>
      </c>
      <c r="D20" s="4"/>
      <c r="E20" s="4"/>
      <c r="F20" s="4"/>
      <c r="G20" s="4"/>
      <c r="H20" s="4"/>
      <c r="I20" s="4"/>
      <c r="J20" s="4"/>
      <c r="K20" s="49">
        <f t="shared" si="0"/>
        <v>1</v>
      </c>
      <c r="L20" s="50">
        <f t="shared" si="1"/>
        <v>2.7700831024930748E-3</v>
      </c>
    </row>
    <row r="21" spans="2:12" x14ac:dyDescent="0.3">
      <c r="B21" s="42" t="s">
        <v>52</v>
      </c>
      <c r="C21" s="4"/>
      <c r="D21" s="4"/>
      <c r="E21" s="4"/>
      <c r="F21" s="4"/>
      <c r="G21" s="4"/>
      <c r="H21" s="4">
        <v>1</v>
      </c>
      <c r="I21" s="4"/>
      <c r="J21" s="4"/>
      <c r="K21" s="49">
        <f t="shared" si="0"/>
        <v>1</v>
      </c>
      <c r="L21" s="50">
        <f t="shared" si="1"/>
        <v>2.7700831024930748E-3</v>
      </c>
    </row>
    <row r="22" spans="2:12" x14ac:dyDescent="0.3">
      <c r="B22" s="42" t="s">
        <v>77</v>
      </c>
      <c r="C22" s="4"/>
      <c r="D22" s="4"/>
      <c r="E22" s="4"/>
      <c r="F22" s="4"/>
      <c r="G22" s="4"/>
      <c r="H22" s="4">
        <v>1</v>
      </c>
      <c r="I22" s="4"/>
      <c r="J22" s="4"/>
      <c r="K22" s="49">
        <f t="shared" si="0"/>
        <v>1</v>
      </c>
      <c r="L22" s="50">
        <f t="shared" si="1"/>
        <v>2.7700831024930748E-3</v>
      </c>
    </row>
    <row r="23" spans="2:12" x14ac:dyDescent="0.3">
      <c r="B23" s="42" t="s">
        <v>46</v>
      </c>
      <c r="C23" s="4"/>
      <c r="D23" s="4">
        <v>1</v>
      </c>
      <c r="E23" s="4"/>
      <c r="F23" s="4"/>
      <c r="G23" s="4"/>
      <c r="H23" s="4"/>
      <c r="I23" s="4"/>
      <c r="J23" s="4"/>
      <c r="K23" s="49">
        <f t="shared" si="0"/>
        <v>1</v>
      </c>
      <c r="L23" s="50">
        <f t="shared" si="1"/>
        <v>2.7700831024930748E-3</v>
      </c>
    </row>
    <row r="24" spans="2:12" x14ac:dyDescent="0.3">
      <c r="B24" s="48" t="s">
        <v>26</v>
      </c>
      <c r="C24" s="49">
        <f>SUM(C3:C23)</f>
        <v>31</v>
      </c>
      <c r="D24" s="49">
        <f t="shared" ref="D24:K24" si="2">SUM(D3:D23)</f>
        <v>70</v>
      </c>
      <c r="E24" s="49">
        <f t="shared" si="2"/>
        <v>42</v>
      </c>
      <c r="F24" s="49">
        <f t="shared" si="2"/>
        <v>17</v>
      </c>
      <c r="G24" s="49">
        <f t="shared" si="2"/>
        <v>8</v>
      </c>
      <c r="H24" s="49">
        <f t="shared" si="2"/>
        <v>139</v>
      </c>
      <c r="I24" s="49">
        <f t="shared" si="2"/>
        <v>38</v>
      </c>
      <c r="J24" s="49">
        <f t="shared" si="2"/>
        <v>16</v>
      </c>
      <c r="K24" s="49">
        <f t="shared" si="2"/>
        <v>361</v>
      </c>
      <c r="L24" s="50"/>
    </row>
  </sheetData>
  <sortState xmlns:xlrd2="http://schemas.microsoft.com/office/spreadsheetml/2017/richdata2" ref="B3:L23">
    <sortCondition descending="1" ref="L3:L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Base</vt:lpstr>
      <vt:lpstr>15.01</vt:lpstr>
      <vt:lpstr>22.01</vt:lpstr>
      <vt:lpstr>05.02</vt:lpstr>
      <vt:lpstr>19.02</vt:lpstr>
      <vt:lpstr>12.03</vt:lpstr>
      <vt:lpstr>26.03</vt:lpstr>
      <vt:lpstr>Mes-Tienda</vt:lpstr>
      <vt:lpstr>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cp:lastPrinted>2025-03-25T18:53:22Z</cp:lastPrinted>
  <dcterms:created xsi:type="dcterms:W3CDTF">2025-01-15T19:41:31Z</dcterms:created>
  <dcterms:modified xsi:type="dcterms:W3CDTF">2025-04-08T16:44:08Z</dcterms:modified>
</cp:coreProperties>
</file>