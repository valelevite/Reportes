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Reporte_debutantes\"/>
    </mc:Choice>
  </mc:AlternateContent>
  <bookViews>
    <workbookView xWindow="0" yWindow="0" windowWidth="13128" windowHeight="6108" activeTab="1"/>
  </bookViews>
  <sheets>
    <sheet name="2025-05-19" sheetId="1" r:id="rId1"/>
    <sheet name="Mochilas" sheetId="5" r:id="rId2"/>
    <sheet name="Cálculo semanas-meses" sheetId="2" r:id="rId3"/>
    <sheet name="Nacionalidad" sheetId="3" r:id="rId4"/>
    <sheet name="Facturación mensual" sheetId="4" r:id="rId5"/>
  </sheets>
  <externalReferences>
    <externalReference r:id="rId6"/>
  </externalReferences>
  <calcPr calcId="162913"/>
</workbook>
</file>

<file path=xl/calcChain.xml><?xml version="1.0" encoding="utf-8"?>
<calcChain xmlns="http://schemas.openxmlformats.org/spreadsheetml/2006/main">
  <c r="O35" i="5" l="1"/>
  <c r="O34" i="5"/>
  <c r="O33" i="5"/>
  <c r="O25" i="5"/>
  <c r="O24" i="5"/>
  <c r="O23" i="5"/>
  <c r="O22" i="5"/>
  <c r="L5" i="5"/>
  <c r="L6" i="5" s="1"/>
  <c r="L4" i="5"/>
</calcChain>
</file>

<file path=xl/sharedStrings.xml><?xml version="1.0" encoding="utf-8"?>
<sst xmlns="http://schemas.openxmlformats.org/spreadsheetml/2006/main" count="404" uniqueCount="122">
  <si>
    <t>DEBUTANTES - 2025-05-19</t>
  </si>
  <si>
    <t>DESCRIPCION</t>
  </si>
  <si>
    <t>PROVEEDOR</t>
  </si>
  <si>
    <t>FECHA INGRESO</t>
  </si>
  <si>
    <t>SEMANA 1</t>
  </si>
  <si>
    <t>SEMANA 2</t>
  </si>
  <si>
    <t>SEMANA 3</t>
  </si>
  <si>
    <t>SEMANA 4</t>
  </si>
  <si>
    <t>MES 1</t>
  </si>
  <si>
    <t>% VENTAS MES 1</t>
  </si>
  <si>
    <t>MES 2</t>
  </si>
  <si>
    <t>% VENTAS MES 2</t>
  </si>
  <si>
    <t>MES 3</t>
  </si>
  <si>
    <t>% VENTAS MES 3</t>
  </si>
  <si>
    <t>MATERA OLI</t>
  </si>
  <si>
    <t>CHIARINI</t>
  </si>
  <si>
    <t>PORTAVINO TANDIL</t>
  </si>
  <si>
    <t>FABRICA</t>
  </si>
  <si>
    <t>PORTAVINO UCO</t>
  </si>
  <si>
    <t>PORTAVINO TUNUYAN</t>
  </si>
  <si>
    <t>LLAVERO CALADO FRASES</t>
  </si>
  <si>
    <t>LLAVERO CALADO INICIALES</t>
  </si>
  <si>
    <t>LLAVERO CALADO ZODIACO</t>
  </si>
  <si>
    <t>PORTALENTES LUZ BIFAZ</t>
  </si>
  <si>
    <t>TAG CALADO INICIAL</t>
  </si>
  <si>
    <t>TAG CALADO ZODIACO</t>
  </si>
  <si>
    <t>PORTAPASAPORTE CHESTER BIFAZ</t>
  </si>
  <si>
    <t>TARJETERO ARIES BIFAZ</t>
  </si>
  <si>
    <t>CARTERA AMARILLA SET SOBRE BIFAZ</t>
  </si>
  <si>
    <t>MEDIA HOMBRE MEDIA CAÑA FANTASIA</t>
  </si>
  <si>
    <t>ELEMENTO</t>
  </si>
  <si>
    <t>MOCHILA TECH 210512</t>
  </si>
  <si>
    <t>CHINA</t>
  </si>
  <si>
    <t>MOCHILA TECH 21066</t>
  </si>
  <si>
    <t>MOCHILA TECH 21076</t>
  </si>
  <si>
    <t>MOCHILA TECH 2551</t>
  </si>
  <si>
    <t>MOCHILA TECH 40998</t>
  </si>
  <si>
    <t>TOTE CACHI</t>
  </si>
  <si>
    <t>BOLSO ROQUE</t>
  </si>
  <si>
    <t>LLAVERO COMBINADO</t>
  </si>
  <si>
    <t>BANDOLERA MATILDA</t>
  </si>
  <si>
    <t>CARTERA INES</t>
  </si>
  <si>
    <t>CARTERA AMARILLA SET SOBRE BIFAZ - $165.990</t>
  </si>
  <si>
    <t>TIENDA</t>
  </si>
  <si>
    <t>Semana 1</t>
  </si>
  <si>
    <t>Semana 2</t>
  </si>
  <si>
    <t>Semana 3</t>
  </si>
  <si>
    <t>Semana 4</t>
  </si>
  <si>
    <t>TOTAL</t>
  </si>
  <si>
    <t>French</t>
  </si>
  <si>
    <t>San Telmo</t>
  </si>
  <si>
    <t>Florida</t>
  </si>
  <si>
    <t>Güemes</t>
  </si>
  <si>
    <t>Recoleta</t>
  </si>
  <si>
    <t>San Telmo 2</t>
  </si>
  <si>
    <t>Nacionalidad</t>
  </si>
  <si>
    <t>País</t>
  </si>
  <si>
    <t>Acumulado</t>
  </si>
  <si>
    <t>%</t>
  </si>
  <si>
    <t>Total</t>
  </si>
  <si>
    <t>100%</t>
  </si>
  <si>
    <t>Argentina</t>
  </si>
  <si>
    <t>33%</t>
  </si>
  <si>
    <t>Francia</t>
  </si>
  <si>
    <t>USA</t>
  </si>
  <si>
    <t>CARTERA INES - $144.990</t>
  </si>
  <si>
    <t>17%</t>
  </si>
  <si>
    <t>Brasil</t>
  </si>
  <si>
    <t>Colombia</t>
  </si>
  <si>
    <t>El Salvador</t>
  </si>
  <si>
    <t>Venezuela</t>
  </si>
  <si>
    <t>MEDIA HOMBRE MEDIA CAÑA FANTASIA - $  7.990</t>
  </si>
  <si>
    <t>MOCHILA TECH 210512 - $ 69.990</t>
  </si>
  <si>
    <t>80%</t>
  </si>
  <si>
    <t>Italia</t>
  </si>
  <si>
    <t>20%</t>
  </si>
  <si>
    <t>MOCHILA TECH 21066 - $ 69.990</t>
  </si>
  <si>
    <t>MOCHILA TECH 21076 - $ 69.990</t>
  </si>
  <si>
    <t>MOCHILA TECH 2551 - $109.990</t>
  </si>
  <si>
    <t>60%</t>
  </si>
  <si>
    <t>México</t>
  </si>
  <si>
    <t>MOCHILA TECH 40998 - $ 84.990</t>
  </si>
  <si>
    <t>50%</t>
  </si>
  <si>
    <t>25%</t>
  </si>
  <si>
    <t>12%</t>
  </si>
  <si>
    <t>TOTE CACHI - $ 99.990</t>
  </si>
  <si>
    <t>37%</t>
  </si>
  <si>
    <t>11%</t>
  </si>
  <si>
    <t>Chile</t>
  </si>
  <si>
    <t>Ecuador</t>
  </si>
  <si>
    <t>5%</t>
  </si>
  <si>
    <t>Israel</t>
  </si>
  <si>
    <t>Perú</t>
  </si>
  <si>
    <t>Serbia</t>
  </si>
  <si>
    <t>FECHA_INGRESO</t>
  </si>
  <si>
    <t>INICIO_SEMANA_1</t>
  </si>
  <si>
    <t>FIN_SEMANA_1</t>
  </si>
  <si>
    <t>INICIO_SEMANA_2</t>
  </si>
  <si>
    <t>FIN_SEMANA_2</t>
  </si>
  <si>
    <t>INICIO_SEMANA_3</t>
  </si>
  <si>
    <t>FIN_SEMANA_3</t>
  </si>
  <si>
    <t>INICIO_SEMANA_4</t>
  </si>
  <si>
    <t>FIN_SEMANA_4</t>
  </si>
  <si>
    <t>INICIO_MES_1</t>
  </si>
  <si>
    <t>FIN_MES_1</t>
  </si>
  <si>
    <t>INICIO_MES_2</t>
  </si>
  <si>
    <t>FIN_MES_2</t>
  </si>
  <si>
    <t>INICIO_MES_3</t>
  </si>
  <si>
    <t>FIN_MES_3</t>
  </si>
  <si>
    <t>Canadá</t>
  </si>
  <si>
    <t>China</t>
  </si>
  <si>
    <t>Reino Unido</t>
  </si>
  <si>
    <t>VENTAS_TOTAL1</t>
  </si>
  <si>
    <t>VENTAS_TOTAL2</t>
  </si>
  <si>
    <t>VENTAS_TOTAL3</t>
  </si>
  <si>
    <t>VENTA DE MOCHILAS TECH</t>
  </si>
  <si>
    <t>En total se vendieron 21 mochilas desde el 29/4/2025 y el 67% corresponde a clientes de Argentina.</t>
  </si>
  <si>
    <t>Total vendidas</t>
  </si>
  <si>
    <t>de Argentina</t>
  </si>
  <si>
    <t>Por semana y tienda</t>
  </si>
  <si>
    <t>Por nacionalidad</t>
  </si>
  <si>
    <t>MOCHILAS TECH - $ 69.990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</si>
</sst>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rgb="FF000000"/>
      <name val="Calibri"/>
      <family val="2"/>
      <scheme val="minor"/>
    </font>
    <font>
      <b/>
      <sz val="12"/>
      <color rgb="FF000000"/>
      <name val="Calibri"/>
    </font>
    <font>
      <sz val="11"/>
      <color rgb="FF000000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b/>
      <sz val="11"/>
      <color rgb="FF75AADB"/>
      <name val="Calibri"/>
    </font>
    <font>
      <b/>
      <sz val="11"/>
      <color rgb="FF0055A4"/>
      <name val="Calibri"/>
    </font>
    <font>
      <b/>
      <sz val="11"/>
      <color rgb="FF171A67"/>
      <name val="Calibri"/>
    </font>
    <font>
      <b/>
      <sz val="11"/>
      <color rgb="FF009E3D"/>
      <name val="Calibri"/>
    </font>
    <font>
      <b/>
      <sz val="11"/>
      <color rgb="FFF8766D"/>
      <name val="Calibri"/>
    </font>
    <font>
      <b/>
      <sz val="11"/>
      <color rgb="FF00BA38"/>
      <name val="Calibri"/>
    </font>
    <font>
      <b/>
      <sz val="11"/>
      <color rgb="FF619CFF"/>
      <name val="Calibri"/>
    </font>
    <font>
      <b/>
      <sz val="11"/>
      <color rgb="FF006400"/>
      <name val="Calibri"/>
    </font>
    <font>
      <b/>
      <sz val="11"/>
      <color rgb="FFF4E584"/>
      <name val="Calibri"/>
    </font>
    <font>
      <b/>
      <sz val="11"/>
      <color rgb="FF5C0029"/>
      <name val="Calibri"/>
    </font>
    <font>
      <sz val="11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color theme="6" tint="-0.499984740745262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FD6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9" fontId="15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0" applyFont="1"/>
    <xf numFmtId="0" fontId="2" fillId="0" borderId="1" xfId="0" applyFont="1" applyBorder="1"/>
    <xf numFmtId="14" fontId="2" fillId="0" borderId="1" xfId="0" applyNumberFormat="1" applyFont="1" applyBorder="1"/>
    <xf numFmtId="0" fontId="3" fillId="2" borderId="2" xfId="0" applyFont="1" applyFill="1" applyBorder="1" applyAlignment="1">
      <alignment horizontal="center"/>
    </xf>
    <xf numFmtId="10" fontId="2" fillId="0" borderId="1" xfId="0" applyNumberFormat="1" applyFont="1" applyBorder="1"/>
    <xf numFmtId="0" fontId="4" fillId="3" borderId="0" xfId="0" applyFont="1" applyFill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14" fontId="2" fillId="0" borderId="0" xfId="0" applyNumberFormat="1" applyFont="1"/>
    <xf numFmtId="0" fontId="3" fillId="2" borderId="2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6" fillId="0" borderId="0" xfId="0" applyFont="1" applyAlignment="1">
      <alignment horizontal="center"/>
    </xf>
    <xf numFmtId="0" fontId="17" fillId="0" borderId="0" xfId="0" applyFont="1" applyAlignment="1"/>
    <xf numFmtId="0" fontId="17" fillId="0" borderId="0" xfId="0" applyFont="1" applyAlignment="1">
      <alignment horizontal="center"/>
    </xf>
    <xf numFmtId="0" fontId="17" fillId="0" borderId="0" xfId="0" applyFont="1" applyFill="1" applyAlignment="1">
      <alignment horizontal="center"/>
    </xf>
    <xf numFmtId="0" fontId="18" fillId="0" borderId="0" xfId="0" applyFont="1" applyAlignment="1">
      <alignment horizontal="left" wrapText="1"/>
    </xf>
    <xf numFmtId="0" fontId="17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19" fillId="0" borderId="0" xfId="0" applyFont="1" applyFill="1" applyAlignment="1">
      <alignment horizontal="center"/>
    </xf>
    <xf numFmtId="9" fontId="0" fillId="0" borderId="0" xfId="1" applyFont="1"/>
    <xf numFmtId="0" fontId="0" fillId="0" borderId="0" xfId="0" applyFill="1"/>
    <xf numFmtId="0" fontId="3" fillId="2" borderId="3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/>
    </xf>
    <xf numFmtId="0" fontId="4" fillId="3" borderId="3" xfId="0" applyFont="1" applyFill="1" applyBorder="1"/>
    <xf numFmtId="0" fontId="4" fillId="3" borderId="3" xfId="0" applyFont="1" applyFill="1" applyBorder="1" applyAlignment="1">
      <alignment horizontal="center"/>
    </xf>
    <xf numFmtId="0" fontId="4" fillId="0" borderId="0" xfId="0" applyFont="1" applyFill="1" applyBorder="1"/>
    <xf numFmtId="0" fontId="4" fillId="3" borderId="0" xfId="0" applyFont="1" applyFill="1" applyAlignment="1">
      <alignment horizontal="right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Fill="1" applyBorder="1"/>
    <xf numFmtId="9" fontId="2" fillId="0" borderId="1" xfId="1" applyFont="1" applyBorder="1"/>
    <xf numFmtId="0" fontId="20" fillId="0" borderId="1" xfId="0" applyFont="1" applyBorder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227513227513227E-2"/>
          <c:y val="8.4291187739463605E-2"/>
          <c:w val="0.94708994708994698"/>
          <c:h val="0.8314176245210728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Mochilas!$M$11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31931216931216932"/>
                      <c:h val="0.275517543065737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BB5C-4440-8AA5-8F82120CE0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Mochilas!$O$11</c:f>
              <c:numCache>
                <c:formatCode>0%</c:formatCode>
                <c:ptCount val="1"/>
                <c:pt idx="0">
                  <c:v>0.875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5C-4440-8AA5-8F82120CE0D3}"/>
            </c:ext>
          </c:extLst>
        </c:ser>
        <c:ser>
          <c:idx val="1"/>
          <c:order val="1"/>
          <c:tx>
            <c:strRef>
              <c:f>Mochilas!$M$12</c:f>
              <c:strCache>
                <c:ptCount val="1"/>
                <c:pt idx="0">
                  <c:v>Italia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6534391534391533E-2"/>
                  <c:y val="1.532567049808429E-2"/>
                </c:manualLayout>
              </c:layout>
              <c:tx>
                <c:rich>
                  <a:bodyPr/>
                  <a:lstStyle/>
                  <a:p>
                    <a:fld id="{8C61FE0B-4240-49E2-B6AE-2BEB2EF2ADB4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; </a:t>
                    </a:r>
                    <a:fld id="{5DD5AB81-4F5C-42B4-8F88-203930A33DD0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890899054284878"/>
                      <c:h val="0.1913409961685823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BB5C-4440-8AA5-8F82120CE0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Mochilas!$O$12</c:f>
              <c:numCache>
                <c:formatCode>0%</c:formatCode>
                <c:ptCount val="1"/>
                <c:pt idx="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5C-4440-8AA5-8F82120C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0352864"/>
        <c:axId val="310361600"/>
      </c:barChart>
      <c:catAx>
        <c:axId val="3103528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10361600"/>
        <c:crosses val="autoZero"/>
        <c:auto val="1"/>
        <c:lblAlgn val="ctr"/>
        <c:lblOffset val="100"/>
        <c:noMultiLvlLbl val="0"/>
      </c:catAx>
      <c:valAx>
        <c:axId val="310361600"/>
        <c:scaling>
          <c:orientation val="minMax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31035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068783068783067E-2"/>
          <c:y val="8.4291187739463605E-2"/>
          <c:w val="0.94708994708994698"/>
          <c:h val="0.8314176245210728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Mochilas!$M$22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33915343915343915"/>
                      <c:h val="0.275517543065737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4066-4B2C-853E-E1FDF0EEFB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Mochilas!$O$22</c:f>
              <c:numCache>
                <c:formatCode>0%</c:formatCode>
                <c:ptCount val="1"/>
                <c:pt idx="0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66-4B2C-853E-E1FDF0EEFBE3}"/>
            </c:ext>
          </c:extLst>
        </c:ser>
        <c:ser>
          <c:idx val="1"/>
          <c:order val="1"/>
          <c:tx>
            <c:strRef>
              <c:f>Mochilas!$M$23</c:f>
              <c:strCache>
                <c:ptCount val="1"/>
                <c:pt idx="0">
                  <c:v>Brasil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1.6534391534391533E-2"/>
                  <c:y val="1.532567049808429E-2"/>
                </c:manualLayout>
              </c:layout>
              <c:tx>
                <c:rich>
                  <a:bodyPr/>
                  <a:lstStyle/>
                  <a:p>
                    <a:fld id="{8C61FE0B-4240-49E2-B6AE-2BEB2EF2ADB4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; </a:t>
                    </a:r>
                    <a:fld id="{5DD5AB81-4F5C-42B4-8F88-203930A33DD0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9890899054284878"/>
                      <c:h val="0.1913409961685823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4066-4B2C-853E-E1FDF0EEFB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Mochilas!$O$23</c:f>
              <c:numCache>
                <c:formatCode>0%</c:formatCode>
                <c:ptCount val="1"/>
                <c:pt idx="0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66-4B2C-853E-E1FDF0EEFBE3}"/>
            </c:ext>
          </c:extLst>
        </c:ser>
        <c:ser>
          <c:idx val="2"/>
          <c:order val="2"/>
          <c:tx>
            <c:strRef>
              <c:f>Mochilas!$M$24</c:f>
              <c:strCache>
                <c:ptCount val="1"/>
                <c:pt idx="0">
                  <c:v>Colombia</c:v>
                </c:pt>
              </c:strCache>
            </c:strRef>
          </c:tx>
          <c:spPr>
            <a:solidFill>
              <a:srgbClr val="EDA9CE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44957036620422447"/>
                      <c:h val="0.275517543065737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066-4B2C-853E-E1FDF0EEFB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Mochilas!$O$24</c:f>
              <c:numCache>
                <c:formatCode>0%</c:formatCode>
                <c:ptCount val="1"/>
                <c:pt idx="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066-4B2C-853E-E1FDF0EEFBE3}"/>
            </c:ext>
          </c:extLst>
        </c:ser>
        <c:ser>
          <c:idx val="3"/>
          <c:order val="3"/>
          <c:tx>
            <c:strRef>
              <c:f>Mochilas!$M$25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tx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792328042328044"/>
                      <c:h val="0.1913409961685823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4066-4B2C-853E-E1FDF0EEFBE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Mochilas!$O$25</c:f>
              <c:numCache>
                <c:formatCode>0%</c:formatCode>
                <c:ptCount val="1"/>
                <c:pt idx="0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066-4B2C-853E-E1FDF0EEF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0352864"/>
        <c:axId val="310361600"/>
      </c:barChart>
      <c:catAx>
        <c:axId val="3103528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10361600"/>
        <c:crosses val="autoZero"/>
        <c:auto val="1"/>
        <c:lblAlgn val="ctr"/>
        <c:lblOffset val="100"/>
        <c:noMultiLvlLbl val="0"/>
      </c:catAx>
      <c:valAx>
        <c:axId val="310361600"/>
        <c:scaling>
          <c:orientation val="minMax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31035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3068783068783067E-2"/>
          <c:y val="8.4291187739463605E-2"/>
          <c:w val="0.94708994708994698"/>
          <c:h val="0.8314176245210728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Mochilas!$M$33</c:f>
              <c:strCache>
                <c:ptCount val="1"/>
                <c:pt idx="0">
                  <c:v>Argentina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32592592592592595"/>
                      <c:h val="0.275517543065737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5FBE-4E98-9989-2B2E5D399C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Mochilas!$O$33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BE-4E98-9989-2B2E5D399CB5}"/>
            </c:ext>
          </c:extLst>
        </c:ser>
        <c:ser>
          <c:idx val="1"/>
          <c:order val="1"/>
          <c:tx>
            <c:strRef>
              <c:f>Mochilas!$M$34</c:f>
              <c:strCache>
                <c:ptCount val="1"/>
                <c:pt idx="0">
                  <c:v>Brasil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2.0816681711721685E-17"/>
                  <c:y val="1.532567049808429E-2"/>
                </c:manualLayout>
              </c:layout>
              <c:tx>
                <c:rich>
                  <a:bodyPr/>
                  <a:lstStyle/>
                  <a:p>
                    <a:fld id="{8C61FE0B-4240-49E2-B6AE-2BEB2EF2ADB4}" type="SERIESNAME">
                      <a:rPr lang="en-US"/>
                      <a:pPr/>
                      <a:t>[NOMBRE DE LA SERIE]</a:t>
                    </a:fld>
                    <a:r>
                      <a:rPr lang="en-US" baseline="0"/>
                      <a:t>; </a:t>
                    </a:r>
                    <a:fld id="{5DD5AB81-4F5C-42B4-8F88-203930A33DD0}" type="VALUE">
                      <a:rPr lang="en-US" baseline="0"/>
                      <a:pPr/>
                      <a:t>[VALOR]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6584020747406576"/>
                      <c:h val="0.19134099616858238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5FBE-4E98-9989-2B2E5D399C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Mochilas!$O$34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BE-4E98-9989-2B2E5D399CB5}"/>
            </c:ext>
          </c:extLst>
        </c:ser>
        <c:ser>
          <c:idx val="2"/>
          <c:order val="2"/>
          <c:tx>
            <c:strRef>
              <c:f>Mochilas!$M$35</c:f>
              <c:strCache>
                <c:ptCount val="1"/>
                <c:pt idx="0">
                  <c:v>México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Lbl>
              <c:idx val="0"/>
              <c:layout/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8032381368995538"/>
                      <c:h val="0.27551754306573745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5FBE-4E98-9989-2B2E5D399CB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Mochilas!$O$35</c:f>
              <c:numCache>
                <c:formatCode>0%</c:formatCode>
                <c:ptCount val="1"/>
                <c:pt idx="0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BE-4E98-9989-2B2E5D399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0352864"/>
        <c:axId val="310361600"/>
      </c:barChart>
      <c:catAx>
        <c:axId val="31035286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310361600"/>
        <c:crosses val="autoZero"/>
        <c:auto val="1"/>
        <c:lblAlgn val="ctr"/>
        <c:lblOffset val="100"/>
        <c:noMultiLvlLbl val="0"/>
      </c:catAx>
      <c:valAx>
        <c:axId val="310361600"/>
        <c:scaling>
          <c:orientation val="minMax"/>
          <c:min val="0"/>
        </c:scaling>
        <c:delete val="1"/>
        <c:axPos val="l"/>
        <c:numFmt formatCode="0%" sourceLinked="1"/>
        <c:majorTickMark val="none"/>
        <c:minorTickMark val="none"/>
        <c:tickLblPos val="nextTo"/>
        <c:crossAx val="31035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29</xdr:row>
      <xdr:rowOff>0</xdr:rowOff>
    </xdr:from>
    <xdr:ext cx="914400" cy="91440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40</xdr:row>
      <xdr:rowOff>0</xdr:rowOff>
    </xdr:from>
    <xdr:ext cx="914400" cy="914400"/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50</xdr:row>
      <xdr:rowOff>0</xdr:rowOff>
    </xdr:from>
    <xdr:ext cx="914400" cy="914400"/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60</xdr:row>
      <xdr:rowOff>0</xdr:rowOff>
    </xdr:from>
    <xdr:ext cx="914400" cy="914400"/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70</xdr:row>
      <xdr:rowOff>0</xdr:rowOff>
    </xdr:from>
    <xdr:ext cx="914400" cy="914400"/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80</xdr:row>
      <xdr:rowOff>0</xdr:rowOff>
    </xdr:from>
    <xdr:ext cx="914400" cy="914400"/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90</xdr:row>
      <xdr:rowOff>0</xdr:rowOff>
    </xdr:from>
    <xdr:ext cx="914400" cy="914400"/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100</xdr:row>
      <xdr:rowOff>0</xdr:rowOff>
    </xdr:from>
    <xdr:ext cx="914400" cy="914400"/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11</xdr:col>
      <xdr:colOff>0</xdr:colOff>
      <xdr:row>110</xdr:row>
      <xdr:rowOff>0</xdr:rowOff>
    </xdr:from>
    <xdr:ext cx="914400" cy="914400"/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190500</xdr:colOff>
      <xdr:row>6</xdr:row>
      <xdr:rowOff>163830</xdr:rowOff>
    </xdr:from>
    <xdr:to>
      <xdr:col>8</xdr:col>
      <xdr:colOff>525780</xdr:colOff>
      <xdr:row>15</xdr:row>
      <xdr:rowOff>160020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167640</xdr:colOff>
      <xdr:row>17</xdr:row>
      <xdr:rowOff>160020</xdr:rowOff>
    </xdr:from>
    <xdr:to>
      <xdr:col>8</xdr:col>
      <xdr:colOff>502920</xdr:colOff>
      <xdr:row>26</xdr:row>
      <xdr:rowOff>156210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160020</xdr:colOff>
      <xdr:row>28</xdr:row>
      <xdr:rowOff>144780</xdr:rowOff>
    </xdr:from>
    <xdr:to>
      <xdr:col>8</xdr:col>
      <xdr:colOff>495300</xdr:colOff>
      <xdr:row>37</xdr:row>
      <xdr:rowOff>140970</xdr:rowOff>
    </xdr:to>
    <xdr:graphicFrame macro="">
      <xdr:nvGraphicFramePr>
        <xdr:cNvPr id="4" name="Gráfico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_DEBUTANTES_2025-05-19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25-05-19"/>
      <sheetName val="Mochilas"/>
      <sheetName val="Cálculo semanas-meses"/>
      <sheetName val="Nacionalidad"/>
      <sheetName val="Facturación mensual"/>
    </sheetNames>
    <sheetDataSet>
      <sheetData sheetId="0" refreshError="1"/>
      <sheetData sheetId="1">
        <row r="11">
          <cell r="M11" t="str">
            <v>Argentina</v>
          </cell>
          <cell r="O11">
            <v>0.875</v>
          </cell>
        </row>
        <row r="12">
          <cell r="M12" t="str">
            <v>Italia</v>
          </cell>
          <cell r="O12">
            <v>0.125</v>
          </cell>
        </row>
        <row r="22">
          <cell r="M22" t="str">
            <v>Argentina</v>
          </cell>
          <cell r="O22">
            <v>0.5</v>
          </cell>
        </row>
        <row r="23">
          <cell r="M23" t="str">
            <v>Brasil</v>
          </cell>
          <cell r="O23">
            <v>0.25</v>
          </cell>
        </row>
        <row r="24">
          <cell r="M24" t="str">
            <v>Colombia</v>
          </cell>
          <cell r="O24">
            <v>0.125</v>
          </cell>
        </row>
        <row r="25">
          <cell r="M25" t="str">
            <v>USA</v>
          </cell>
          <cell r="O25">
            <v>0.125</v>
          </cell>
        </row>
        <row r="33">
          <cell r="M33" t="str">
            <v>Argentina</v>
          </cell>
          <cell r="O33">
            <v>0.6</v>
          </cell>
        </row>
        <row r="34">
          <cell r="M34" t="str">
            <v>Brasil</v>
          </cell>
          <cell r="O34">
            <v>0.2</v>
          </cell>
        </row>
        <row r="35">
          <cell r="M35" t="str">
            <v>México</v>
          </cell>
          <cell r="O35">
            <v>0.2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2"/>
  <sheetViews>
    <sheetView showGridLines="0" topLeftCell="A12" zoomScaleNormal="100" workbookViewId="0">
      <selection activeCell="F40" sqref="F40"/>
    </sheetView>
  </sheetViews>
  <sheetFormatPr baseColWidth="10" defaultRowHeight="14.4" x14ac:dyDescent="0.3"/>
  <cols>
    <col min="1" max="1" width="34.77734375" customWidth="1"/>
  </cols>
  <sheetData>
    <row r="1" spans="1:13" ht="15.6" x14ac:dyDescent="0.3">
      <c r="A1" s="1" t="s">
        <v>0</v>
      </c>
    </row>
    <row r="3" spans="1:13" s="19" customFormat="1" ht="27.6" customHeight="1" x14ac:dyDescent="0.3">
      <c r="A3" s="18" t="s">
        <v>1</v>
      </c>
      <c r="B3" s="18" t="s">
        <v>2</v>
      </c>
      <c r="C3" s="18" t="s">
        <v>3</v>
      </c>
      <c r="D3" s="18" t="s">
        <v>4</v>
      </c>
      <c r="E3" s="18" t="s">
        <v>5</v>
      </c>
      <c r="F3" s="18" t="s">
        <v>6</v>
      </c>
      <c r="G3" s="18" t="s">
        <v>7</v>
      </c>
      <c r="H3" s="18" t="s">
        <v>8</v>
      </c>
      <c r="I3" s="18" t="s">
        <v>9</v>
      </c>
      <c r="J3" s="18" t="s">
        <v>10</v>
      </c>
      <c r="K3" s="18" t="s">
        <v>11</v>
      </c>
      <c r="L3" s="18" t="s">
        <v>12</v>
      </c>
      <c r="M3" s="18" t="s">
        <v>13</v>
      </c>
    </row>
    <row r="4" spans="1:13" x14ac:dyDescent="0.3">
      <c r="A4" s="2" t="s">
        <v>14</v>
      </c>
      <c r="B4" s="2" t="s">
        <v>15</v>
      </c>
      <c r="C4" s="3">
        <v>45728</v>
      </c>
      <c r="D4" s="2">
        <v>1</v>
      </c>
      <c r="E4" s="2">
        <v>0</v>
      </c>
      <c r="F4" s="2">
        <v>1</v>
      </c>
      <c r="G4" s="2">
        <v>0</v>
      </c>
      <c r="H4" s="2">
        <v>2</v>
      </c>
      <c r="I4" s="5">
        <v>3.7000000000000002E-3</v>
      </c>
      <c r="J4" s="2">
        <v>3</v>
      </c>
      <c r="K4" s="5">
        <v>6.4999999999999997E-3</v>
      </c>
      <c r="L4" s="2"/>
      <c r="M4" s="5"/>
    </row>
    <row r="5" spans="1:13" x14ac:dyDescent="0.3">
      <c r="A5" s="2" t="s">
        <v>16</v>
      </c>
      <c r="B5" s="2" t="s">
        <v>17</v>
      </c>
      <c r="C5" s="3">
        <v>45728</v>
      </c>
      <c r="D5" s="2">
        <v>5</v>
      </c>
      <c r="E5" s="2">
        <v>8</v>
      </c>
      <c r="F5" s="2">
        <v>2</v>
      </c>
      <c r="G5" s="2">
        <v>1</v>
      </c>
      <c r="H5" s="2">
        <v>16</v>
      </c>
      <c r="I5" s="5">
        <v>8.8999999999999999E-3</v>
      </c>
      <c r="J5" s="2">
        <v>11</v>
      </c>
      <c r="K5" s="5">
        <v>7.1999999999999998E-3</v>
      </c>
      <c r="L5" s="2"/>
      <c r="M5" s="5"/>
    </row>
    <row r="6" spans="1:13" x14ac:dyDescent="0.3">
      <c r="A6" s="2" t="s">
        <v>18</v>
      </c>
      <c r="B6" s="2" t="s">
        <v>17</v>
      </c>
      <c r="C6" s="3">
        <v>45730</v>
      </c>
      <c r="D6" s="2">
        <v>4</v>
      </c>
      <c r="E6" s="2">
        <v>2</v>
      </c>
      <c r="F6" s="2">
        <v>3</v>
      </c>
      <c r="G6" s="2">
        <v>1</v>
      </c>
      <c r="H6" s="2">
        <v>10</v>
      </c>
      <c r="I6" s="5">
        <v>7.1999999999999998E-3</v>
      </c>
      <c r="J6" s="2">
        <v>9</v>
      </c>
      <c r="K6" s="5">
        <v>7.9000000000000008E-3</v>
      </c>
      <c r="L6" s="2"/>
      <c r="M6" s="5"/>
    </row>
    <row r="7" spans="1:13" x14ac:dyDescent="0.3">
      <c r="A7" s="2" t="s">
        <v>19</v>
      </c>
      <c r="B7" s="2" t="s">
        <v>17</v>
      </c>
      <c r="C7" s="3">
        <v>45748</v>
      </c>
      <c r="D7" s="2">
        <v>0</v>
      </c>
      <c r="E7" s="2">
        <v>3</v>
      </c>
      <c r="F7" s="2">
        <v>1</v>
      </c>
      <c r="G7" s="2">
        <v>0</v>
      </c>
      <c r="H7" s="2">
        <v>4</v>
      </c>
      <c r="I7" s="5">
        <v>5.4000000000000003E-3</v>
      </c>
      <c r="J7" s="2"/>
      <c r="K7" s="5"/>
      <c r="L7" s="2"/>
      <c r="M7" s="5"/>
    </row>
    <row r="8" spans="1:13" x14ac:dyDescent="0.3">
      <c r="A8" s="2" t="s">
        <v>20</v>
      </c>
      <c r="B8" s="2" t="s">
        <v>17</v>
      </c>
      <c r="C8" s="3">
        <v>45751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5">
        <v>0</v>
      </c>
      <c r="J8" s="2"/>
      <c r="K8" s="5"/>
      <c r="L8" s="2"/>
      <c r="M8" s="5"/>
    </row>
    <row r="9" spans="1:13" x14ac:dyDescent="0.3">
      <c r="A9" s="2" t="s">
        <v>21</v>
      </c>
      <c r="B9" s="2" t="s">
        <v>17</v>
      </c>
      <c r="C9" s="3">
        <v>45751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5">
        <v>0</v>
      </c>
      <c r="J9" s="2"/>
      <c r="K9" s="5"/>
      <c r="L9" s="2"/>
      <c r="M9" s="5"/>
    </row>
    <row r="10" spans="1:13" x14ac:dyDescent="0.3">
      <c r="A10" s="2" t="s">
        <v>22</v>
      </c>
      <c r="B10" s="2" t="s">
        <v>17</v>
      </c>
      <c r="C10" s="3">
        <v>45751</v>
      </c>
      <c r="D10" s="2">
        <v>0</v>
      </c>
      <c r="E10" s="2">
        <v>1</v>
      </c>
      <c r="F10" s="2">
        <v>0</v>
      </c>
      <c r="G10" s="2">
        <v>1</v>
      </c>
      <c r="H10" s="2">
        <v>2</v>
      </c>
      <c r="I10" s="5">
        <v>5.0000000000000001E-4</v>
      </c>
      <c r="J10" s="2"/>
      <c r="K10" s="5"/>
      <c r="L10" s="2"/>
      <c r="M10" s="5"/>
    </row>
    <row r="11" spans="1:13" x14ac:dyDescent="0.3">
      <c r="A11" s="2" t="s">
        <v>23</v>
      </c>
      <c r="B11" s="2" t="s">
        <v>17</v>
      </c>
      <c r="C11" s="3">
        <v>45751</v>
      </c>
      <c r="D11" s="2">
        <v>2</v>
      </c>
      <c r="E11" s="2">
        <v>1</v>
      </c>
      <c r="F11" s="2">
        <v>3</v>
      </c>
      <c r="G11" s="2">
        <v>1</v>
      </c>
      <c r="H11" s="2">
        <v>7</v>
      </c>
      <c r="I11" s="5">
        <v>1E-3</v>
      </c>
      <c r="J11" s="2"/>
      <c r="K11" s="5"/>
      <c r="L11" s="2"/>
      <c r="M11" s="5"/>
    </row>
    <row r="12" spans="1:13" x14ac:dyDescent="0.3">
      <c r="A12" s="2" t="s">
        <v>24</v>
      </c>
      <c r="B12" s="2" t="s">
        <v>17</v>
      </c>
      <c r="C12" s="3">
        <v>45751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5">
        <v>0</v>
      </c>
      <c r="J12" s="2"/>
      <c r="K12" s="5"/>
      <c r="L12" s="2"/>
      <c r="M12" s="5"/>
    </row>
    <row r="13" spans="1:13" x14ac:dyDescent="0.3">
      <c r="A13" s="2" t="s">
        <v>25</v>
      </c>
      <c r="B13" s="2" t="s">
        <v>17</v>
      </c>
      <c r="C13" s="3">
        <v>45751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5">
        <v>0</v>
      </c>
      <c r="J13" s="2"/>
      <c r="K13" s="5"/>
      <c r="L13" s="2"/>
      <c r="M13" s="5"/>
    </row>
    <row r="14" spans="1:13" x14ac:dyDescent="0.3">
      <c r="A14" s="2" t="s">
        <v>26</v>
      </c>
      <c r="B14" s="2" t="s">
        <v>17</v>
      </c>
      <c r="C14" s="3">
        <v>45762</v>
      </c>
      <c r="D14" s="2">
        <v>2</v>
      </c>
      <c r="E14" s="2">
        <v>5</v>
      </c>
      <c r="F14" s="2">
        <v>1</v>
      </c>
      <c r="G14" s="2">
        <v>2</v>
      </c>
      <c r="H14" s="2">
        <v>10</v>
      </c>
      <c r="I14" s="5">
        <v>1.6000000000000001E-3</v>
      </c>
      <c r="J14" s="2"/>
      <c r="K14" s="5"/>
      <c r="L14" s="2"/>
      <c r="M14" s="5"/>
    </row>
    <row r="15" spans="1:13" x14ac:dyDescent="0.3">
      <c r="A15" s="2" t="s">
        <v>27</v>
      </c>
      <c r="B15" s="2" t="s">
        <v>17</v>
      </c>
      <c r="C15" s="3">
        <v>45762</v>
      </c>
      <c r="D15" s="2">
        <v>1</v>
      </c>
      <c r="E15" s="2">
        <v>0</v>
      </c>
      <c r="F15" s="2">
        <v>1</v>
      </c>
      <c r="G15" s="2">
        <v>1</v>
      </c>
      <c r="H15" s="2">
        <v>3</v>
      </c>
      <c r="I15" s="5">
        <v>2.9999999999999997E-4</v>
      </c>
      <c r="J15" s="2"/>
      <c r="K15" s="5"/>
      <c r="L15" s="2"/>
      <c r="M15" s="5"/>
    </row>
    <row r="16" spans="1:13" x14ac:dyDescent="0.3">
      <c r="A16" s="2" t="s">
        <v>28</v>
      </c>
      <c r="B16" s="2" t="s">
        <v>17</v>
      </c>
      <c r="C16" s="3">
        <v>45763</v>
      </c>
      <c r="D16" s="2">
        <v>1</v>
      </c>
      <c r="E16" s="2">
        <v>0</v>
      </c>
      <c r="F16" s="2">
        <v>1</v>
      </c>
      <c r="G16" s="2">
        <v>1</v>
      </c>
      <c r="H16" s="2">
        <v>3</v>
      </c>
      <c r="I16" s="5">
        <v>5.1000000000000004E-3</v>
      </c>
      <c r="J16" s="2"/>
      <c r="K16" s="5"/>
      <c r="L16" s="2"/>
      <c r="M16" s="5"/>
    </row>
    <row r="17" spans="1:13" x14ac:dyDescent="0.3">
      <c r="A17" s="2" t="s">
        <v>29</v>
      </c>
      <c r="B17" s="2" t="s">
        <v>30</v>
      </c>
      <c r="C17" s="3">
        <v>45772</v>
      </c>
      <c r="D17" s="2">
        <v>3</v>
      </c>
      <c r="E17" s="2">
        <v>4</v>
      </c>
      <c r="F17" s="2">
        <v>0</v>
      </c>
      <c r="G17" s="2"/>
      <c r="H17" s="2"/>
      <c r="I17" s="5"/>
      <c r="J17" s="2"/>
      <c r="K17" s="5"/>
      <c r="L17" s="2"/>
      <c r="M17" s="5"/>
    </row>
    <row r="18" spans="1:13" x14ac:dyDescent="0.3">
      <c r="A18" s="2" t="s">
        <v>31</v>
      </c>
      <c r="B18" s="2" t="s">
        <v>32</v>
      </c>
      <c r="C18" s="3">
        <v>45776</v>
      </c>
      <c r="D18" s="2">
        <v>2</v>
      </c>
      <c r="E18" s="2">
        <v>2</v>
      </c>
      <c r="F18" s="2">
        <v>1</v>
      </c>
      <c r="G18" s="2"/>
      <c r="H18" s="2"/>
      <c r="I18" s="5"/>
      <c r="J18" s="2"/>
      <c r="K18" s="5"/>
      <c r="L18" s="2"/>
      <c r="M18" s="5"/>
    </row>
    <row r="19" spans="1:13" x14ac:dyDescent="0.3">
      <c r="A19" s="2" t="s">
        <v>33</v>
      </c>
      <c r="B19" s="2" t="s">
        <v>32</v>
      </c>
      <c r="C19" s="3">
        <v>45776</v>
      </c>
      <c r="D19" s="2">
        <v>0</v>
      </c>
      <c r="E19" s="2">
        <v>1</v>
      </c>
      <c r="F19" s="2">
        <v>1</v>
      </c>
      <c r="G19" s="2"/>
      <c r="H19" s="2"/>
      <c r="I19" s="5"/>
      <c r="J19" s="2"/>
      <c r="K19" s="5"/>
      <c r="L19" s="2"/>
      <c r="M19" s="5"/>
    </row>
    <row r="20" spans="1:13" x14ac:dyDescent="0.3">
      <c r="A20" s="2" t="s">
        <v>34</v>
      </c>
      <c r="B20" s="2" t="s">
        <v>32</v>
      </c>
      <c r="C20" s="3">
        <v>45776</v>
      </c>
      <c r="D20" s="2">
        <v>1</v>
      </c>
      <c r="E20" s="2">
        <v>0</v>
      </c>
      <c r="F20" s="2">
        <v>0</v>
      </c>
      <c r="G20" s="2"/>
      <c r="H20" s="2"/>
      <c r="I20" s="5"/>
      <c r="J20" s="2"/>
      <c r="K20" s="5"/>
      <c r="L20" s="2"/>
      <c r="M20" s="5"/>
    </row>
    <row r="21" spans="1:13" x14ac:dyDescent="0.3">
      <c r="A21" s="2" t="s">
        <v>35</v>
      </c>
      <c r="B21" s="2" t="s">
        <v>32</v>
      </c>
      <c r="C21" s="3">
        <v>45776</v>
      </c>
      <c r="D21" s="2">
        <v>1</v>
      </c>
      <c r="E21" s="2">
        <v>3</v>
      </c>
      <c r="F21" s="2">
        <v>1</v>
      </c>
      <c r="G21" s="2"/>
      <c r="H21" s="2"/>
      <c r="I21" s="5"/>
      <c r="J21" s="2"/>
      <c r="K21" s="5"/>
      <c r="L21" s="2"/>
      <c r="M21" s="5"/>
    </row>
    <row r="22" spans="1:13" x14ac:dyDescent="0.3">
      <c r="A22" s="2" t="s">
        <v>36</v>
      </c>
      <c r="B22" s="2" t="s">
        <v>32</v>
      </c>
      <c r="C22" s="3">
        <v>45776</v>
      </c>
      <c r="D22" s="2">
        <v>1</v>
      </c>
      <c r="E22" s="2">
        <v>5</v>
      </c>
      <c r="F22" s="2">
        <v>2</v>
      </c>
      <c r="G22" s="2"/>
      <c r="H22" s="2"/>
      <c r="I22" s="5"/>
      <c r="J22" s="2"/>
      <c r="K22" s="5"/>
      <c r="L22" s="2"/>
      <c r="M22" s="5"/>
    </row>
    <row r="23" spans="1:13" x14ac:dyDescent="0.3">
      <c r="A23" s="2" t="s">
        <v>37</v>
      </c>
      <c r="B23" s="2" t="s">
        <v>17</v>
      </c>
      <c r="C23" s="3">
        <v>45776</v>
      </c>
      <c r="D23" s="2">
        <v>10</v>
      </c>
      <c r="E23" s="2">
        <v>6</v>
      </c>
      <c r="F23" s="2">
        <v>3</v>
      </c>
      <c r="G23" s="2"/>
      <c r="H23" s="2"/>
      <c r="I23" s="5"/>
      <c r="J23" s="2"/>
      <c r="K23" s="5"/>
      <c r="L23" s="2"/>
      <c r="M23" s="5"/>
    </row>
    <row r="24" spans="1:13" x14ac:dyDescent="0.3">
      <c r="A24" s="2" t="s">
        <v>38</v>
      </c>
      <c r="B24" s="2" t="s">
        <v>17</v>
      </c>
      <c r="C24" s="3">
        <v>45786</v>
      </c>
      <c r="D24" s="2">
        <v>0</v>
      </c>
      <c r="E24" s="2"/>
      <c r="F24" s="2"/>
      <c r="G24" s="2"/>
      <c r="H24" s="2"/>
      <c r="I24" s="5"/>
      <c r="J24" s="2"/>
      <c r="K24" s="5"/>
      <c r="L24" s="2"/>
      <c r="M24" s="5"/>
    </row>
    <row r="25" spans="1:13" x14ac:dyDescent="0.3">
      <c r="A25" s="2" t="s">
        <v>39</v>
      </c>
      <c r="B25" s="2" t="s">
        <v>17</v>
      </c>
      <c r="C25" s="3">
        <v>45786</v>
      </c>
      <c r="D25" s="2">
        <v>0</v>
      </c>
      <c r="E25" s="2"/>
      <c r="F25" s="2"/>
      <c r="G25" s="2"/>
      <c r="H25" s="2"/>
      <c r="I25" s="5"/>
      <c r="J25" s="2"/>
      <c r="K25" s="5"/>
      <c r="L25" s="2"/>
      <c r="M25" s="5"/>
    </row>
    <row r="26" spans="1:13" x14ac:dyDescent="0.3">
      <c r="A26" s="2" t="s">
        <v>40</v>
      </c>
      <c r="B26" s="2" t="s">
        <v>17</v>
      </c>
      <c r="C26" s="3">
        <v>45790</v>
      </c>
      <c r="D26" s="2">
        <v>0</v>
      </c>
      <c r="E26" s="2"/>
      <c r="F26" s="2"/>
      <c r="G26" s="2"/>
      <c r="H26" s="2"/>
      <c r="I26" s="5"/>
      <c r="J26" s="2"/>
      <c r="K26" s="5"/>
      <c r="L26" s="2"/>
      <c r="M26" s="5"/>
    </row>
    <row r="27" spans="1:13" x14ac:dyDescent="0.3">
      <c r="A27" s="2" t="s">
        <v>41</v>
      </c>
      <c r="B27" s="2" t="s">
        <v>17</v>
      </c>
      <c r="C27" s="3">
        <v>45790</v>
      </c>
      <c r="D27" s="2">
        <v>6</v>
      </c>
      <c r="E27" s="2"/>
      <c r="F27" s="2"/>
      <c r="G27" s="2"/>
      <c r="H27" s="2"/>
      <c r="I27" s="5"/>
      <c r="J27" s="2"/>
      <c r="K27" s="5"/>
      <c r="L27" s="2"/>
      <c r="M27" s="5"/>
    </row>
    <row r="30" spans="1:13" ht="15.6" x14ac:dyDescent="0.3">
      <c r="A30" s="1" t="s">
        <v>42</v>
      </c>
      <c r="H30" s="1" t="s">
        <v>55</v>
      </c>
    </row>
    <row r="31" spans="1:13" x14ac:dyDescent="0.3">
      <c r="A31" s="4" t="s">
        <v>43</v>
      </c>
      <c r="B31" s="4" t="s">
        <v>44</v>
      </c>
      <c r="C31" s="4" t="s">
        <v>45</v>
      </c>
      <c r="D31" s="4" t="s">
        <v>46</v>
      </c>
      <c r="E31" s="4" t="s">
        <v>47</v>
      </c>
      <c r="H31" s="4" t="s">
        <v>56</v>
      </c>
      <c r="I31" s="4" t="s">
        <v>57</v>
      </c>
      <c r="J31" s="4" t="s">
        <v>58</v>
      </c>
    </row>
    <row r="32" spans="1:13" x14ac:dyDescent="0.3">
      <c r="A32" s="6" t="s">
        <v>48</v>
      </c>
      <c r="B32" s="6">
        <v>1</v>
      </c>
      <c r="C32" s="6">
        <v>0</v>
      </c>
      <c r="D32" s="6">
        <v>1</v>
      </c>
      <c r="E32" s="6">
        <v>1</v>
      </c>
      <c r="H32" s="6" t="s">
        <v>59</v>
      </c>
      <c r="I32" s="6">
        <v>3</v>
      </c>
      <c r="J32" s="6" t="s">
        <v>60</v>
      </c>
    </row>
    <row r="33" spans="1:10" x14ac:dyDescent="0.3">
      <c r="A33" s="2" t="s">
        <v>49</v>
      </c>
      <c r="B33" s="2">
        <v>1</v>
      </c>
      <c r="C33" s="2">
        <v>0</v>
      </c>
      <c r="D33" s="2">
        <v>0</v>
      </c>
      <c r="E33" s="2">
        <v>1</v>
      </c>
      <c r="H33" s="7" t="s">
        <v>61</v>
      </c>
      <c r="I33" s="2">
        <v>1</v>
      </c>
      <c r="J33" s="2" t="s">
        <v>62</v>
      </c>
    </row>
    <row r="34" spans="1:10" x14ac:dyDescent="0.3">
      <c r="A34" s="2" t="s">
        <v>50</v>
      </c>
      <c r="B34" s="2">
        <v>0</v>
      </c>
      <c r="C34" s="2">
        <v>0</v>
      </c>
      <c r="D34" s="2">
        <v>1</v>
      </c>
      <c r="E34" s="2">
        <v>0</v>
      </c>
      <c r="H34" s="8" t="s">
        <v>63</v>
      </c>
      <c r="I34" s="2">
        <v>1</v>
      </c>
      <c r="J34" s="2" t="s">
        <v>62</v>
      </c>
    </row>
    <row r="35" spans="1:10" x14ac:dyDescent="0.3">
      <c r="A35" s="2" t="s">
        <v>51</v>
      </c>
      <c r="B35" s="2">
        <v>0</v>
      </c>
      <c r="C35" s="2">
        <v>0</v>
      </c>
      <c r="D35" s="2">
        <v>0</v>
      </c>
      <c r="E35" s="2">
        <v>0</v>
      </c>
      <c r="H35" s="9" t="s">
        <v>64</v>
      </c>
      <c r="I35" s="2">
        <v>1</v>
      </c>
      <c r="J35" s="2" t="s">
        <v>62</v>
      </c>
    </row>
    <row r="36" spans="1:10" x14ac:dyDescent="0.3">
      <c r="A36" s="2" t="s">
        <v>52</v>
      </c>
      <c r="B36" s="2">
        <v>0</v>
      </c>
      <c r="C36" s="2">
        <v>0</v>
      </c>
      <c r="D36" s="2">
        <v>0</v>
      </c>
      <c r="E36" s="2">
        <v>0</v>
      </c>
    </row>
    <row r="37" spans="1:10" x14ac:dyDescent="0.3">
      <c r="A37" s="2" t="s">
        <v>53</v>
      </c>
      <c r="B37" s="2">
        <v>0</v>
      </c>
      <c r="C37" s="2">
        <v>0</v>
      </c>
      <c r="D37" s="2">
        <v>0</v>
      </c>
      <c r="E37" s="2">
        <v>0</v>
      </c>
    </row>
    <row r="38" spans="1:10" x14ac:dyDescent="0.3">
      <c r="A38" s="2" t="s">
        <v>54</v>
      </c>
      <c r="B38" s="2">
        <v>0</v>
      </c>
      <c r="C38" s="2">
        <v>0</v>
      </c>
      <c r="D38" s="2">
        <v>0</v>
      </c>
      <c r="E38" s="2">
        <v>0</v>
      </c>
    </row>
    <row r="41" spans="1:10" ht="15.6" x14ac:dyDescent="0.3">
      <c r="A41" s="1" t="s">
        <v>65</v>
      </c>
      <c r="H41" s="1" t="s">
        <v>55</v>
      </c>
    </row>
    <row r="42" spans="1:10" x14ac:dyDescent="0.3">
      <c r="A42" s="4" t="s">
        <v>43</v>
      </c>
      <c r="B42" s="4" t="s">
        <v>44</v>
      </c>
      <c r="C42" s="4" t="s">
        <v>45</v>
      </c>
      <c r="D42" s="4" t="s">
        <v>46</v>
      </c>
      <c r="E42" s="4" t="s">
        <v>47</v>
      </c>
      <c r="H42" s="4" t="s">
        <v>56</v>
      </c>
      <c r="I42" s="4" t="s">
        <v>57</v>
      </c>
      <c r="J42" s="4" t="s">
        <v>58</v>
      </c>
    </row>
    <row r="43" spans="1:10" x14ac:dyDescent="0.3">
      <c r="A43" s="6" t="s">
        <v>48</v>
      </c>
      <c r="B43" s="6">
        <v>6</v>
      </c>
      <c r="C43" s="6"/>
      <c r="D43" s="6"/>
      <c r="E43" s="6"/>
      <c r="H43" s="6" t="s">
        <v>59</v>
      </c>
      <c r="I43" s="6">
        <v>6</v>
      </c>
      <c r="J43" s="6" t="s">
        <v>60</v>
      </c>
    </row>
    <row r="44" spans="1:10" x14ac:dyDescent="0.3">
      <c r="A44" s="2" t="s">
        <v>49</v>
      </c>
      <c r="B44" s="2">
        <v>2</v>
      </c>
      <c r="C44" s="2"/>
      <c r="D44" s="2"/>
      <c r="E44" s="2"/>
      <c r="H44" s="7" t="s">
        <v>61</v>
      </c>
      <c r="I44" s="2">
        <v>1</v>
      </c>
      <c r="J44" s="2" t="s">
        <v>66</v>
      </c>
    </row>
    <row r="45" spans="1:10" x14ac:dyDescent="0.3">
      <c r="A45" s="2" t="s">
        <v>53</v>
      </c>
      <c r="B45" s="2">
        <v>1</v>
      </c>
      <c r="C45" s="2"/>
      <c r="D45" s="2"/>
      <c r="E45" s="2"/>
      <c r="H45" s="10" t="s">
        <v>67</v>
      </c>
      <c r="I45" s="2">
        <v>1</v>
      </c>
      <c r="J45" s="2" t="s">
        <v>66</v>
      </c>
    </row>
    <row r="46" spans="1:10" x14ac:dyDescent="0.3">
      <c r="A46" s="2" t="s">
        <v>54</v>
      </c>
      <c r="B46" s="2">
        <v>3</v>
      </c>
      <c r="C46" s="2"/>
      <c r="D46" s="2"/>
      <c r="E46" s="2"/>
      <c r="H46" s="11" t="s">
        <v>68</v>
      </c>
      <c r="I46" s="2">
        <v>1</v>
      </c>
      <c r="J46" s="2" t="s">
        <v>66</v>
      </c>
    </row>
    <row r="47" spans="1:10" x14ac:dyDescent="0.3">
      <c r="A47" s="2" t="s">
        <v>51</v>
      </c>
      <c r="B47" s="2">
        <v>0</v>
      </c>
      <c r="C47" s="2"/>
      <c r="D47" s="2"/>
      <c r="E47" s="2"/>
      <c r="H47" s="12" t="s">
        <v>69</v>
      </c>
      <c r="I47" s="2">
        <v>2</v>
      </c>
      <c r="J47" s="2" t="s">
        <v>62</v>
      </c>
    </row>
    <row r="48" spans="1:10" x14ac:dyDescent="0.3">
      <c r="H48" s="13" t="s">
        <v>70</v>
      </c>
      <c r="I48" s="2">
        <v>1</v>
      </c>
      <c r="J48" s="2" t="s">
        <v>66</v>
      </c>
    </row>
    <row r="51" spans="1:10" ht="15.6" x14ac:dyDescent="0.3">
      <c r="A51" s="1" t="s">
        <v>71</v>
      </c>
      <c r="H51" s="1" t="s">
        <v>55</v>
      </c>
    </row>
    <row r="52" spans="1:10" x14ac:dyDescent="0.3">
      <c r="A52" s="4" t="s">
        <v>43</v>
      </c>
      <c r="B52" s="4" t="s">
        <v>44</v>
      </c>
      <c r="C52" s="4" t="s">
        <v>45</v>
      </c>
      <c r="D52" s="4" t="s">
        <v>46</v>
      </c>
      <c r="E52" s="4" t="s">
        <v>47</v>
      </c>
      <c r="H52" s="4" t="s">
        <v>56</v>
      </c>
      <c r="I52" s="4" t="s">
        <v>57</v>
      </c>
      <c r="J52" s="4" t="s">
        <v>58</v>
      </c>
    </row>
    <row r="53" spans="1:10" x14ac:dyDescent="0.3">
      <c r="A53" s="6" t="s">
        <v>48</v>
      </c>
      <c r="B53" s="6">
        <v>3</v>
      </c>
      <c r="C53" s="6">
        <v>4</v>
      </c>
      <c r="D53" s="6">
        <v>0</v>
      </c>
      <c r="E53" s="6"/>
      <c r="H53" s="6" t="s">
        <v>59</v>
      </c>
      <c r="I53" s="6">
        <v>7</v>
      </c>
      <c r="J53" s="6" t="s">
        <v>60</v>
      </c>
    </row>
    <row r="54" spans="1:10" x14ac:dyDescent="0.3">
      <c r="A54" s="2" t="s">
        <v>53</v>
      </c>
      <c r="B54" s="2">
        <v>3</v>
      </c>
      <c r="C54" s="2">
        <v>1</v>
      </c>
      <c r="D54" s="2">
        <v>0</v>
      </c>
      <c r="E54" s="2"/>
      <c r="H54" s="7" t="s">
        <v>61</v>
      </c>
      <c r="I54" s="2">
        <v>7</v>
      </c>
      <c r="J54" s="2" t="s">
        <v>60</v>
      </c>
    </row>
    <row r="55" spans="1:10" x14ac:dyDescent="0.3">
      <c r="A55" s="2" t="s">
        <v>54</v>
      </c>
      <c r="B55" s="2">
        <v>0</v>
      </c>
      <c r="C55" s="2">
        <v>3</v>
      </c>
      <c r="D55" s="2">
        <v>0</v>
      </c>
      <c r="E55" s="2"/>
    </row>
    <row r="56" spans="1:10" x14ac:dyDescent="0.3">
      <c r="A56" s="2" t="s">
        <v>51</v>
      </c>
      <c r="B56" s="2">
        <v>0</v>
      </c>
      <c r="C56" s="2">
        <v>0</v>
      </c>
      <c r="D56" s="2">
        <v>0</v>
      </c>
      <c r="E56" s="2"/>
    </row>
    <row r="57" spans="1:10" x14ac:dyDescent="0.3">
      <c r="A57" s="2" t="s">
        <v>49</v>
      </c>
      <c r="B57" s="2">
        <v>0</v>
      </c>
      <c r="C57" s="2">
        <v>0</v>
      </c>
      <c r="D57" s="2">
        <v>0</v>
      </c>
      <c r="E57" s="2"/>
    </row>
    <row r="58" spans="1:10" x14ac:dyDescent="0.3">
      <c r="A58" s="2" t="s">
        <v>52</v>
      </c>
      <c r="B58" s="2">
        <v>0</v>
      </c>
      <c r="C58" s="2">
        <v>0</v>
      </c>
      <c r="D58" s="2">
        <v>0</v>
      </c>
      <c r="E58" s="2"/>
    </row>
    <row r="61" spans="1:10" ht="15.6" x14ac:dyDescent="0.3">
      <c r="A61" s="1" t="s">
        <v>72</v>
      </c>
      <c r="H61" s="1" t="s">
        <v>55</v>
      </c>
    </row>
    <row r="62" spans="1:10" x14ac:dyDescent="0.3">
      <c r="A62" s="4" t="s">
        <v>43</v>
      </c>
      <c r="B62" s="4" t="s">
        <v>44</v>
      </c>
      <c r="C62" s="4" t="s">
        <v>45</v>
      </c>
      <c r="D62" s="4" t="s">
        <v>46</v>
      </c>
      <c r="E62" s="4" t="s">
        <v>47</v>
      </c>
      <c r="H62" s="4" t="s">
        <v>56</v>
      </c>
      <c r="I62" s="4" t="s">
        <v>57</v>
      </c>
      <c r="J62" s="4" t="s">
        <v>58</v>
      </c>
    </row>
    <row r="63" spans="1:10" x14ac:dyDescent="0.3">
      <c r="A63" s="6" t="s">
        <v>48</v>
      </c>
      <c r="B63" s="6">
        <v>2</v>
      </c>
      <c r="C63" s="6">
        <v>2</v>
      </c>
      <c r="D63" s="6">
        <v>1</v>
      </c>
      <c r="E63" s="6"/>
      <c r="H63" s="6" t="s">
        <v>59</v>
      </c>
      <c r="I63" s="6">
        <v>5</v>
      </c>
      <c r="J63" s="6" t="s">
        <v>60</v>
      </c>
    </row>
    <row r="64" spans="1:10" x14ac:dyDescent="0.3">
      <c r="A64" s="2" t="s">
        <v>49</v>
      </c>
      <c r="B64" s="2">
        <v>1</v>
      </c>
      <c r="C64" s="2">
        <v>0</v>
      </c>
      <c r="D64" s="2">
        <v>1</v>
      </c>
      <c r="E64" s="2"/>
      <c r="H64" s="7" t="s">
        <v>61</v>
      </c>
      <c r="I64" s="2">
        <v>4</v>
      </c>
      <c r="J64" s="2" t="s">
        <v>73</v>
      </c>
    </row>
    <row r="65" spans="1:10" x14ac:dyDescent="0.3">
      <c r="A65" s="2" t="s">
        <v>53</v>
      </c>
      <c r="B65" s="2">
        <v>1</v>
      </c>
      <c r="C65" s="2">
        <v>2</v>
      </c>
      <c r="D65" s="2">
        <v>0</v>
      </c>
      <c r="E65" s="2"/>
      <c r="H65" s="11" t="s">
        <v>74</v>
      </c>
      <c r="I65" s="2">
        <v>1</v>
      </c>
      <c r="J65" s="2" t="s">
        <v>75</v>
      </c>
    </row>
    <row r="66" spans="1:10" x14ac:dyDescent="0.3">
      <c r="A66" s="2" t="s">
        <v>51</v>
      </c>
      <c r="B66" s="2">
        <v>0</v>
      </c>
      <c r="C66" s="2">
        <v>0</v>
      </c>
      <c r="D66" s="2">
        <v>0</v>
      </c>
      <c r="E66" s="2"/>
    </row>
    <row r="67" spans="1:10" x14ac:dyDescent="0.3">
      <c r="A67" s="2" t="s">
        <v>52</v>
      </c>
      <c r="B67" s="2">
        <v>0</v>
      </c>
      <c r="C67" s="2">
        <v>0</v>
      </c>
      <c r="D67" s="2">
        <v>0</v>
      </c>
      <c r="E67" s="2"/>
    </row>
    <row r="68" spans="1:10" x14ac:dyDescent="0.3">
      <c r="A68" s="2" t="s">
        <v>54</v>
      </c>
      <c r="B68" s="2">
        <v>0</v>
      </c>
      <c r="C68" s="2">
        <v>0</v>
      </c>
      <c r="D68" s="2">
        <v>0</v>
      </c>
      <c r="E68" s="2"/>
    </row>
    <row r="71" spans="1:10" ht="15.6" x14ac:dyDescent="0.3">
      <c r="A71" s="1" t="s">
        <v>76</v>
      </c>
      <c r="H71" s="1" t="s">
        <v>55</v>
      </c>
    </row>
    <row r="72" spans="1:10" x14ac:dyDescent="0.3">
      <c r="A72" s="4" t="s">
        <v>43</v>
      </c>
      <c r="B72" s="4" t="s">
        <v>44</v>
      </c>
      <c r="C72" s="4" t="s">
        <v>45</v>
      </c>
      <c r="D72" s="4" t="s">
        <v>46</v>
      </c>
      <c r="E72" s="4" t="s">
        <v>47</v>
      </c>
      <c r="H72" s="4" t="s">
        <v>56</v>
      </c>
      <c r="I72" s="4" t="s">
        <v>57</v>
      </c>
      <c r="J72" s="4" t="s">
        <v>58</v>
      </c>
    </row>
    <row r="73" spans="1:10" x14ac:dyDescent="0.3">
      <c r="A73" s="6" t="s">
        <v>48</v>
      </c>
      <c r="B73" s="6">
        <v>0</v>
      </c>
      <c r="C73" s="6">
        <v>1</v>
      </c>
      <c r="D73" s="6">
        <v>1</v>
      </c>
      <c r="E73" s="6"/>
      <c r="H73" s="6" t="s">
        <v>59</v>
      </c>
      <c r="I73" s="6">
        <v>2</v>
      </c>
      <c r="J73" s="6" t="s">
        <v>60</v>
      </c>
    </row>
    <row r="74" spans="1:10" x14ac:dyDescent="0.3">
      <c r="A74" s="2" t="s">
        <v>49</v>
      </c>
      <c r="B74" s="2">
        <v>0</v>
      </c>
      <c r="C74" s="2">
        <v>1</v>
      </c>
      <c r="D74" s="2">
        <v>0</v>
      </c>
      <c r="E74" s="2"/>
      <c r="H74" s="7" t="s">
        <v>61</v>
      </c>
      <c r="I74" s="2">
        <v>2</v>
      </c>
      <c r="J74" s="2" t="s">
        <v>60</v>
      </c>
    </row>
    <row r="75" spans="1:10" x14ac:dyDescent="0.3">
      <c r="A75" s="2" t="s">
        <v>54</v>
      </c>
      <c r="B75" s="2">
        <v>0</v>
      </c>
      <c r="C75" s="2">
        <v>0</v>
      </c>
      <c r="D75" s="2">
        <v>1</v>
      </c>
      <c r="E75" s="2"/>
    </row>
    <row r="76" spans="1:10" x14ac:dyDescent="0.3">
      <c r="A76" s="2" t="s">
        <v>51</v>
      </c>
      <c r="B76" s="2">
        <v>0</v>
      </c>
      <c r="C76" s="2">
        <v>0</v>
      </c>
      <c r="D76" s="2">
        <v>0</v>
      </c>
      <c r="E76" s="2"/>
    </row>
    <row r="77" spans="1:10" x14ac:dyDescent="0.3">
      <c r="A77" s="2" t="s">
        <v>52</v>
      </c>
      <c r="B77" s="2">
        <v>0</v>
      </c>
      <c r="C77" s="2">
        <v>0</v>
      </c>
      <c r="D77" s="2">
        <v>0</v>
      </c>
      <c r="E77" s="2"/>
    </row>
    <row r="78" spans="1:10" x14ac:dyDescent="0.3">
      <c r="A78" s="2" t="s">
        <v>53</v>
      </c>
      <c r="B78" s="2">
        <v>0</v>
      </c>
      <c r="C78" s="2">
        <v>0</v>
      </c>
      <c r="D78" s="2">
        <v>0</v>
      </c>
      <c r="E78" s="2"/>
    </row>
    <row r="81" spans="1:10" ht="15.6" x14ac:dyDescent="0.3">
      <c r="A81" s="1" t="s">
        <v>77</v>
      </c>
      <c r="H81" s="1" t="s">
        <v>55</v>
      </c>
    </row>
    <row r="82" spans="1:10" x14ac:dyDescent="0.3">
      <c r="A82" s="4" t="s">
        <v>43</v>
      </c>
      <c r="B82" s="4" t="s">
        <v>44</v>
      </c>
      <c r="C82" s="4" t="s">
        <v>45</v>
      </c>
      <c r="D82" s="4" t="s">
        <v>46</v>
      </c>
      <c r="E82" s="4" t="s">
        <v>47</v>
      </c>
      <c r="H82" s="4" t="s">
        <v>56</v>
      </c>
      <c r="I82" s="4" t="s">
        <v>57</v>
      </c>
      <c r="J82" s="4" t="s">
        <v>58</v>
      </c>
    </row>
    <row r="83" spans="1:10" x14ac:dyDescent="0.3">
      <c r="A83" s="6" t="s">
        <v>48</v>
      </c>
      <c r="B83" s="6">
        <v>1</v>
      </c>
      <c r="C83" s="6">
        <v>0</v>
      </c>
      <c r="D83" s="6">
        <v>0</v>
      </c>
      <c r="E83" s="6"/>
      <c r="H83" s="6" t="s">
        <v>59</v>
      </c>
      <c r="I83" s="6">
        <v>1</v>
      </c>
      <c r="J83" s="6" t="s">
        <v>60</v>
      </c>
    </row>
    <row r="84" spans="1:10" x14ac:dyDescent="0.3">
      <c r="A84" s="2" t="s">
        <v>49</v>
      </c>
      <c r="B84" s="2">
        <v>1</v>
      </c>
      <c r="C84" s="2">
        <v>0</v>
      </c>
      <c r="D84" s="2">
        <v>0</v>
      </c>
      <c r="E84" s="2"/>
      <c r="H84" s="7" t="s">
        <v>61</v>
      </c>
      <c r="I84" s="2">
        <v>1</v>
      </c>
      <c r="J84" s="2" t="s">
        <v>60</v>
      </c>
    </row>
    <row r="85" spans="1:10" x14ac:dyDescent="0.3">
      <c r="A85" s="2" t="s">
        <v>51</v>
      </c>
      <c r="B85" s="2">
        <v>0</v>
      </c>
      <c r="C85" s="2">
        <v>0</v>
      </c>
      <c r="D85" s="2">
        <v>0</v>
      </c>
      <c r="E85" s="2"/>
    </row>
    <row r="86" spans="1:10" x14ac:dyDescent="0.3">
      <c r="A86" s="2" t="s">
        <v>52</v>
      </c>
      <c r="B86" s="2">
        <v>0</v>
      </c>
      <c r="C86" s="2">
        <v>0</v>
      </c>
      <c r="D86" s="2">
        <v>0</v>
      </c>
      <c r="E86" s="2"/>
    </row>
    <row r="87" spans="1:10" x14ac:dyDescent="0.3">
      <c r="A87" s="2" t="s">
        <v>53</v>
      </c>
      <c r="B87" s="2">
        <v>0</v>
      </c>
      <c r="C87" s="2">
        <v>0</v>
      </c>
      <c r="D87" s="2">
        <v>0</v>
      </c>
      <c r="E87" s="2"/>
    </row>
    <row r="88" spans="1:10" x14ac:dyDescent="0.3">
      <c r="A88" s="2" t="s">
        <v>54</v>
      </c>
      <c r="B88" s="2">
        <v>0</v>
      </c>
      <c r="C88" s="2">
        <v>0</v>
      </c>
      <c r="D88" s="2">
        <v>0</v>
      </c>
      <c r="E88" s="2"/>
    </row>
    <row r="91" spans="1:10" ht="15.6" x14ac:dyDescent="0.3">
      <c r="A91" s="1" t="s">
        <v>78</v>
      </c>
      <c r="H91" s="1" t="s">
        <v>55</v>
      </c>
    </row>
    <row r="92" spans="1:10" x14ac:dyDescent="0.3">
      <c r="A92" s="4" t="s">
        <v>43</v>
      </c>
      <c r="B92" s="4" t="s">
        <v>44</v>
      </c>
      <c r="C92" s="4" t="s">
        <v>45</v>
      </c>
      <c r="D92" s="4" t="s">
        <v>46</v>
      </c>
      <c r="E92" s="4" t="s">
        <v>47</v>
      </c>
      <c r="H92" s="4" t="s">
        <v>56</v>
      </c>
      <c r="I92" s="4" t="s">
        <v>57</v>
      </c>
      <c r="J92" s="4" t="s">
        <v>58</v>
      </c>
    </row>
    <row r="93" spans="1:10" x14ac:dyDescent="0.3">
      <c r="A93" s="6" t="s">
        <v>48</v>
      </c>
      <c r="B93" s="6">
        <v>1</v>
      </c>
      <c r="C93" s="6">
        <v>3</v>
      </c>
      <c r="D93" s="6">
        <v>1</v>
      </c>
      <c r="E93" s="6"/>
      <c r="H93" s="6" t="s">
        <v>59</v>
      </c>
      <c r="I93" s="6">
        <v>5</v>
      </c>
      <c r="J93" s="6" t="s">
        <v>60</v>
      </c>
    </row>
    <row r="94" spans="1:10" x14ac:dyDescent="0.3">
      <c r="A94" s="2" t="s">
        <v>49</v>
      </c>
      <c r="B94" s="2">
        <v>0</v>
      </c>
      <c r="C94" s="2">
        <v>2</v>
      </c>
      <c r="D94" s="2">
        <v>0</v>
      </c>
      <c r="E94" s="2"/>
      <c r="H94" s="7" t="s">
        <v>61</v>
      </c>
      <c r="I94" s="2">
        <v>3</v>
      </c>
      <c r="J94" s="2" t="s">
        <v>79</v>
      </c>
    </row>
    <row r="95" spans="1:10" x14ac:dyDescent="0.3">
      <c r="A95" s="2" t="s">
        <v>52</v>
      </c>
      <c r="B95" s="2">
        <v>0</v>
      </c>
      <c r="C95" s="2">
        <v>0</v>
      </c>
      <c r="D95" s="2">
        <v>1</v>
      </c>
      <c r="E95" s="2"/>
      <c r="H95" s="10" t="s">
        <v>67</v>
      </c>
      <c r="I95" s="2">
        <v>1</v>
      </c>
      <c r="J95" s="2" t="s">
        <v>75</v>
      </c>
    </row>
    <row r="96" spans="1:10" x14ac:dyDescent="0.3">
      <c r="A96" s="2" t="s">
        <v>53</v>
      </c>
      <c r="B96" s="2">
        <v>0</v>
      </c>
      <c r="C96" s="2">
        <v>1</v>
      </c>
      <c r="D96" s="2">
        <v>0</v>
      </c>
      <c r="E96" s="2"/>
      <c r="H96" s="14" t="s">
        <v>80</v>
      </c>
      <c r="I96" s="2">
        <v>1</v>
      </c>
      <c r="J96" s="2" t="s">
        <v>75</v>
      </c>
    </row>
    <row r="97" spans="1:10" x14ac:dyDescent="0.3">
      <c r="A97" s="2" t="s">
        <v>54</v>
      </c>
      <c r="B97" s="2">
        <v>1</v>
      </c>
      <c r="C97" s="2">
        <v>0</v>
      </c>
      <c r="D97" s="2">
        <v>0</v>
      </c>
      <c r="E97" s="2"/>
    </row>
    <row r="98" spans="1:10" x14ac:dyDescent="0.3">
      <c r="A98" s="2" t="s">
        <v>51</v>
      </c>
      <c r="B98" s="2">
        <v>0</v>
      </c>
      <c r="C98" s="2">
        <v>0</v>
      </c>
      <c r="D98" s="2">
        <v>0</v>
      </c>
      <c r="E98" s="2"/>
    </row>
    <row r="101" spans="1:10" ht="15.6" x14ac:dyDescent="0.3">
      <c r="A101" s="1" t="s">
        <v>81</v>
      </c>
      <c r="H101" s="1" t="s">
        <v>55</v>
      </c>
    </row>
    <row r="102" spans="1:10" x14ac:dyDescent="0.3">
      <c r="A102" s="4" t="s">
        <v>43</v>
      </c>
      <c r="B102" s="4" t="s">
        <v>44</v>
      </c>
      <c r="C102" s="4" t="s">
        <v>45</v>
      </c>
      <c r="D102" s="4" t="s">
        <v>46</v>
      </c>
      <c r="E102" s="4" t="s">
        <v>47</v>
      </c>
      <c r="H102" s="4" t="s">
        <v>56</v>
      </c>
      <c r="I102" s="4" t="s">
        <v>57</v>
      </c>
      <c r="J102" s="4" t="s">
        <v>58</v>
      </c>
    </row>
    <row r="103" spans="1:10" x14ac:dyDescent="0.3">
      <c r="A103" s="6" t="s">
        <v>48</v>
      </c>
      <c r="B103" s="6">
        <v>1</v>
      </c>
      <c r="C103" s="6">
        <v>5</v>
      </c>
      <c r="D103" s="6">
        <v>2</v>
      </c>
      <c r="E103" s="6"/>
      <c r="H103" s="6" t="s">
        <v>59</v>
      </c>
      <c r="I103" s="6">
        <v>8</v>
      </c>
      <c r="J103" s="6" t="s">
        <v>60</v>
      </c>
    </row>
    <row r="104" spans="1:10" x14ac:dyDescent="0.3">
      <c r="A104" s="2" t="s">
        <v>51</v>
      </c>
      <c r="B104" s="2">
        <v>0</v>
      </c>
      <c r="C104" s="2">
        <v>1</v>
      </c>
      <c r="D104" s="2">
        <v>0</v>
      </c>
      <c r="E104" s="2"/>
      <c r="H104" s="7" t="s">
        <v>61</v>
      </c>
      <c r="I104" s="2">
        <v>4</v>
      </c>
      <c r="J104" s="2" t="s">
        <v>82</v>
      </c>
    </row>
    <row r="105" spans="1:10" x14ac:dyDescent="0.3">
      <c r="A105" s="2" t="s">
        <v>49</v>
      </c>
      <c r="B105" s="2">
        <v>0</v>
      </c>
      <c r="C105" s="2">
        <v>0</v>
      </c>
      <c r="D105" s="2">
        <v>1</v>
      </c>
      <c r="E105" s="2"/>
      <c r="H105" s="10" t="s">
        <v>67</v>
      </c>
      <c r="I105" s="2">
        <v>2</v>
      </c>
      <c r="J105" s="2" t="s">
        <v>83</v>
      </c>
    </row>
    <row r="106" spans="1:10" x14ac:dyDescent="0.3">
      <c r="A106" s="2" t="s">
        <v>53</v>
      </c>
      <c r="B106" s="2">
        <v>0</v>
      </c>
      <c r="C106" s="2">
        <v>1</v>
      </c>
      <c r="D106" s="2">
        <v>1</v>
      </c>
      <c r="E106" s="2"/>
      <c r="H106" s="11" t="s">
        <v>68</v>
      </c>
      <c r="I106" s="2">
        <v>1</v>
      </c>
      <c r="J106" s="2" t="s">
        <v>84</v>
      </c>
    </row>
    <row r="107" spans="1:10" x14ac:dyDescent="0.3">
      <c r="A107" s="2" t="s">
        <v>54</v>
      </c>
      <c r="B107" s="2">
        <v>1</v>
      </c>
      <c r="C107" s="2">
        <v>3</v>
      </c>
      <c r="D107" s="2">
        <v>0</v>
      </c>
      <c r="E107" s="2"/>
      <c r="H107" s="9" t="s">
        <v>64</v>
      </c>
      <c r="I107" s="2">
        <v>1</v>
      </c>
      <c r="J107" s="2" t="s">
        <v>84</v>
      </c>
    </row>
    <row r="108" spans="1:10" x14ac:dyDescent="0.3">
      <c r="A108" s="2" t="s">
        <v>52</v>
      </c>
      <c r="B108" s="2">
        <v>0</v>
      </c>
      <c r="C108" s="2">
        <v>0</v>
      </c>
      <c r="D108" s="2">
        <v>0</v>
      </c>
      <c r="E108" s="2"/>
    </row>
    <row r="111" spans="1:10" ht="15.6" x14ac:dyDescent="0.3">
      <c r="A111" s="1" t="s">
        <v>85</v>
      </c>
      <c r="H111" s="1" t="s">
        <v>55</v>
      </c>
    </row>
    <row r="112" spans="1:10" x14ac:dyDescent="0.3">
      <c r="A112" s="4" t="s">
        <v>43</v>
      </c>
      <c r="B112" s="4" t="s">
        <v>44</v>
      </c>
      <c r="C112" s="4" t="s">
        <v>45</v>
      </c>
      <c r="D112" s="4" t="s">
        <v>46</v>
      </c>
      <c r="E112" s="4" t="s">
        <v>47</v>
      </c>
      <c r="H112" s="4" t="s">
        <v>56</v>
      </c>
      <c r="I112" s="4" t="s">
        <v>57</v>
      </c>
      <c r="J112" s="4" t="s">
        <v>58</v>
      </c>
    </row>
    <row r="113" spans="1:10" x14ac:dyDescent="0.3">
      <c r="A113" s="6" t="s">
        <v>48</v>
      </c>
      <c r="B113" s="6">
        <v>10</v>
      </c>
      <c r="C113" s="6">
        <v>6</v>
      </c>
      <c r="D113" s="6">
        <v>3</v>
      </c>
      <c r="E113" s="6"/>
      <c r="H113" s="6" t="s">
        <v>59</v>
      </c>
      <c r="I113" s="6">
        <v>19</v>
      </c>
      <c r="J113" s="6" t="s">
        <v>60</v>
      </c>
    </row>
    <row r="114" spans="1:10" x14ac:dyDescent="0.3">
      <c r="A114" s="2" t="s">
        <v>51</v>
      </c>
      <c r="B114" s="2">
        <v>2</v>
      </c>
      <c r="C114" s="2">
        <v>3</v>
      </c>
      <c r="D114" s="2">
        <v>0</v>
      </c>
      <c r="E114" s="2"/>
      <c r="H114" s="7" t="s">
        <v>61</v>
      </c>
      <c r="I114" s="2">
        <v>7</v>
      </c>
      <c r="J114" s="2" t="s">
        <v>86</v>
      </c>
    </row>
    <row r="115" spans="1:10" x14ac:dyDescent="0.3">
      <c r="A115" s="2" t="s">
        <v>49</v>
      </c>
      <c r="B115" s="2">
        <v>5</v>
      </c>
      <c r="C115" s="2">
        <v>1</v>
      </c>
      <c r="D115" s="2">
        <v>1</v>
      </c>
      <c r="E115" s="2"/>
      <c r="H115" s="10" t="s">
        <v>67</v>
      </c>
      <c r="I115" s="2">
        <v>2</v>
      </c>
      <c r="J115" s="2" t="s">
        <v>87</v>
      </c>
    </row>
    <row r="116" spans="1:10" x14ac:dyDescent="0.3">
      <c r="A116" s="2" t="s">
        <v>52</v>
      </c>
      <c r="B116" s="2">
        <v>0</v>
      </c>
      <c r="C116" s="2">
        <v>0</v>
      </c>
      <c r="D116" s="2">
        <v>1</v>
      </c>
      <c r="E116" s="2"/>
      <c r="H116" s="15" t="s">
        <v>88</v>
      </c>
      <c r="I116" s="2">
        <v>2</v>
      </c>
      <c r="J116" s="2" t="s">
        <v>87</v>
      </c>
    </row>
    <row r="117" spans="1:10" x14ac:dyDescent="0.3">
      <c r="A117" s="2" t="s">
        <v>53</v>
      </c>
      <c r="B117" s="2">
        <v>0</v>
      </c>
      <c r="C117" s="2">
        <v>0</v>
      </c>
      <c r="D117" s="2">
        <v>1</v>
      </c>
      <c r="E117" s="2"/>
      <c r="H117" s="11" t="s">
        <v>89</v>
      </c>
      <c r="I117" s="2">
        <v>1</v>
      </c>
      <c r="J117" s="2" t="s">
        <v>90</v>
      </c>
    </row>
    <row r="118" spans="1:10" x14ac:dyDescent="0.3">
      <c r="A118" s="2" t="s">
        <v>50</v>
      </c>
      <c r="B118" s="2">
        <v>3</v>
      </c>
      <c r="C118" s="2">
        <v>2</v>
      </c>
      <c r="D118" s="2">
        <v>0</v>
      </c>
      <c r="E118" s="2"/>
      <c r="H118" s="12" t="s">
        <v>91</v>
      </c>
      <c r="I118" s="2">
        <v>1</v>
      </c>
      <c r="J118" s="2" t="s">
        <v>90</v>
      </c>
    </row>
    <row r="119" spans="1:10" x14ac:dyDescent="0.3">
      <c r="H119" s="14" t="s">
        <v>80</v>
      </c>
      <c r="I119" s="2">
        <v>2</v>
      </c>
      <c r="J119" s="2" t="s">
        <v>87</v>
      </c>
    </row>
    <row r="120" spans="1:10" x14ac:dyDescent="0.3">
      <c r="H120" s="13" t="s">
        <v>92</v>
      </c>
      <c r="I120" s="2">
        <v>1</v>
      </c>
      <c r="J120" s="2" t="s">
        <v>90</v>
      </c>
    </row>
    <row r="121" spans="1:10" x14ac:dyDescent="0.3">
      <c r="H121" s="16" t="s">
        <v>93</v>
      </c>
      <c r="I121" s="2">
        <v>1</v>
      </c>
      <c r="J121" s="2" t="s">
        <v>90</v>
      </c>
    </row>
    <row r="122" spans="1:10" x14ac:dyDescent="0.3">
      <c r="H122" s="9" t="s">
        <v>64</v>
      </c>
      <c r="I122" s="2">
        <v>2</v>
      </c>
      <c r="J122" s="2" t="s">
        <v>87</v>
      </c>
    </row>
  </sheetData>
  <pageMargins left="0.70866141732283472" right="0.70866141732283472" top="0.74803149606299213" bottom="0.74803149606299213" header="0.31496062992125984" footer="0.31496062992125984"/>
  <pageSetup paperSize="9" scale="75" fitToHeight="3" orientation="landscape" horizontalDpi="300" verticalDpi="300" r:id="rId1"/>
  <rowBreaks count="2" manualBreakCount="2">
    <brk id="40" max="16383" man="1"/>
    <brk id="8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7"/>
  <sheetViews>
    <sheetView showGridLines="0" tabSelected="1" zoomScaleNormal="100" workbookViewId="0">
      <selection activeCell="D34" sqref="D34"/>
    </sheetView>
  </sheetViews>
  <sheetFormatPr baseColWidth="10" defaultRowHeight="14.4" x14ac:dyDescent="0.3"/>
  <cols>
    <col min="2" max="5" width="10.5546875" customWidth="1"/>
    <col min="6" max="6" width="5.5546875" style="29" customWidth="1"/>
    <col min="11" max="11" width="12.77734375" bestFit="1" customWidth="1"/>
  </cols>
  <sheetData>
    <row r="1" spans="1:15" ht="21" x14ac:dyDescent="0.4">
      <c r="A1" s="20" t="s">
        <v>115</v>
      </c>
      <c r="B1" s="20"/>
      <c r="C1" s="20"/>
      <c r="D1" s="20"/>
      <c r="E1" s="20"/>
      <c r="F1" s="20"/>
      <c r="G1" s="20"/>
      <c r="H1" s="20"/>
      <c r="I1" s="20"/>
      <c r="J1" s="21"/>
      <c r="K1" s="21"/>
      <c r="L1" s="21"/>
    </row>
    <row r="2" spans="1:15" ht="18" x14ac:dyDescent="0.35">
      <c r="A2" s="22"/>
      <c r="B2" s="22"/>
      <c r="C2" s="22"/>
      <c r="D2" s="22"/>
      <c r="E2" s="22"/>
      <c r="F2" s="23"/>
      <c r="G2" s="22"/>
      <c r="H2" s="22"/>
      <c r="I2" s="22"/>
      <c r="J2" s="21"/>
      <c r="K2" s="21"/>
      <c r="L2" s="21"/>
    </row>
    <row r="3" spans="1:15" ht="18" x14ac:dyDescent="0.35">
      <c r="A3" s="24" t="s">
        <v>116</v>
      </c>
      <c r="B3" s="24"/>
      <c r="C3" s="24"/>
      <c r="D3" s="24"/>
      <c r="E3" s="24"/>
      <c r="F3" s="24"/>
      <c r="G3" s="24"/>
      <c r="H3" s="24"/>
      <c r="I3" s="24"/>
      <c r="J3" s="21"/>
      <c r="K3" s="21"/>
      <c r="L3" s="21"/>
    </row>
    <row r="4" spans="1:15" ht="18" x14ac:dyDescent="0.35">
      <c r="A4" s="25"/>
      <c r="B4" s="22"/>
      <c r="C4" s="22"/>
      <c r="D4" s="22"/>
      <c r="E4" s="22"/>
      <c r="F4" s="23"/>
      <c r="G4" s="22"/>
      <c r="H4" s="22"/>
      <c r="I4" s="22"/>
      <c r="J4" s="21"/>
      <c r="K4" t="s">
        <v>117</v>
      </c>
      <c r="L4">
        <f>N10+N21+N32</f>
        <v>21</v>
      </c>
    </row>
    <row r="5" spans="1:15" ht="18" x14ac:dyDescent="0.35">
      <c r="A5" s="25"/>
      <c r="B5" s="22"/>
      <c r="C5" s="22"/>
      <c r="D5" s="22"/>
      <c r="E5" s="22"/>
      <c r="F5" s="23"/>
      <c r="G5" s="22"/>
      <c r="H5" s="22"/>
      <c r="I5" s="22"/>
      <c r="J5" s="21"/>
      <c r="K5" t="s">
        <v>118</v>
      </c>
      <c r="L5">
        <f>N11+N22+N33</f>
        <v>14</v>
      </c>
    </row>
    <row r="6" spans="1:15" ht="18" x14ac:dyDescent="0.35">
      <c r="A6" s="26" t="s">
        <v>119</v>
      </c>
      <c r="B6" s="26"/>
      <c r="C6" s="26"/>
      <c r="D6" s="26"/>
      <c r="E6" s="26"/>
      <c r="F6" s="27"/>
      <c r="G6" s="26" t="s">
        <v>120</v>
      </c>
      <c r="H6" s="26"/>
      <c r="I6" s="26"/>
      <c r="J6" s="22"/>
      <c r="K6" t="s">
        <v>58</v>
      </c>
      <c r="L6" s="28">
        <f>L5/L4</f>
        <v>0.66666666666666663</v>
      </c>
    </row>
    <row r="8" spans="1:15" ht="15.6" x14ac:dyDescent="0.3">
      <c r="A8" s="1" t="s">
        <v>121</v>
      </c>
      <c r="M8" s="1" t="s">
        <v>55</v>
      </c>
    </row>
    <row r="9" spans="1:15" x14ac:dyDescent="0.3">
      <c r="A9" s="30" t="s">
        <v>43</v>
      </c>
      <c r="B9" s="31" t="s">
        <v>44</v>
      </c>
      <c r="C9" s="31" t="s">
        <v>45</v>
      </c>
      <c r="D9" s="31" t="s">
        <v>46</v>
      </c>
      <c r="E9" s="31" t="s">
        <v>47</v>
      </c>
      <c r="F9" s="32"/>
      <c r="M9" s="4" t="s">
        <v>56</v>
      </c>
      <c r="N9" s="4" t="s">
        <v>57</v>
      </c>
      <c r="O9" s="4" t="s">
        <v>58</v>
      </c>
    </row>
    <row r="10" spans="1:15" x14ac:dyDescent="0.3">
      <c r="A10" s="33" t="s">
        <v>48</v>
      </c>
      <c r="B10" s="34">
        <v>3</v>
      </c>
      <c r="C10" s="34">
        <v>3</v>
      </c>
      <c r="D10" s="34">
        <v>2</v>
      </c>
      <c r="E10" s="33"/>
      <c r="F10" s="35"/>
      <c r="M10" s="6" t="s">
        <v>59</v>
      </c>
      <c r="N10" s="6">
        <v>8</v>
      </c>
      <c r="O10" s="36" t="s">
        <v>60</v>
      </c>
    </row>
    <row r="11" spans="1:15" x14ac:dyDescent="0.3">
      <c r="A11" s="37" t="s">
        <v>49</v>
      </c>
      <c r="B11" s="38">
        <v>2</v>
      </c>
      <c r="C11" s="38">
        <v>1</v>
      </c>
      <c r="D11" s="38">
        <v>1</v>
      </c>
      <c r="E11" s="37"/>
      <c r="F11" s="39"/>
      <c r="M11" s="7" t="s">
        <v>61</v>
      </c>
      <c r="N11" s="2">
        <v>7</v>
      </c>
      <c r="O11" s="40">
        <v>0.875</v>
      </c>
    </row>
    <row r="12" spans="1:15" x14ac:dyDescent="0.3">
      <c r="A12" s="37" t="s">
        <v>53</v>
      </c>
      <c r="B12" s="38">
        <v>1</v>
      </c>
      <c r="C12" s="38">
        <v>2</v>
      </c>
      <c r="D12" s="38">
        <v>1</v>
      </c>
      <c r="E12" s="37"/>
      <c r="F12" s="39"/>
      <c r="M12" s="11" t="s">
        <v>74</v>
      </c>
      <c r="N12" s="2">
        <v>1</v>
      </c>
      <c r="O12" s="40">
        <v>0.125</v>
      </c>
    </row>
    <row r="13" spans="1:15" x14ac:dyDescent="0.3">
      <c r="A13" s="37" t="s">
        <v>51</v>
      </c>
      <c r="B13" s="38">
        <v>0</v>
      </c>
      <c r="C13" s="38">
        <v>0</v>
      </c>
      <c r="D13" s="38">
        <v>0</v>
      </c>
      <c r="E13" s="37"/>
      <c r="F13" s="39"/>
    </row>
    <row r="14" spans="1:15" x14ac:dyDescent="0.3">
      <c r="A14" s="37" t="s">
        <v>52</v>
      </c>
      <c r="B14" s="38">
        <v>0</v>
      </c>
      <c r="C14" s="38">
        <v>0</v>
      </c>
      <c r="D14" s="38">
        <v>0</v>
      </c>
      <c r="E14" s="37"/>
      <c r="F14" s="39"/>
    </row>
    <row r="15" spans="1:15" x14ac:dyDescent="0.3">
      <c r="A15" s="37" t="s">
        <v>54</v>
      </c>
      <c r="B15" s="38">
        <v>0</v>
      </c>
      <c r="C15" s="38">
        <v>0</v>
      </c>
      <c r="D15" s="38">
        <v>0</v>
      </c>
      <c r="E15" s="37"/>
      <c r="F15" s="39"/>
    </row>
    <row r="19" spans="1:15" ht="15.6" x14ac:dyDescent="0.3">
      <c r="A19" s="1" t="s">
        <v>81</v>
      </c>
      <c r="M19" s="1" t="s">
        <v>55</v>
      </c>
    </row>
    <row r="20" spans="1:15" x14ac:dyDescent="0.3">
      <c r="A20" s="30" t="s">
        <v>43</v>
      </c>
      <c r="B20" s="31" t="s">
        <v>44</v>
      </c>
      <c r="C20" s="31" t="s">
        <v>45</v>
      </c>
      <c r="D20" s="31" t="s">
        <v>46</v>
      </c>
      <c r="E20" s="31" t="s">
        <v>47</v>
      </c>
      <c r="F20" s="32"/>
      <c r="M20" s="4" t="s">
        <v>56</v>
      </c>
      <c r="N20" s="4" t="s">
        <v>57</v>
      </c>
      <c r="O20" s="4" t="s">
        <v>58</v>
      </c>
    </row>
    <row r="21" spans="1:15" x14ac:dyDescent="0.3">
      <c r="A21" s="33" t="s">
        <v>48</v>
      </c>
      <c r="B21" s="34">
        <v>1</v>
      </c>
      <c r="C21" s="34">
        <v>5</v>
      </c>
      <c r="D21" s="34">
        <v>2</v>
      </c>
      <c r="E21" s="33"/>
      <c r="F21" s="35"/>
      <c r="M21" s="6" t="s">
        <v>59</v>
      </c>
      <c r="N21" s="6">
        <v>8</v>
      </c>
      <c r="O21" s="36" t="s">
        <v>60</v>
      </c>
    </row>
    <row r="22" spans="1:15" x14ac:dyDescent="0.3">
      <c r="A22" s="37" t="s">
        <v>51</v>
      </c>
      <c r="B22" s="38">
        <v>0</v>
      </c>
      <c r="C22" s="38">
        <v>1</v>
      </c>
      <c r="D22" s="38">
        <v>0</v>
      </c>
      <c r="E22" s="37"/>
      <c r="F22" s="39"/>
      <c r="M22" s="7" t="s">
        <v>61</v>
      </c>
      <c r="N22" s="2">
        <v>4</v>
      </c>
      <c r="O22" s="40">
        <f>N22/$N$21</f>
        <v>0.5</v>
      </c>
    </row>
    <row r="23" spans="1:15" x14ac:dyDescent="0.3">
      <c r="A23" s="37" t="s">
        <v>49</v>
      </c>
      <c r="B23" s="38">
        <v>0</v>
      </c>
      <c r="C23" s="38">
        <v>0</v>
      </c>
      <c r="D23" s="38">
        <v>1</v>
      </c>
      <c r="E23" s="37"/>
      <c r="F23" s="39"/>
      <c r="M23" s="10" t="s">
        <v>67</v>
      </c>
      <c r="N23" s="2">
        <v>2</v>
      </c>
      <c r="O23" s="40">
        <f>N23/$N$21</f>
        <v>0.25</v>
      </c>
    </row>
    <row r="24" spans="1:15" x14ac:dyDescent="0.3">
      <c r="A24" s="37" t="s">
        <v>53</v>
      </c>
      <c r="B24" s="38">
        <v>0</v>
      </c>
      <c r="C24" s="38">
        <v>1</v>
      </c>
      <c r="D24" s="38">
        <v>1</v>
      </c>
      <c r="E24" s="37"/>
      <c r="F24" s="39"/>
      <c r="M24" s="11" t="s">
        <v>68</v>
      </c>
      <c r="N24" s="2">
        <v>1</v>
      </c>
      <c r="O24" s="40">
        <f>N24/$N$21</f>
        <v>0.125</v>
      </c>
    </row>
    <row r="25" spans="1:15" x14ac:dyDescent="0.3">
      <c r="A25" s="37" t="s">
        <v>54</v>
      </c>
      <c r="B25" s="38">
        <v>1</v>
      </c>
      <c r="C25" s="38">
        <v>3</v>
      </c>
      <c r="D25" s="38">
        <v>0</v>
      </c>
      <c r="E25" s="37"/>
      <c r="F25" s="39"/>
      <c r="M25" s="9" t="s">
        <v>64</v>
      </c>
      <c r="N25" s="2">
        <v>1</v>
      </c>
      <c r="O25" s="40">
        <f>N25/$N$21</f>
        <v>0.125</v>
      </c>
    </row>
    <row r="26" spans="1:15" x14ac:dyDescent="0.3">
      <c r="A26" s="37" t="s">
        <v>52</v>
      </c>
      <c r="B26" s="38">
        <v>0</v>
      </c>
      <c r="C26" s="38">
        <v>0</v>
      </c>
      <c r="D26" s="38">
        <v>0</v>
      </c>
      <c r="E26" s="37"/>
      <c r="F26" s="39"/>
    </row>
    <row r="30" spans="1:15" ht="15.6" x14ac:dyDescent="0.3">
      <c r="A30" s="1" t="s">
        <v>78</v>
      </c>
      <c r="M30" s="1" t="s">
        <v>55</v>
      </c>
    </row>
    <row r="31" spans="1:15" x14ac:dyDescent="0.3">
      <c r="A31" s="30" t="s">
        <v>43</v>
      </c>
      <c r="B31" s="31" t="s">
        <v>44</v>
      </c>
      <c r="C31" s="31" t="s">
        <v>45</v>
      </c>
      <c r="D31" s="31" t="s">
        <v>46</v>
      </c>
      <c r="E31" s="31" t="s">
        <v>47</v>
      </c>
      <c r="F31" s="32"/>
      <c r="M31" s="4" t="s">
        <v>56</v>
      </c>
      <c r="N31" s="4" t="s">
        <v>57</v>
      </c>
      <c r="O31" s="4" t="s">
        <v>58</v>
      </c>
    </row>
    <row r="32" spans="1:15" x14ac:dyDescent="0.3">
      <c r="A32" s="33" t="s">
        <v>48</v>
      </c>
      <c r="B32" s="34">
        <v>1</v>
      </c>
      <c r="C32" s="34">
        <v>3</v>
      </c>
      <c r="D32" s="34">
        <v>1</v>
      </c>
      <c r="E32" s="33"/>
      <c r="F32" s="35"/>
      <c r="M32" s="6" t="s">
        <v>59</v>
      </c>
      <c r="N32" s="6">
        <v>5</v>
      </c>
      <c r="O32" s="36" t="s">
        <v>60</v>
      </c>
    </row>
    <row r="33" spans="1:15" x14ac:dyDescent="0.3">
      <c r="A33" s="37" t="s">
        <v>49</v>
      </c>
      <c r="B33" s="38">
        <v>0</v>
      </c>
      <c r="C33" s="38">
        <v>2</v>
      </c>
      <c r="D33" s="38">
        <v>0</v>
      </c>
      <c r="E33" s="37"/>
      <c r="F33" s="39"/>
      <c r="M33" s="7" t="s">
        <v>61</v>
      </c>
      <c r="N33" s="2">
        <v>3</v>
      </c>
      <c r="O33" s="40">
        <f>N33/$N$32</f>
        <v>0.6</v>
      </c>
    </row>
    <row r="34" spans="1:15" x14ac:dyDescent="0.3">
      <c r="A34" s="37" t="s">
        <v>53</v>
      </c>
      <c r="B34" s="38">
        <v>0</v>
      </c>
      <c r="C34" s="38">
        <v>1</v>
      </c>
      <c r="D34" s="38">
        <v>0</v>
      </c>
      <c r="E34" s="37"/>
      <c r="F34" s="39"/>
      <c r="M34" s="10" t="s">
        <v>67</v>
      </c>
      <c r="N34" s="2">
        <v>1</v>
      </c>
      <c r="O34" s="40">
        <f>N34/$N$32</f>
        <v>0.2</v>
      </c>
    </row>
    <row r="35" spans="1:15" x14ac:dyDescent="0.3">
      <c r="A35" s="37" t="s">
        <v>54</v>
      </c>
      <c r="B35" s="38">
        <v>1</v>
      </c>
      <c r="C35" s="38">
        <v>0</v>
      </c>
      <c r="D35" s="38">
        <v>0</v>
      </c>
      <c r="E35" s="37"/>
      <c r="F35" s="39"/>
      <c r="M35" s="41" t="s">
        <v>80</v>
      </c>
      <c r="N35" s="2">
        <v>1</v>
      </c>
      <c r="O35" s="40">
        <f>N35/$N$32</f>
        <v>0.2</v>
      </c>
    </row>
    <row r="36" spans="1:15" x14ac:dyDescent="0.3">
      <c r="A36" s="37" t="s">
        <v>51</v>
      </c>
      <c r="B36" s="38">
        <v>0</v>
      </c>
      <c r="C36" s="38">
        <v>0</v>
      </c>
      <c r="D36" s="38">
        <v>0</v>
      </c>
      <c r="E36" s="37"/>
      <c r="F36" s="39"/>
    </row>
    <row r="37" spans="1:15" x14ac:dyDescent="0.3">
      <c r="A37" s="37" t="s">
        <v>52</v>
      </c>
      <c r="B37" s="38">
        <v>0</v>
      </c>
      <c r="C37" s="38">
        <v>0</v>
      </c>
      <c r="D37" s="38">
        <v>1</v>
      </c>
      <c r="E37" s="37"/>
      <c r="F37" s="39"/>
    </row>
  </sheetData>
  <mergeCells count="4">
    <mergeCell ref="A1:I1"/>
    <mergeCell ref="A3:I3"/>
    <mergeCell ref="A6:E6"/>
    <mergeCell ref="G6:I6"/>
  </mergeCells>
  <pageMargins left="0.7" right="0.7" top="0.75" bottom="0.75" header="0.3" footer="0.3"/>
  <pageSetup paperSize="9" scale="93" orientation="portrait" r:id="rId1"/>
  <colBreaks count="1" manualBreakCount="1">
    <brk id="9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/>
  </sheetViews>
  <sheetFormatPr baseColWidth="10" defaultRowHeight="14.4" x14ac:dyDescent="0.3"/>
  <sheetData>
    <row r="1" spans="1:15" x14ac:dyDescent="0.3">
      <c r="A1" s="4" t="s">
        <v>94</v>
      </c>
      <c r="B1" s="4" t="s">
        <v>95</v>
      </c>
      <c r="C1" s="4" t="s">
        <v>96</v>
      </c>
      <c r="D1" s="4" t="s">
        <v>97</v>
      </c>
      <c r="E1" s="4" t="s">
        <v>98</v>
      </c>
      <c r="F1" s="4" t="s">
        <v>99</v>
      </c>
      <c r="G1" s="4" t="s">
        <v>100</v>
      </c>
      <c r="H1" s="4" t="s">
        <v>101</v>
      </c>
      <c r="I1" s="4" t="s">
        <v>102</v>
      </c>
      <c r="J1" s="4" t="s">
        <v>103</v>
      </c>
      <c r="K1" s="4" t="s">
        <v>104</v>
      </c>
      <c r="L1" s="4" t="s">
        <v>105</v>
      </c>
      <c r="M1" s="4" t="s">
        <v>106</v>
      </c>
      <c r="N1" s="4" t="s">
        <v>107</v>
      </c>
      <c r="O1" s="4" t="s">
        <v>108</v>
      </c>
    </row>
    <row r="2" spans="1:15" x14ac:dyDescent="0.3">
      <c r="A2" s="17">
        <v>45728</v>
      </c>
      <c r="B2" s="17">
        <v>45728</v>
      </c>
      <c r="C2" s="17">
        <v>45734</v>
      </c>
      <c r="D2" s="17">
        <v>45735</v>
      </c>
      <c r="E2" s="17">
        <v>45741</v>
      </c>
      <c r="F2" s="17">
        <v>45742</v>
      </c>
      <c r="G2" s="17">
        <v>45748</v>
      </c>
      <c r="H2" s="17">
        <v>45749</v>
      </c>
      <c r="I2" s="17">
        <v>45755</v>
      </c>
      <c r="J2" s="17">
        <v>45728</v>
      </c>
      <c r="K2" s="17">
        <v>45755</v>
      </c>
      <c r="L2" s="17">
        <v>45756</v>
      </c>
      <c r="M2" s="17">
        <v>45783</v>
      </c>
      <c r="N2" s="17">
        <v>45784</v>
      </c>
      <c r="O2" s="17">
        <v>45811</v>
      </c>
    </row>
    <row r="3" spans="1:15" x14ac:dyDescent="0.3">
      <c r="A3" s="17">
        <v>45730</v>
      </c>
      <c r="B3" s="17">
        <v>45730</v>
      </c>
      <c r="C3" s="17">
        <v>45736</v>
      </c>
      <c r="D3" s="17">
        <v>45737</v>
      </c>
      <c r="E3" s="17">
        <v>45743</v>
      </c>
      <c r="F3" s="17">
        <v>45744</v>
      </c>
      <c r="G3" s="17">
        <v>45750</v>
      </c>
      <c r="H3" s="17">
        <v>45751</v>
      </c>
      <c r="I3" s="17">
        <v>45757</v>
      </c>
      <c r="J3" s="17">
        <v>45730</v>
      </c>
      <c r="K3" s="17">
        <v>45757</v>
      </c>
      <c r="L3" s="17">
        <v>45758</v>
      </c>
      <c r="M3" s="17">
        <v>45785</v>
      </c>
      <c r="N3" s="17">
        <v>45786</v>
      </c>
      <c r="O3" s="17">
        <v>45813</v>
      </c>
    </row>
    <row r="4" spans="1:15" x14ac:dyDescent="0.3">
      <c r="A4" s="17">
        <v>45748</v>
      </c>
      <c r="B4" s="17">
        <v>45748</v>
      </c>
      <c r="C4" s="17">
        <v>45754</v>
      </c>
      <c r="D4" s="17">
        <v>45755</v>
      </c>
      <c r="E4" s="17">
        <v>45761</v>
      </c>
      <c r="F4" s="17">
        <v>45762</v>
      </c>
      <c r="G4" s="17">
        <v>45768</v>
      </c>
      <c r="H4" s="17">
        <v>45769</v>
      </c>
      <c r="I4" s="17">
        <v>45775</v>
      </c>
      <c r="J4" s="17">
        <v>45748</v>
      </c>
      <c r="K4" s="17">
        <v>45775</v>
      </c>
      <c r="L4" s="17">
        <v>45776</v>
      </c>
      <c r="M4" s="17">
        <v>45803</v>
      </c>
      <c r="N4" s="17">
        <v>45804</v>
      </c>
      <c r="O4" s="17">
        <v>45831</v>
      </c>
    </row>
    <row r="5" spans="1:15" x14ac:dyDescent="0.3">
      <c r="A5" s="17">
        <v>45751</v>
      </c>
      <c r="B5" s="17">
        <v>45751</v>
      </c>
      <c r="C5" s="17">
        <v>45757</v>
      </c>
      <c r="D5" s="17">
        <v>45758</v>
      </c>
      <c r="E5" s="17">
        <v>45764</v>
      </c>
      <c r="F5" s="17">
        <v>45765</v>
      </c>
      <c r="G5" s="17">
        <v>45771</v>
      </c>
      <c r="H5" s="17">
        <v>45772</v>
      </c>
      <c r="I5" s="17">
        <v>45778</v>
      </c>
      <c r="J5" s="17">
        <v>45751</v>
      </c>
      <c r="K5" s="17">
        <v>45778</v>
      </c>
      <c r="L5" s="17">
        <v>45779</v>
      </c>
      <c r="M5" s="17">
        <v>45806</v>
      </c>
      <c r="N5" s="17">
        <v>45807</v>
      </c>
      <c r="O5" s="17">
        <v>45834</v>
      </c>
    </row>
    <row r="6" spans="1:15" x14ac:dyDescent="0.3">
      <c r="A6" s="17">
        <v>45762</v>
      </c>
      <c r="B6" s="17">
        <v>45762</v>
      </c>
      <c r="C6" s="17">
        <v>45768</v>
      </c>
      <c r="D6" s="17">
        <v>45769</v>
      </c>
      <c r="E6" s="17">
        <v>45775</v>
      </c>
      <c r="F6" s="17">
        <v>45776</v>
      </c>
      <c r="G6" s="17">
        <v>45782</v>
      </c>
      <c r="H6" s="17">
        <v>45783</v>
      </c>
      <c r="I6" s="17">
        <v>45789</v>
      </c>
      <c r="J6" s="17">
        <v>45762</v>
      </c>
      <c r="K6" s="17">
        <v>45789</v>
      </c>
      <c r="L6" s="17">
        <v>45790</v>
      </c>
      <c r="M6" s="17">
        <v>45817</v>
      </c>
      <c r="N6" s="17">
        <v>45818</v>
      </c>
      <c r="O6" s="17">
        <v>45845</v>
      </c>
    </row>
    <row r="7" spans="1:15" x14ac:dyDescent="0.3">
      <c r="A7" s="17">
        <v>45763</v>
      </c>
      <c r="B7" s="17">
        <v>45763</v>
      </c>
      <c r="C7" s="17">
        <v>45769</v>
      </c>
      <c r="D7" s="17">
        <v>45770</v>
      </c>
      <c r="E7" s="17">
        <v>45776</v>
      </c>
      <c r="F7" s="17">
        <v>45777</v>
      </c>
      <c r="G7" s="17">
        <v>45783</v>
      </c>
      <c r="H7" s="17">
        <v>45784</v>
      </c>
      <c r="I7" s="17">
        <v>45790</v>
      </c>
      <c r="J7" s="17">
        <v>45763</v>
      </c>
      <c r="K7" s="17">
        <v>45790</v>
      </c>
      <c r="L7" s="17">
        <v>45791</v>
      </c>
      <c r="M7" s="17">
        <v>45818</v>
      </c>
      <c r="N7" s="17">
        <v>45819</v>
      </c>
      <c r="O7" s="17">
        <v>45846</v>
      </c>
    </row>
    <row r="8" spans="1:15" x14ac:dyDescent="0.3">
      <c r="A8" s="17">
        <v>45772</v>
      </c>
      <c r="B8" s="17">
        <v>45772</v>
      </c>
      <c r="C8" s="17">
        <v>45778</v>
      </c>
      <c r="D8" s="17">
        <v>45779</v>
      </c>
      <c r="E8" s="17">
        <v>45785</v>
      </c>
      <c r="F8" s="17">
        <v>45786</v>
      </c>
      <c r="G8" s="17">
        <v>45792</v>
      </c>
      <c r="H8" s="17">
        <v>45793</v>
      </c>
      <c r="I8" s="17">
        <v>45799</v>
      </c>
      <c r="J8" s="17">
        <v>45772</v>
      </c>
      <c r="K8" s="17">
        <v>45799</v>
      </c>
      <c r="L8" s="17">
        <v>45800</v>
      </c>
      <c r="M8" s="17">
        <v>45827</v>
      </c>
      <c r="N8" s="17">
        <v>45828</v>
      </c>
      <c r="O8" s="17">
        <v>45855</v>
      </c>
    </row>
    <row r="9" spans="1:15" x14ac:dyDescent="0.3">
      <c r="A9" s="17">
        <v>45776</v>
      </c>
      <c r="B9" s="17">
        <v>45776</v>
      </c>
      <c r="C9" s="17">
        <v>45782</v>
      </c>
      <c r="D9" s="17">
        <v>45783</v>
      </c>
      <c r="E9" s="17">
        <v>45789</v>
      </c>
      <c r="F9" s="17">
        <v>45790</v>
      </c>
      <c r="G9" s="17">
        <v>45796</v>
      </c>
      <c r="H9" s="17">
        <v>45797</v>
      </c>
      <c r="I9" s="17">
        <v>45803</v>
      </c>
      <c r="J9" s="17">
        <v>45776</v>
      </c>
      <c r="K9" s="17">
        <v>45803</v>
      </c>
      <c r="L9" s="17">
        <v>45804</v>
      </c>
      <c r="M9" s="17">
        <v>45831</v>
      </c>
      <c r="N9" s="17">
        <v>45832</v>
      </c>
      <c r="O9" s="17">
        <v>45859</v>
      </c>
    </row>
    <row r="10" spans="1:15" x14ac:dyDescent="0.3">
      <c r="A10" s="17">
        <v>45786</v>
      </c>
      <c r="B10" s="17">
        <v>45786</v>
      </c>
      <c r="C10" s="17">
        <v>45792</v>
      </c>
      <c r="D10" s="17">
        <v>45793</v>
      </c>
      <c r="E10" s="17">
        <v>45799</v>
      </c>
      <c r="F10" s="17">
        <v>45800</v>
      </c>
      <c r="G10" s="17">
        <v>45806</v>
      </c>
      <c r="H10" s="17">
        <v>45807</v>
      </c>
      <c r="I10" s="17">
        <v>45813</v>
      </c>
      <c r="J10" s="17">
        <v>45786</v>
      </c>
      <c r="K10" s="17">
        <v>45813</v>
      </c>
      <c r="L10" s="17">
        <v>45814</v>
      </c>
      <c r="M10" s="17">
        <v>45841</v>
      </c>
      <c r="N10" s="17">
        <v>45842</v>
      </c>
      <c r="O10" s="17">
        <v>45869</v>
      </c>
    </row>
    <row r="11" spans="1:15" x14ac:dyDescent="0.3">
      <c r="A11" s="17">
        <v>45790</v>
      </c>
      <c r="B11" s="17">
        <v>45790</v>
      </c>
      <c r="C11" s="17">
        <v>45796</v>
      </c>
      <c r="D11" s="17">
        <v>45797</v>
      </c>
      <c r="E11" s="17">
        <v>45803</v>
      </c>
      <c r="F11" s="17">
        <v>45804</v>
      </c>
      <c r="G11" s="17">
        <v>45810</v>
      </c>
      <c r="H11" s="17">
        <v>45811</v>
      </c>
      <c r="I11" s="17">
        <v>45817</v>
      </c>
      <c r="J11" s="17">
        <v>45790</v>
      </c>
      <c r="K11" s="17">
        <v>45817</v>
      </c>
      <c r="L11" s="17">
        <v>45818</v>
      </c>
      <c r="M11" s="17">
        <v>45845</v>
      </c>
      <c r="N11" s="17">
        <v>45846</v>
      </c>
      <c r="O11" s="17">
        <v>45873</v>
      </c>
    </row>
    <row r="12" spans="1:15" x14ac:dyDescent="0.3">
      <c r="A12" s="17">
        <v>45793</v>
      </c>
      <c r="B12" s="17">
        <v>45793</v>
      </c>
      <c r="C12" s="17">
        <v>45799</v>
      </c>
      <c r="D12" s="17">
        <v>45800</v>
      </c>
      <c r="E12" s="17">
        <v>45806</v>
      </c>
      <c r="F12" s="17">
        <v>45807</v>
      </c>
      <c r="G12" s="17">
        <v>45813</v>
      </c>
      <c r="H12" s="17">
        <v>45814</v>
      </c>
      <c r="I12" s="17">
        <v>45820</v>
      </c>
      <c r="J12" s="17">
        <v>45793</v>
      </c>
      <c r="K12" s="17">
        <v>45820</v>
      </c>
      <c r="L12" s="17">
        <v>45821</v>
      </c>
      <c r="M12" s="17">
        <v>45848</v>
      </c>
      <c r="N12" s="17">
        <v>45849</v>
      </c>
      <c r="O12" s="17">
        <v>45876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baseColWidth="10" defaultRowHeight="14.4" x14ac:dyDescent="0.3"/>
  <sheetData>
    <row r="1" spans="1:19" x14ac:dyDescent="0.3">
      <c r="A1" s="4" t="s">
        <v>1</v>
      </c>
      <c r="B1" s="4" t="s">
        <v>94</v>
      </c>
      <c r="C1" s="4" t="s">
        <v>61</v>
      </c>
      <c r="D1" s="4" t="s">
        <v>67</v>
      </c>
      <c r="E1" s="4" t="s">
        <v>109</v>
      </c>
      <c r="F1" s="4" t="s">
        <v>88</v>
      </c>
      <c r="G1" s="4" t="s">
        <v>110</v>
      </c>
      <c r="H1" s="4" t="s">
        <v>68</v>
      </c>
      <c r="I1" s="4" t="s">
        <v>89</v>
      </c>
      <c r="J1" s="4" t="s">
        <v>69</v>
      </c>
      <c r="K1" s="4" t="s">
        <v>63</v>
      </c>
      <c r="L1" s="4" t="s">
        <v>91</v>
      </c>
      <c r="M1" s="4" t="s">
        <v>74</v>
      </c>
      <c r="N1" s="4" t="s">
        <v>80</v>
      </c>
      <c r="O1" s="4" t="s">
        <v>92</v>
      </c>
      <c r="P1" s="4" t="s">
        <v>111</v>
      </c>
      <c r="Q1" s="4" t="s">
        <v>93</v>
      </c>
      <c r="R1" s="4" t="s">
        <v>64</v>
      </c>
      <c r="S1" s="4" t="s">
        <v>70</v>
      </c>
    </row>
    <row r="2" spans="1:19" x14ac:dyDescent="0.3">
      <c r="A2" t="s">
        <v>41</v>
      </c>
      <c r="B2" s="17">
        <v>45790</v>
      </c>
      <c r="C2">
        <v>1</v>
      </c>
      <c r="D2">
        <v>1</v>
      </c>
      <c r="H2">
        <v>1</v>
      </c>
      <c r="J2">
        <v>2</v>
      </c>
      <c r="S2">
        <v>1</v>
      </c>
    </row>
    <row r="3" spans="1:19" x14ac:dyDescent="0.3">
      <c r="A3" t="s">
        <v>31</v>
      </c>
      <c r="B3" s="17">
        <v>45776</v>
      </c>
      <c r="C3">
        <v>4</v>
      </c>
      <c r="M3">
        <v>1</v>
      </c>
    </row>
    <row r="4" spans="1:19" x14ac:dyDescent="0.3">
      <c r="A4" t="s">
        <v>33</v>
      </c>
      <c r="B4" s="17">
        <v>45776</v>
      </c>
      <c r="C4">
        <v>2</v>
      </c>
    </row>
    <row r="5" spans="1:19" x14ac:dyDescent="0.3">
      <c r="A5" t="s">
        <v>34</v>
      </c>
      <c r="B5" s="17">
        <v>45776</v>
      </c>
      <c r="C5">
        <v>1</v>
      </c>
    </row>
    <row r="6" spans="1:19" x14ac:dyDescent="0.3">
      <c r="A6" t="s">
        <v>35</v>
      </c>
      <c r="B6" s="17">
        <v>45776</v>
      </c>
      <c r="C6">
        <v>3</v>
      </c>
      <c r="D6">
        <v>1</v>
      </c>
      <c r="N6">
        <v>1</v>
      </c>
    </row>
    <row r="7" spans="1:19" x14ac:dyDescent="0.3">
      <c r="A7" t="s">
        <v>36</v>
      </c>
      <c r="B7" s="17">
        <v>45776</v>
      </c>
      <c r="C7">
        <v>4</v>
      </c>
      <c r="D7">
        <v>2</v>
      </c>
      <c r="H7">
        <v>1</v>
      </c>
      <c r="R7">
        <v>1</v>
      </c>
    </row>
    <row r="8" spans="1:19" x14ac:dyDescent="0.3">
      <c r="A8" t="s">
        <v>37</v>
      </c>
      <c r="B8" s="17">
        <v>45776</v>
      </c>
      <c r="C8">
        <v>7</v>
      </c>
      <c r="D8">
        <v>2</v>
      </c>
      <c r="F8">
        <v>2</v>
      </c>
      <c r="I8">
        <v>1</v>
      </c>
      <c r="L8">
        <v>1</v>
      </c>
      <c r="N8">
        <v>2</v>
      </c>
      <c r="O8">
        <v>1</v>
      </c>
      <c r="Q8">
        <v>1</v>
      </c>
      <c r="R8">
        <v>2</v>
      </c>
    </row>
    <row r="9" spans="1:19" x14ac:dyDescent="0.3">
      <c r="A9" t="s">
        <v>29</v>
      </c>
      <c r="B9" s="17">
        <v>45772</v>
      </c>
      <c r="C9">
        <v>7</v>
      </c>
    </row>
    <row r="10" spans="1:19" x14ac:dyDescent="0.3">
      <c r="A10" t="s">
        <v>28</v>
      </c>
      <c r="B10" s="17">
        <v>45763</v>
      </c>
      <c r="C10">
        <v>1</v>
      </c>
      <c r="K10">
        <v>1</v>
      </c>
      <c r="R10">
        <v>1</v>
      </c>
    </row>
    <row r="11" spans="1:19" x14ac:dyDescent="0.3">
      <c r="A11" t="s">
        <v>26</v>
      </c>
      <c r="B11" s="17">
        <v>45762</v>
      </c>
      <c r="C11">
        <v>2</v>
      </c>
      <c r="G11">
        <v>1</v>
      </c>
      <c r="N11">
        <v>1</v>
      </c>
      <c r="P11">
        <v>1</v>
      </c>
      <c r="R11">
        <v>5</v>
      </c>
    </row>
    <row r="12" spans="1:19" x14ac:dyDescent="0.3">
      <c r="A12" t="s">
        <v>27</v>
      </c>
      <c r="B12" s="17">
        <v>45762</v>
      </c>
      <c r="E12">
        <v>1</v>
      </c>
      <c r="R12">
        <v>2</v>
      </c>
    </row>
    <row r="13" spans="1:19" x14ac:dyDescent="0.3">
      <c r="A13" t="s">
        <v>23</v>
      </c>
      <c r="B13" s="17">
        <v>45751</v>
      </c>
      <c r="C13">
        <v>1</v>
      </c>
      <c r="K13">
        <v>1</v>
      </c>
      <c r="N13">
        <v>4</v>
      </c>
      <c r="R13">
        <v>1</v>
      </c>
    </row>
    <row r="14" spans="1:19" x14ac:dyDescent="0.3">
      <c r="A14" t="s">
        <v>22</v>
      </c>
      <c r="B14" s="17">
        <v>45751</v>
      </c>
      <c r="K14">
        <v>1</v>
      </c>
      <c r="R14">
        <v>1</v>
      </c>
    </row>
    <row r="15" spans="1:19" x14ac:dyDescent="0.3">
      <c r="A15" t="s">
        <v>19</v>
      </c>
      <c r="B15" s="17">
        <v>45748</v>
      </c>
      <c r="N15">
        <v>2</v>
      </c>
      <c r="R15">
        <v>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baseColWidth="10" defaultRowHeight="14.4" x14ac:dyDescent="0.3"/>
  <sheetData>
    <row r="1" spans="1:4" x14ac:dyDescent="0.3">
      <c r="A1" s="4" t="s">
        <v>94</v>
      </c>
      <c r="B1" s="4" t="s">
        <v>112</v>
      </c>
      <c r="C1" s="4" t="s">
        <v>113</v>
      </c>
      <c r="D1" s="4" t="s">
        <v>114</v>
      </c>
    </row>
    <row r="2" spans="1:4" x14ac:dyDescent="0.3">
      <c r="A2" s="17">
        <v>45728</v>
      </c>
      <c r="B2">
        <v>116603461</v>
      </c>
      <c r="C2">
        <v>99761476.5</v>
      </c>
      <c r="D2">
        <v>46856322</v>
      </c>
    </row>
    <row r="3" spans="1:4" x14ac:dyDescent="0.3">
      <c r="A3" s="17">
        <v>45730</v>
      </c>
      <c r="B3">
        <v>117260823</v>
      </c>
      <c r="C3">
        <v>97285896.5</v>
      </c>
      <c r="D3">
        <v>41477302</v>
      </c>
    </row>
    <row r="4" spans="1:4" x14ac:dyDescent="0.3">
      <c r="A4" s="17">
        <v>45748</v>
      </c>
      <c r="B4">
        <v>96357949.5</v>
      </c>
      <c r="C4">
        <v>68949078</v>
      </c>
      <c r="D4">
        <v>0</v>
      </c>
    </row>
    <row r="5" spans="1:4" x14ac:dyDescent="0.3">
      <c r="A5" s="17">
        <v>45751</v>
      </c>
      <c r="B5">
        <v>91696696.5</v>
      </c>
      <c r="C5">
        <v>66411688</v>
      </c>
      <c r="D5">
        <v>0</v>
      </c>
    </row>
    <row r="6" spans="1:4" x14ac:dyDescent="0.3">
      <c r="A6" s="17">
        <v>45762</v>
      </c>
      <c r="B6">
        <v>99038056.5</v>
      </c>
      <c r="C6">
        <v>23915662</v>
      </c>
      <c r="D6">
        <v>0</v>
      </c>
    </row>
    <row r="7" spans="1:4" x14ac:dyDescent="0.3">
      <c r="A7" s="17">
        <v>45763</v>
      </c>
      <c r="B7">
        <v>98491056.5</v>
      </c>
      <c r="C7">
        <v>19502232</v>
      </c>
      <c r="D7">
        <v>0</v>
      </c>
    </row>
    <row r="8" spans="1:4" x14ac:dyDescent="0.3">
      <c r="A8" s="17">
        <v>45772</v>
      </c>
      <c r="B8">
        <v>85603397</v>
      </c>
      <c r="C8">
        <v>0</v>
      </c>
      <c r="D8">
        <v>0</v>
      </c>
    </row>
    <row r="9" spans="1:4" x14ac:dyDescent="0.3">
      <c r="A9" s="17">
        <v>45776</v>
      </c>
      <c r="B9">
        <v>68949078</v>
      </c>
      <c r="C9">
        <v>0</v>
      </c>
      <c r="D9">
        <v>0</v>
      </c>
    </row>
    <row r="10" spans="1:4" x14ac:dyDescent="0.3">
      <c r="A10" s="17">
        <v>45786</v>
      </c>
      <c r="B10">
        <v>41477302</v>
      </c>
      <c r="C10">
        <v>0</v>
      </c>
      <c r="D10">
        <v>0</v>
      </c>
    </row>
    <row r="11" spans="1:4" x14ac:dyDescent="0.3">
      <c r="A11" s="17">
        <v>45790</v>
      </c>
      <c r="B11">
        <v>23915662</v>
      </c>
      <c r="C11">
        <v>0</v>
      </c>
      <c r="D11">
        <v>0</v>
      </c>
    </row>
    <row r="12" spans="1:4" x14ac:dyDescent="0.3">
      <c r="A12" s="17">
        <v>45793</v>
      </c>
      <c r="B12">
        <v>14141382</v>
      </c>
      <c r="C12">
        <v>0</v>
      </c>
      <c r="D12">
        <v>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2025-05-19</vt:lpstr>
      <vt:lpstr>Mochilas</vt:lpstr>
      <vt:lpstr>Cálculo semanas-meses</vt:lpstr>
      <vt:lpstr>Nacionalidad</vt:lpstr>
      <vt:lpstr>Facturación mensual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Valeria Levite</cp:lastModifiedBy>
  <cp:lastPrinted>2025-05-20T18:14:48Z</cp:lastPrinted>
  <dcterms:created xsi:type="dcterms:W3CDTF">2025-05-20T18:01:09Z</dcterms:created>
  <dcterms:modified xsi:type="dcterms:W3CDTF">2025-05-20T18:14:56Z</dcterms:modified>
</cp:coreProperties>
</file>