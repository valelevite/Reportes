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7bc0a2f725aa4268/Imágenes/"/>
    </mc:Choice>
  </mc:AlternateContent>
  <xr:revisionPtr revIDLastSave="0" documentId="8_{5B0C80B8-5C9B-4F25-90EB-715FECDBCD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KU debuta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P28" i="1"/>
  <c r="P24" i="1"/>
  <c r="P29" i="1"/>
  <c r="P23" i="1"/>
  <c r="P22" i="1"/>
  <c r="P21" i="1"/>
  <c r="P20" i="1"/>
  <c r="P30" i="1"/>
  <c r="P19" i="1"/>
  <c r="P5" i="1"/>
  <c r="P18" i="1"/>
  <c r="P17" i="1"/>
  <c r="P16" i="1"/>
  <c r="P14" i="1"/>
  <c r="P13" i="1"/>
  <c r="P12" i="1"/>
  <c r="P6" i="1"/>
  <c r="P34" i="1"/>
  <c r="P26" i="1"/>
  <c r="P11" i="1"/>
  <c r="P10" i="1"/>
  <c r="P15" i="1"/>
  <c r="P27" i="1"/>
  <c r="P9" i="1"/>
  <c r="P8" i="1"/>
  <c r="P7" i="1"/>
  <c r="P25" i="1"/>
  <c r="P33" i="1"/>
  <c r="P32" i="1"/>
  <c r="P31" i="1"/>
  <c r="M4" i="1"/>
  <c r="M31" i="1"/>
  <c r="N31" i="1" s="1"/>
  <c r="M32" i="1"/>
  <c r="N32" i="1" s="1"/>
  <c r="M33" i="1"/>
  <c r="N33" i="1" s="1"/>
  <c r="M25" i="1"/>
  <c r="N25" i="1" s="1"/>
  <c r="M7" i="1"/>
  <c r="N7" i="1" s="1"/>
  <c r="M8" i="1"/>
  <c r="N8" i="1" s="1"/>
  <c r="M9" i="1"/>
  <c r="N9" i="1" s="1"/>
  <c r="M27" i="1"/>
  <c r="N27" i="1" s="1"/>
  <c r="M15" i="1"/>
  <c r="N15" i="1" s="1"/>
  <c r="M10" i="1"/>
  <c r="N10" i="1" s="1"/>
  <c r="M11" i="1"/>
  <c r="N11" i="1" s="1"/>
  <c r="M26" i="1"/>
  <c r="N26" i="1" s="1"/>
  <c r="M34" i="1"/>
  <c r="N34" i="1" s="1"/>
  <c r="M6" i="1"/>
  <c r="N6" i="1" s="1"/>
  <c r="M12" i="1"/>
  <c r="N12" i="1" s="1"/>
  <c r="M13" i="1"/>
  <c r="N13" i="1" s="1"/>
  <c r="M14" i="1"/>
  <c r="N14" i="1" s="1"/>
  <c r="M16" i="1"/>
  <c r="N16" i="1" s="1"/>
  <c r="M17" i="1"/>
  <c r="N17" i="1" s="1"/>
  <c r="M18" i="1"/>
  <c r="N18" i="1" s="1"/>
  <c r="M5" i="1"/>
  <c r="N5" i="1" s="1"/>
  <c r="M19" i="1"/>
  <c r="N19" i="1" s="1"/>
  <c r="M30" i="1"/>
  <c r="N30" i="1" s="1"/>
  <c r="M20" i="1"/>
  <c r="N20" i="1" s="1"/>
  <c r="M21" i="1"/>
  <c r="N21" i="1" s="1"/>
  <c r="M22" i="1"/>
  <c r="N22" i="1" s="1"/>
  <c r="M23" i="1"/>
  <c r="N23" i="1" s="1"/>
  <c r="M29" i="1"/>
  <c r="N29" i="1" s="1"/>
  <c r="M24" i="1"/>
  <c r="N24" i="1" s="1"/>
  <c r="M28" i="1"/>
  <c r="N28" i="1" s="1"/>
</calcChain>
</file>

<file path=xl/sharedStrings.xml><?xml version="1.0" encoding="utf-8"?>
<sst xmlns="http://schemas.openxmlformats.org/spreadsheetml/2006/main" count="228" uniqueCount="109">
  <si>
    <t>SKU de debutantes. Última semana de venta. Fecha de análisis: 2025-06-17</t>
  </si>
  <si>
    <t>PROVEEDOR</t>
  </si>
  <si>
    <t>RUBRO</t>
  </si>
  <si>
    <t>FAMILIA</t>
  </si>
  <si>
    <t>CODIGO</t>
  </si>
  <si>
    <t>DESCRIPCION</t>
  </si>
  <si>
    <t>MATERIAL</t>
  </si>
  <si>
    <t>COLOR</t>
  </si>
  <si>
    <t>PRECIO</t>
  </si>
  <si>
    <t>TOTAL</t>
  </si>
  <si>
    <t>STOCK</t>
  </si>
  <si>
    <t>D/S</t>
  </si>
  <si>
    <t>FABRICA</t>
  </si>
  <si>
    <t>MARRO GRANDE</t>
  </si>
  <si>
    <t>TOTE</t>
  </si>
  <si>
    <t>MG011323139</t>
  </si>
  <si>
    <t>TOTE CACHI</t>
  </si>
  <si>
    <t>PELO</t>
  </si>
  <si>
    <t>HEREFORD</t>
  </si>
  <si>
    <t>MG011320558</t>
  </si>
  <si>
    <t>GAMUZA</t>
  </si>
  <si>
    <t>CAFE</t>
  </si>
  <si>
    <t>MG011323140</t>
  </si>
  <si>
    <t>HOLANDO</t>
  </si>
  <si>
    <t>CHINA</t>
  </si>
  <si>
    <t>TECH</t>
  </si>
  <si>
    <t>MG161184101</t>
  </si>
  <si>
    <t>MOCHILA TECH 21066</t>
  </si>
  <si>
    <t>CORDURA</t>
  </si>
  <si>
    <t>NEGRO</t>
  </si>
  <si>
    <t>ACCESORIOS</t>
  </si>
  <si>
    <t>SOMBRERO</t>
  </si>
  <si>
    <t>OT260593811-M</t>
  </si>
  <si>
    <t>BOINA CLYDE</t>
  </si>
  <si>
    <t>LANA/POLYESTER</t>
  </si>
  <si>
    <t>BEIGE</t>
  </si>
  <si>
    <t>OT260593811-S</t>
  </si>
  <si>
    <t>OT260593858-L</t>
  </si>
  <si>
    <t>MG161194101</t>
  </si>
  <si>
    <t>MOCHILA TECH 40998</t>
  </si>
  <si>
    <t>CARTERA</t>
  </si>
  <si>
    <t>MG011330301</t>
  </si>
  <si>
    <t>CARTERA INES</t>
  </si>
  <si>
    <t>BRIDGE</t>
  </si>
  <si>
    <t>OT260593858-M</t>
  </si>
  <si>
    <t>OT260593858-S</t>
  </si>
  <si>
    <t>MG161144101</t>
  </si>
  <si>
    <t>MOCHILA TECH 2551</t>
  </si>
  <si>
    <t>AZUL</t>
  </si>
  <si>
    <t>MG011320516</t>
  </si>
  <si>
    <t>OLIVE</t>
  </si>
  <si>
    <t>BANDOLERA</t>
  </si>
  <si>
    <t>MG011343139</t>
  </si>
  <si>
    <t>BANDOLERA MATILDA</t>
  </si>
  <si>
    <t>OT260593811-L</t>
  </si>
  <si>
    <t>OT260593812-L</t>
  </si>
  <si>
    <t>GRIS</t>
  </si>
  <si>
    <t>OT260593812-S</t>
  </si>
  <si>
    <t>CINTURON</t>
  </si>
  <si>
    <t>OT021293111-M-L</t>
  </si>
  <si>
    <t>CINTURON RUS</t>
  </si>
  <si>
    <t>OT021293148-S-M</t>
  </si>
  <si>
    <t>MARRON ROJIZO</t>
  </si>
  <si>
    <t>GORRO</t>
  </si>
  <si>
    <t>OT260613811-L</t>
  </si>
  <si>
    <t>GORRO SEA</t>
  </si>
  <si>
    <t>DECO</t>
  </si>
  <si>
    <t>BANDEJA</t>
  </si>
  <si>
    <t>OT021283139</t>
  </si>
  <si>
    <t>BANDEJA CHICA</t>
  </si>
  <si>
    <t>ELEMENTO</t>
  </si>
  <si>
    <t>TEXTIL</t>
  </si>
  <si>
    <t>MEDIAS</t>
  </si>
  <si>
    <t>TX280460022-68</t>
  </si>
  <si>
    <t>MEDIA HOMBRE MEDIA CAÑA FANTASIA</t>
  </si>
  <si>
    <t>ROMBO CHICO</t>
  </si>
  <si>
    <t>GRIS OSCURO/ CLARO</t>
  </si>
  <si>
    <t>LLAVERO</t>
  </si>
  <si>
    <t>OT021160402-15</t>
  </si>
  <si>
    <t>TAG CALADO INICIAL</t>
  </si>
  <si>
    <t>VAQUETA</t>
  </si>
  <si>
    <t>SUELA/MALBEC</t>
  </si>
  <si>
    <t>TX280440001-67</t>
  </si>
  <si>
    <t>MULTIRAYAS</t>
  </si>
  <si>
    <t>NEGRO/GRIS MELANGE</t>
  </si>
  <si>
    <t>TX280430036-69</t>
  </si>
  <si>
    <t>ROMBO</t>
  </si>
  <si>
    <t>CRUDO/CELESTE</t>
  </si>
  <si>
    <t>TX280420001-07</t>
  </si>
  <si>
    <t>NEGRO/ROJO</t>
  </si>
  <si>
    <t>TX280450022-68</t>
  </si>
  <si>
    <t>GRIS OSCURO/GRIS CLARO</t>
  </si>
  <si>
    <t>MARRO CHICA</t>
  </si>
  <si>
    <t>PORTAPASAPORTE</t>
  </si>
  <si>
    <t>MC020881910</t>
  </si>
  <si>
    <t>PORTAPASAPORTE CHESTER BIFAZ</t>
  </si>
  <si>
    <t>MODENA</t>
  </si>
  <si>
    <t>VERDE/SUELA</t>
  </si>
  <si>
    <t>TX280470068-22</t>
  </si>
  <si>
    <t>GRIS CLARO / OSCURO</t>
  </si>
  <si>
    <t>PORTALENTES</t>
  </si>
  <si>
    <t>MC020861910</t>
  </si>
  <si>
    <t>PORTALENTES LUZ BIFAZ</t>
  </si>
  <si>
    <t>SEMANA 1</t>
  </si>
  <si>
    <t>SEMANA 2</t>
  </si>
  <si>
    <t>SEMANA 3</t>
  </si>
  <si>
    <t>SEMANA 4</t>
  </si>
  <si>
    <t>TOTAL U</t>
  </si>
  <si>
    <t>TOTAL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</si>
</sst>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8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3" fontId="3" fillId="0" borderId="0" xfId="0" applyNumberFormat="1" applyFont="1"/>
    <xf numFmtId="164" fontId="3" fillId="0" borderId="0" xfId="0" applyNumberFormat="1" applyFont="1"/>
    <xf numFmtId="0" fontId="4" fillId="2" borderId="0" xfId="0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0" fontId="7" fillId="0" borderId="1" xfId="0" applyFont="1" applyBorder="1" applyAlignment="1">
      <alignment horizontal="left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\$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sku_debutantes" displayName="sku_debutantes" ref="A3:P34" totalsRowShown="0">
  <sortState xmlns:xlrd2="http://schemas.microsoft.com/office/spreadsheetml/2017/richdata2" ref="A4:P34">
    <sortCondition ref="E5:E34"/>
    <sortCondition descending="1" ref="N5:N34"/>
  </sortState>
  <tableColumns count="16">
    <tableColumn id="1" xr3:uid="{00000000-0010-0000-0000-000001000000}" name="PROVEEDOR"/>
    <tableColumn id="2" xr3:uid="{00000000-0010-0000-0000-000002000000}" name="RUBRO"/>
    <tableColumn id="3" xr3:uid="{00000000-0010-0000-0000-000003000000}" name="FAMILIA"/>
    <tableColumn id="4" xr3:uid="{00000000-0010-0000-0000-000004000000}" name="CODIGO"/>
    <tableColumn id="5" xr3:uid="{00000000-0010-0000-0000-000005000000}" name="DESCRIPCION"/>
    <tableColumn id="6" xr3:uid="{00000000-0010-0000-0000-000006000000}" name="MATERIAL"/>
    <tableColumn id="7" xr3:uid="{00000000-0010-0000-0000-000007000000}" name="COLOR"/>
    <tableColumn id="9" xr3:uid="{00000000-0010-0000-0000-000009000000}" name="PRECIO" dataDxfId="4"/>
    <tableColumn id="8" xr3:uid="{00000000-0010-0000-0000-000008000000}" name="SEMANA 1"/>
    <tableColumn id="15" xr3:uid="{4788DBF2-8193-4131-B975-D1A19D501BD3}" name="SEMANA 2" dataDxfId="3"/>
    <tableColumn id="14" xr3:uid="{EEE255F2-BB62-43B0-AB94-519AB4298AC4}" name="SEMANA 3" dataDxfId="2"/>
    <tableColumn id="13" xr3:uid="{ADCF8BDF-833D-4960-9707-1D0DE295C8F0}" name="SEMANA 4" dataDxfId="1"/>
    <tableColumn id="16" xr3:uid="{7637293F-FBAA-4236-8318-361A46F97D64}" name="TOTAL U" dataDxfId="0">
      <calculatedColumnFormula>SUM(sku_debutantes[[#This Row],[SEMANA 1]:[SEMANA 4]])</calculatedColumnFormula>
    </tableColumn>
    <tableColumn id="10" xr3:uid="{00000000-0010-0000-0000-00000A000000}" name="TOTAL $"/>
    <tableColumn id="11" xr3:uid="{00000000-0010-0000-0000-00000B000000}" name="STOCK"/>
    <tableColumn id="12" xr3:uid="{00000000-0010-0000-0000-00000C000000}" name="D/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topLeftCell="C1" workbookViewId="0">
      <selection activeCell="C8" sqref="C8"/>
    </sheetView>
  </sheetViews>
  <sheetFormatPr baseColWidth="10" defaultRowHeight="14.4" x14ac:dyDescent="0.3"/>
  <cols>
    <col min="2" max="2" width="16" customWidth="1"/>
    <col min="3" max="4" width="16.21875" bestFit="1" customWidth="1"/>
    <col min="5" max="5" width="34.88671875" bestFit="1" customWidth="1"/>
    <col min="6" max="6" width="15.21875" bestFit="1" customWidth="1"/>
    <col min="7" max="7" width="23" bestFit="1" customWidth="1"/>
    <col min="8" max="8" width="8.33203125" bestFit="1" customWidth="1"/>
    <col min="9" max="12" width="10" bestFit="1" customWidth="1"/>
    <col min="13" max="13" width="10" customWidth="1"/>
    <col min="15" max="15" width="9.88671875" bestFit="1" customWidth="1"/>
    <col min="16" max="17" width="7.88671875" customWidth="1"/>
  </cols>
  <sheetData>
    <row r="1" spans="1:16" ht="18" x14ac:dyDescent="0.35">
      <c r="A1" s="1" t="s">
        <v>0</v>
      </c>
    </row>
    <row r="3" spans="1:16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8" t="s">
        <v>103</v>
      </c>
      <c r="J3" s="8" t="s">
        <v>104</v>
      </c>
      <c r="K3" s="8" t="s">
        <v>105</v>
      </c>
      <c r="L3" s="8" t="s">
        <v>106</v>
      </c>
      <c r="M3" s="8" t="s">
        <v>107</v>
      </c>
      <c r="N3" s="8" t="s">
        <v>108</v>
      </c>
      <c r="O3" s="2" t="s">
        <v>10</v>
      </c>
      <c r="P3" s="2" t="s">
        <v>11</v>
      </c>
    </row>
    <row r="4" spans="1:16" x14ac:dyDescent="0.3">
      <c r="A4" s="5" t="s">
        <v>9</v>
      </c>
      <c r="B4" s="5"/>
      <c r="C4" s="5"/>
      <c r="D4" s="5"/>
      <c r="E4" s="5"/>
      <c r="F4" s="5"/>
      <c r="G4" s="5"/>
      <c r="H4" s="7"/>
      <c r="I4" s="6"/>
      <c r="J4" s="6"/>
      <c r="K4" s="6"/>
      <c r="L4" s="6"/>
      <c r="M4" s="6">
        <f>SUM(sku_debutantes[[#This Row],[SEMANA 1]:[SEMANA 4]])</f>
        <v>0</v>
      </c>
      <c r="N4" s="7">
        <f>SUM(N5:N34)</f>
        <v>0</v>
      </c>
      <c r="O4" s="6"/>
      <c r="P4" s="6"/>
    </row>
    <row r="5" spans="1:16" x14ac:dyDescent="0.3">
      <c r="A5" t="s">
        <v>12</v>
      </c>
      <c r="B5" t="s">
        <v>66</v>
      </c>
      <c r="C5" t="s">
        <v>67</v>
      </c>
      <c r="D5" t="s">
        <v>68</v>
      </c>
      <c r="E5" t="s">
        <v>69</v>
      </c>
      <c r="F5" t="s">
        <v>17</v>
      </c>
      <c r="G5" t="s">
        <v>18</v>
      </c>
      <c r="H5" s="4">
        <v>29990</v>
      </c>
      <c r="I5" s="3"/>
      <c r="J5" s="3"/>
      <c r="K5" s="3"/>
      <c r="L5" s="3"/>
      <c r="M5" s="3">
        <f>SUM(sku_debutantes[[#This Row],[SEMANA 1]:[SEMANA 4]])</f>
        <v>0</v>
      </c>
      <c r="N5" s="4">
        <f>sku_debutantes[[#This Row],[TOTAL U]]*sku_debutantes[[#This Row],[PRECIO]]</f>
        <v>0</v>
      </c>
      <c r="O5" s="3">
        <v>2</v>
      </c>
      <c r="P5" s="3" t="e">
        <f>sku_debutantes[[#This Row],[STOCK]]/AVERAGE(sku_debutantes[[#This Row],[SEMANA 1]:[SEMANA 4]])*7</f>
        <v>#DIV/0!</v>
      </c>
    </row>
    <row r="6" spans="1:16" x14ac:dyDescent="0.3">
      <c r="A6" t="s">
        <v>12</v>
      </c>
      <c r="B6" t="s">
        <v>13</v>
      </c>
      <c r="C6" t="s">
        <v>51</v>
      </c>
      <c r="D6" t="s">
        <v>52</v>
      </c>
      <c r="E6" t="s">
        <v>53</v>
      </c>
      <c r="F6" t="s">
        <v>17</v>
      </c>
      <c r="G6" t="s">
        <v>18</v>
      </c>
      <c r="H6" s="4">
        <v>89990</v>
      </c>
      <c r="I6" s="3"/>
      <c r="J6" s="3"/>
      <c r="K6" s="3"/>
      <c r="L6" s="3"/>
      <c r="M6" s="3">
        <f>SUM(sku_debutantes[[#This Row],[SEMANA 1]:[SEMANA 4]])</f>
        <v>0</v>
      </c>
      <c r="N6" s="4">
        <f>sku_debutantes[[#This Row],[TOTAL U]]*sku_debutantes[[#This Row],[PRECIO]]</f>
        <v>0</v>
      </c>
      <c r="O6" s="3">
        <v>8</v>
      </c>
      <c r="P6" s="3" t="e">
        <f>sku_debutantes[[#This Row],[STOCK]]/AVERAGE(sku_debutantes[[#This Row],[SEMANA 1]:[SEMANA 4]])*7</f>
        <v>#DIV/0!</v>
      </c>
    </row>
    <row r="7" spans="1:16" x14ac:dyDescent="0.3">
      <c r="A7" t="s">
        <v>24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s="4">
        <v>59990</v>
      </c>
      <c r="I7" s="3"/>
      <c r="J7" s="3"/>
      <c r="K7" s="3"/>
      <c r="L7" s="3"/>
      <c r="M7" s="3">
        <f>SUM(sku_debutantes[[#This Row],[SEMANA 1]:[SEMANA 4]])</f>
        <v>0</v>
      </c>
      <c r="N7" s="4">
        <f>sku_debutantes[[#This Row],[TOTAL U]]*sku_debutantes[[#This Row],[PRECIO]]</f>
        <v>0</v>
      </c>
      <c r="O7" s="3">
        <v>95</v>
      </c>
      <c r="P7" s="3" t="e">
        <f>sku_debutantes[[#This Row],[STOCK]]/AVERAGE(sku_debutantes[[#This Row],[SEMANA 1]:[SEMANA 4]])*7</f>
        <v>#DIV/0!</v>
      </c>
    </row>
    <row r="8" spans="1:16" x14ac:dyDescent="0.3">
      <c r="A8" t="s">
        <v>24</v>
      </c>
      <c r="B8" t="s">
        <v>30</v>
      </c>
      <c r="C8" t="s">
        <v>31</v>
      </c>
      <c r="D8" t="s">
        <v>36</v>
      </c>
      <c r="E8" t="s">
        <v>33</v>
      </c>
      <c r="F8" t="s">
        <v>34</v>
      </c>
      <c r="G8" t="s">
        <v>35</v>
      </c>
      <c r="H8" s="4">
        <v>59990</v>
      </c>
      <c r="I8" s="3"/>
      <c r="J8" s="3"/>
      <c r="K8" s="3"/>
      <c r="L8" s="3"/>
      <c r="M8" s="3">
        <f>SUM(sku_debutantes[[#This Row],[SEMANA 1]:[SEMANA 4]])</f>
        <v>0</v>
      </c>
      <c r="N8" s="4">
        <f>sku_debutantes[[#This Row],[TOTAL U]]*sku_debutantes[[#This Row],[PRECIO]]</f>
        <v>0</v>
      </c>
      <c r="O8" s="3">
        <v>96</v>
      </c>
      <c r="P8" s="3" t="e">
        <f>sku_debutantes[[#This Row],[STOCK]]/AVERAGE(sku_debutantes[[#This Row],[SEMANA 1]:[SEMANA 4]])*7</f>
        <v>#DIV/0!</v>
      </c>
    </row>
    <row r="9" spans="1:16" x14ac:dyDescent="0.3">
      <c r="A9" t="s">
        <v>24</v>
      </c>
      <c r="B9" t="s">
        <v>30</v>
      </c>
      <c r="C9" t="s">
        <v>31</v>
      </c>
      <c r="D9" t="s">
        <v>37</v>
      </c>
      <c r="E9" t="s">
        <v>33</v>
      </c>
      <c r="F9" t="s">
        <v>34</v>
      </c>
      <c r="G9" t="s">
        <v>21</v>
      </c>
      <c r="H9" s="4">
        <v>59990</v>
      </c>
      <c r="I9" s="3"/>
      <c r="J9" s="3"/>
      <c r="K9" s="3"/>
      <c r="L9" s="3"/>
      <c r="M9" s="3">
        <f>SUM(sku_debutantes[[#This Row],[SEMANA 1]:[SEMANA 4]])</f>
        <v>0</v>
      </c>
      <c r="N9" s="4">
        <f>sku_debutantes[[#This Row],[TOTAL U]]*sku_debutantes[[#This Row],[PRECIO]]</f>
        <v>0</v>
      </c>
      <c r="O9" s="3">
        <v>96</v>
      </c>
      <c r="P9" s="3" t="e">
        <f>sku_debutantes[[#This Row],[STOCK]]/AVERAGE(sku_debutantes[[#This Row],[SEMANA 1]:[SEMANA 4]])*7</f>
        <v>#DIV/0!</v>
      </c>
    </row>
    <row r="10" spans="1:16" x14ac:dyDescent="0.3">
      <c r="A10" t="s">
        <v>24</v>
      </c>
      <c r="B10" t="s">
        <v>30</v>
      </c>
      <c r="C10" t="s">
        <v>31</v>
      </c>
      <c r="D10" t="s">
        <v>44</v>
      </c>
      <c r="E10" t="s">
        <v>33</v>
      </c>
      <c r="F10" t="s">
        <v>34</v>
      </c>
      <c r="G10" t="s">
        <v>21</v>
      </c>
      <c r="H10" s="4">
        <v>59990</v>
      </c>
      <c r="I10" s="3"/>
      <c r="J10" s="3"/>
      <c r="K10" s="3"/>
      <c r="L10" s="3"/>
      <c r="M10" s="3">
        <f>SUM(sku_debutantes[[#This Row],[SEMANA 1]:[SEMANA 4]])</f>
        <v>0</v>
      </c>
      <c r="N10" s="4">
        <f>sku_debutantes[[#This Row],[TOTAL U]]*sku_debutantes[[#This Row],[PRECIO]]</f>
        <v>0</v>
      </c>
      <c r="O10" s="3">
        <v>97</v>
      </c>
      <c r="P10" s="3" t="e">
        <f>sku_debutantes[[#This Row],[STOCK]]/AVERAGE(sku_debutantes[[#This Row],[SEMANA 1]:[SEMANA 4]])*7</f>
        <v>#DIV/0!</v>
      </c>
    </row>
    <row r="11" spans="1:16" x14ac:dyDescent="0.3">
      <c r="A11" t="s">
        <v>24</v>
      </c>
      <c r="B11" t="s">
        <v>30</v>
      </c>
      <c r="C11" t="s">
        <v>31</v>
      </c>
      <c r="D11" t="s">
        <v>45</v>
      </c>
      <c r="E11" t="s">
        <v>33</v>
      </c>
      <c r="F11" t="s">
        <v>34</v>
      </c>
      <c r="G11" t="s">
        <v>21</v>
      </c>
      <c r="H11" s="4">
        <v>59990</v>
      </c>
      <c r="I11" s="3"/>
      <c r="J11" s="3"/>
      <c r="K11" s="3"/>
      <c r="L11" s="3"/>
      <c r="M11" s="3">
        <f>SUM(sku_debutantes[[#This Row],[SEMANA 1]:[SEMANA 4]])</f>
        <v>0</v>
      </c>
      <c r="N11" s="4">
        <f>sku_debutantes[[#This Row],[TOTAL U]]*sku_debutantes[[#This Row],[PRECIO]]</f>
        <v>0</v>
      </c>
      <c r="O11" s="3">
        <v>98</v>
      </c>
      <c r="P11" s="3" t="e">
        <f>sku_debutantes[[#This Row],[STOCK]]/AVERAGE(sku_debutantes[[#This Row],[SEMANA 1]:[SEMANA 4]])*7</f>
        <v>#DIV/0!</v>
      </c>
    </row>
    <row r="12" spans="1:16" x14ac:dyDescent="0.3">
      <c r="A12" t="s">
        <v>24</v>
      </c>
      <c r="B12" t="s">
        <v>30</v>
      </c>
      <c r="C12" t="s">
        <v>31</v>
      </c>
      <c r="D12" t="s">
        <v>54</v>
      </c>
      <c r="E12" t="s">
        <v>33</v>
      </c>
      <c r="F12" t="s">
        <v>34</v>
      </c>
      <c r="G12" t="s">
        <v>35</v>
      </c>
      <c r="H12" s="4">
        <v>59990</v>
      </c>
      <c r="I12" s="3"/>
      <c r="J12" s="3"/>
      <c r="K12" s="3"/>
      <c r="L12" s="3"/>
      <c r="M12" s="3">
        <f>SUM(sku_debutantes[[#This Row],[SEMANA 1]:[SEMANA 4]])</f>
        <v>0</v>
      </c>
      <c r="N12" s="4">
        <f>sku_debutantes[[#This Row],[TOTAL U]]*sku_debutantes[[#This Row],[PRECIO]]</f>
        <v>0</v>
      </c>
      <c r="O12" s="3">
        <v>99</v>
      </c>
      <c r="P12" s="3" t="e">
        <f>sku_debutantes[[#This Row],[STOCK]]/AVERAGE(sku_debutantes[[#This Row],[SEMANA 1]:[SEMANA 4]])*7</f>
        <v>#DIV/0!</v>
      </c>
    </row>
    <row r="13" spans="1:16" x14ac:dyDescent="0.3">
      <c r="A13" t="s">
        <v>24</v>
      </c>
      <c r="B13" t="s">
        <v>30</v>
      </c>
      <c r="C13" t="s">
        <v>31</v>
      </c>
      <c r="D13" t="s">
        <v>55</v>
      </c>
      <c r="E13" t="s">
        <v>33</v>
      </c>
      <c r="F13" t="s">
        <v>34</v>
      </c>
      <c r="G13" t="s">
        <v>56</v>
      </c>
      <c r="H13" s="4">
        <v>59990</v>
      </c>
      <c r="I13" s="3"/>
      <c r="J13" s="3"/>
      <c r="K13" s="3"/>
      <c r="L13" s="3"/>
      <c r="M13" s="3">
        <f>SUM(sku_debutantes[[#This Row],[SEMANA 1]:[SEMANA 4]])</f>
        <v>0</v>
      </c>
      <c r="N13" s="4">
        <f>sku_debutantes[[#This Row],[TOTAL U]]*sku_debutantes[[#This Row],[PRECIO]]</f>
        <v>0</v>
      </c>
      <c r="O13" s="3">
        <v>97</v>
      </c>
      <c r="P13" s="3" t="e">
        <f>sku_debutantes[[#This Row],[STOCK]]/AVERAGE(sku_debutantes[[#This Row],[SEMANA 1]:[SEMANA 4]])*7</f>
        <v>#DIV/0!</v>
      </c>
    </row>
    <row r="14" spans="1:16" x14ac:dyDescent="0.3">
      <c r="A14" t="s">
        <v>24</v>
      </c>
      <c r="B14" t="s">
        <v>30</v>
      </c>
      <c r="C14" t="s">
        <v>31</v>
      </c>
      <c r="D14" t="s">
        <v>57</v>
      </c>
      <c r="E14" t="s">
        <v>33</v>
      </c>
      <c r="F14" t="s">
        <v>34</v>
      </c>
      <c r="G14" t="s">
        <v>56</v>
      </c>
      <c r="H14" s="4">
        <v>59990</v>
      </c>
      <c r="I14" s="3"/>
      <c r="J14" s="3"/>
      <c r="K14" s="3"/>
      <c r="L14" s="3"/>
      <c r="M14" s="3">
        <f>SUM(sku_debutantes[[#This Row],[SEMANA 1]:[SEMANA 4]])</f>
        <v>0</v>
      </c>
      <c r="N14" s="4">
        <f>sku_debutantes[[#This Row],[TOTAL U]]*sku_debutantes[[#This Row],[PRECIO]]</f>
        <v>0</v>
      </c>
      <c r="O14" s="3">
        <v>98</v>
      </c>
      <c r="P14" s="3" t="e">
        <f>sku_debutantes[[#This Row],[STOCK]]/AVERAGE(sku_debutantes[[#This Row],[SEMANA 1]:[SEMANA 4]])*7</f>
        <v>#DIV/0!</v>
      </c>
    </row>
    <row r="15" spans="1:16" x14ac:dyDescent="0.3">
      <c r="A15" t="s">
        <v>12</v>
      </c>
      <c r="B15" t="s">
        <v>13</v>
      </c>
      <c r="C15" t="s">
        <v>40</v>
      </c>
      <c r="D15" t="s">
        <v>41</v>
      </c>
      <c r="E15" t="s">
        <v>42</v>
      </c>
      <c r="F15" t="s">
        <v>43</v>
      </c>
      <c r="G15" t="s">
        <v>29</v>
      </c>
      <c r="H15" s="4">
        <v>144990</v>
      </c>
      <c r="I15" s="3"/>
      <c r="J15" s="3"/>
      <c r="K15" s="3"/>
      <c r="L15" s="3"/>
      <c r="M15" s="3">
        <f>SUM(sku_debutantes[[#This Row],[SEMANA 1]:[SEMANA 4]])</f>
        <v>0</v>
      </c>
      <c r="N15" s="4">
        <f>sku_debutantes[[#This Row],[TOTAL U]]*sku_debutantes[[#This Row],[PRECIO]]</f>
        <v>0</v>
      </c>
      <c r="O15" s="3">
        <v>3</v>
      </c>
      <c r="P15" s="3" t="e">
        <f>sku_debutantes[[#This Row],[STOCK]]/AVERAGE(sku_debutantes[[#This Row],[SEMANA 1]:[SEMANA 4]])*7</f>
        <v>#DIV/0!</v>
      </c>
    </row>
    <row r="16" spans="1:16" x14ac:dyDescent="0.3">
      <c r="A16" t="s">
        <v>12</v>
      </c>
      <c r="B16" t="s">
        <v>58</v>
      </c>
      <c r="C16" t="s">
        <v>58</v>
      </c>
      <c r="D16" t="s">
        <v>59</v>
      </c>
      <c r="E16" t="s">
        <v>60</v>
      </c>
      <c r="F16" t="s">
        <v>17</v>
      </c>
      <c r="G16" t="s">
        <v>35</v>
      </c>
      <c r="H16" s="4">
        <v>41990</v>
      </c>
      <c r="I16" s="3"/>
      <c r="J16" s="3"/>
      <c r="K16" s="3"/>
      <c r="L16" s="3"/>
      <c r="M16" s="3">
        <f>SUM(sku_debutantes[[#This Row],[SEMANA 1]:[SEMANA 4]])</f>
        <v>0</v>
      </c>
      <c r="N16" s="4">
        <f>sku_debutantes[[#This Row],[TOTAL U]]*sku_debutantes[[#This Row],[PRECIO]]</f>
        <v>0</v>
      </c>
      <c r="O16" s="3">
        <v>5</v>
      </c>
      <c r="P16" s="3" t="e">
        <f>sku_debutantes[[#This Row],[STOCK]]/AVERAGE(sku_debutantes[[#This Row],[SEMANA 1]:[SEMANA 4]])*7</f>
        <v>#DIV/0!</v>
      </c>
    </row>
    <row r="17" spans="1:16" x14ac:dyDescent="0.3">
      <c r="A17" t="s">
        <v>12</v>
      </c>
      <c r="B17" t="s">
        <v>58</v>
      </c>
      <c r="C17" t="s">
        <v>58</v>
      </c>
      <c r="D17" t="s">
        <v>61</v>
      </c>
      <c r="E17" t="s">
        <v>60</v>
      </c>
      <c r="F17" t="s">
        <v>17</v>
      </c>
      <c r="G17" t="s">
        <v>62</v>
      </c>
      <c r="H17" s="4">
        <v>41990</v>
      </c>
      <c r="I17" s="3"/>
      <c r="J17" s="3"/>
      <c r="K17" s="3"/>
      <c r="L17" s="3"/>
      <c r="M17" s="3">
        <f>SUM(sku_debutantes[[#This Row],[SEMANA 1]:[SEMANA 4]])</f>
        <v>0</v>
      </c>
      <c r="N17" s="4">
        <f>sku_debutantes[[#This Row],[TOTAL U]]*sku_debutantes[[#This Row],[PRECIO]]</f>
        <v>0</v>
      </c>
      <c r="O17" s="3">
        <v>4</v>
      </c>
      <c r="P17" s="3" t="e">
        <f>sku_debutantes[[#This Row],[STOCK]]/AVERAGE(sku_debutantes[[#This Row],[SEMANA 1]:[SEMANA 4]])*7</f>
        <v>#DIV/0!</v>
      </c>
    </row>
    <row r="18" spans="1:16" x14ac:dyDescent="0.3">
      <c r="A18" t="s">
        <v>24</v>
      </c>
      <c r="B18" t="s">
        <v>30</v>
      </c>
      <c r="C18" t="s">
        <v>63</v>
      </c>
      <c r="D18" t="s">
        <v>64</v>
      </c>
      <c r="E18" t="s">
        <v>65</v>
      </c>
      <c r="F18" t="s">
        <v>34</v>
      </c>
      <c r="G18" t="s">
        <v>35</v>
      </c>
      <c r="H18" s="4">
        <v>36990</v>
      </c>
      <c r="I18" s="3"/>
      <c r="J18" s="3"/>
      <c r="K18" s="3"/>
      <c r="L18" s="3"/>
      <c r="M18" s="3">
        <f>SUM(sku_debutantes[[#This Row],[SEMANA 1]:[SEMANA 4]])</f>
        <v>0</v>
      </c>
      <c r="N18" s="4">
        <f>sku_debutantes[[#This Row],[TOTAL U]]*sku_debutantes[[#This Row],[PRECIO]]</f>
        <v>0</v>
      </c>
      <c r="O18" s="3">
        <v>148</v>
      </c>
      <c r="P18" s="3" t="e">
        <f>sku_debutantes[[#This Row],[STOCK]]/AVERAGE(sku_debutantes[[#This Row],[SEMANA 1]:[SEMANA 4]])*7</f>
        <v>#DIV/0!</v>
      </c>
    </row>
    <row r="19" spans="1:16" x14ac:dyDescent="0.3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 t="s">
        <v>75</v>
      </c>
      <c r="G19" t="s">
        <v>76</v>
      </c>
      <c r="H19" s="4">
        <v>4065</v>
      </c>
      <c r="I19" s="3"/>
      <c r="J19" s="3"/>
      <c r="K19" s="3"/>
      <c r="L19" s="3"/>
      <c r="M19" s="3">
        <f>SUM(sku_debutantes[[#This Row],[SEMANA 1]:[SEMANA 4]])</f>
        <v>0</v>
      </c>
      <c r="N19" s="4">
        <f>sku_debutantes[[#This Row],[TOTAL U]]*sku_debutantes[[#This Row],[PRECIO]]</f>
        <v>0</v>
      </c>
      <c r="O19" s="3">
        <v>588</v>
      </c>
      <c r="P19" s="3" t="e">
        <f>sku_debutantes[[#This Row],[STOCK]]/AVERAGE(sku_debutantes[[#This Row],[SEMANA 1]:[SEMANA 4]])*7</f>
        <v>#DIV/0!</v>
      </c>
    </row>
    <row r="20" spans="1:16" x14ac:dyDescent="0.3">
      <c r="A20" t="s">
        <v>70</v>
      </c>
      <c r="B20" t="s">
        <v>71</v>
      </c>
      <c r="C20" t="s">
        <v>72</v>
      </c>
      <c r="D20" t="s">
        <v>82</v>
      </c>
      <c r="E20" t="s">
        <v>74</v>
      </c>
      <c r="F20" t="s">
        <v>83</v>
      </c>
      <c r="G20" t="s">
        <v>84</v>
      </c>
      <c r="H20" s="4">
        <v>4642</v>
      </c>
      <c r="I20" s="3"/>
      <c r="J20" s="3"/>
      <c r="K20" s="3"/>
      <c r="L20" s="3"/>
      <c r="M20" s="3">
        <f>SUM(sku_debutantes[[#This Row],[SEMANA 1]:[SEMANA 4]])</f>
        <v>0</v>
      </c>
      <c r="N20" s="4">
        <f>sku_debutantes[[#This Row],[TOTAL U]]*sku_debutantes[[#This Row],[PRECIO]]</f>
        <v>0</v>
      </c>
      <c r="O20" s="3">
        <v>585</v>
      </c>
      <c r="P20" s="3" t="e">
        <f>sku_debutantes[[#This Row],[STOCK]]/AVERAGE(sku_debutantes[[#This Row],[SEMANA 1]:[SEMANA 4]])*7</f>
        <v>#DIV/0!</v>
      </c>
    </row>
    <row r="21" spans="1:16" x14ac:dyDescent="0.3">
      <c r="A21" t="s">
        <v>70</v>
      </c>
      <c r="B21" t="s">
        <v>71</v>
      </c>
      <c r="C21" t="s">
        <v>72</v>
      </c>
      <c r="D21" t="s">
        <v>85</v>
      </c>
      <c r="E21" t="s">
        <v>74</v>
      </c>
      <c r="F21" t="s">
        <v>86</v>
      </c>
      <c r="G21" t="s">
        <v>87</v>
      </c>
      <c r="H21" s="4">
        <v>4396</v>
      </c>
      <c r="I21" s="3"/>
      <c r="J21" s="3"/>
      <c r="K21" s="3"/>
      <c r="L21" s="3"/>
      <c r="M21" s="3">
        <f>SUM(sku_debutantes[[#This Row],[SEMANA 1]:[SEMANA 4]])</f>
        <v>0</v>
      </c>
      <c r="N21" s="4">
        <f>sku_debutantes[[#This Row],[TOTAL U]]*sku_debutantes[[#This Row],[PRECIO]]</f>
        <v>0</v>
      </c>
      <c r="O21" s="3">
        <v>290</v>
      </c>
      <c r="P21" s="3" t="e">
        <f>sku_debutantes[[#This Row],[STOCK]]/AVERAGE(sku_debutantes[[#This Row],[SEMANA 1]:[SEMANA 4]])*7</f>
        <v>#DIV/0!</v>
      </c>
    </row>
    <row r="22" spans="1:16" x14ac:dyDescent="0.3">
      <c r="A22" t="s">
        <v>70</v>
      </c>
      <c r="B22" t="s">
        <v>71</v>
      </c>
      <c r="C22" t="s">
        <v>72</v>
      </c>
      <c r="D22" t="s">
        <v>88</v>
      </c>
      <c r="E22" t="s">
        <v>74</v>
      </c>
      <c r="F22" t="s">
        <v>86</v>
      </c>
      <c r="G22" t="s">
        <v>89</v>
      </c>
      <c r="H22" s="4">
        <v>4048</v>
      </c>
      <c r="I22" s="3"/>
      <c r="J22" s="3"/>
      <c r="K22" s="3"/>
      <c r="L22" s="3"/>
      <c r="M22" s="3">
        <f>SUM(sku_debutantes[[#This Row],[SEMANA 1]:[SEMANA 4]])</f>
        <v>0</v>
      </c>
      <c r="N22" s="4">
        <f>sku_debutantes[[#This Row],[TOTAL U]]*sku_debutantes[[#This Row],[PRECIO]]</f>
        <v>0</v>
      </c>
      <c r="O22" s="3">
        <v>293</v>
      </c>
      <c r="P22" s="3" t="e">
        <f>sku_debutantes[[#This Row],[STOCK]]/AVERAGE(sku_debutantes[[#This Row],[SEMANA 1]:[SEMANA 4]])*7</f>
        <v>#DIV/0!</v>
      </c>
    </row>
    <row r="23" spans="1:16" x14ac:dyDescent="0.3">
      <c r="A23" t="s">
        <v>70</v>
      </c>
      <c r="B23" t="s">
        <v>71</v>
      </c>
      <c r="C23" t="s">
        <v>72</v>
      </c>
      <c r="D23" t="s">
        <v>90</v>
      </c>
      <c r="E23" t="s">
        <v>74</v>
      </c>
      <c r="F23" t="s">
        <v>83</v>
      </c>
      <c r="G23" t="s">
        <v>91</v>
      </c>
      <c r="H23" s="4">
        <v>4308</v>
      </c>
      <c r="I23" s="3"/>
      <c r="J23" s="3"/>
      <c r="K23" s="3"/>
      <c r="L23" s="3"/>
      <c r="M23" s="3">
        <f>SUM(sku_debutantes[[#This Row],[SEMANA 1]:[SEMANA 4]])</f>
        <v>0</v>
      </c>
      <c r="N23" s="4">
        <f>sku_debutantes[[#This Row],[TOTAL U]]*sku_debutantes[[#This Row],[PRECIO]]</f>
        <v>0</v>
      </c>
      <c r="O23" s="3">
        <v>590</v>
      </c>
      <c r="P23" s="3" t="e">
        <f>sku_debutantes[[#This Row],[STOCK]]/AVERAGE(sku_debutantes[[#This Row],[SEMANA 1]:[SEMANA 4]])*7</f>
        <v>#DIV/0!</v>
      </c>
    </row>
    <row r="24" spans="1:16" x14ac:dyDescent="0.3">
      <c r="A24" t="s">
        <v>70</v>
      </c>
      <c r="B24" t="s">
        <v>71</v>
      </c>
      <c r="C24" t="s">
        <v>72</v>
      </c>
      <c r="D24" t="s">
        <v>98</v>
      </c>
      <c r="E24" t="s">
        <v>74</v>
      </c>
      <c r="F24" t="s">
        <v>75</v>
      </c>
      <c r="G24" t="s">
        <v>99</v>
      </c>
      <c r="H24" s="4">
        <v>4330</v>
      </c>
      <c r="I24" s="3"/>
      <c r="J24" s="3"/>
      <c r="K24" s="3"/>
      <c r="L24" s="3"/>
      <c r="M24" s="3">
        <f>SUM(sku_debutantes[[#This Row],[SEMANA 1]:[SEMANA 4]])</f>
        <v>0</v>
      </c>
      <c r="N24" s="4">
        <f>sku_debutantes[[#This Row],[TOTAL U]]*sku_debutantes[[#This Row],[PRECIO]]</f>
        <v>0</v>
      </c>
      <c r="O24" s="3">
        <v>592</v>
      </c>
      <c r="P24" s="3" t="e">
        <f>sku_debutantes[[#This Row],[STOCK]]/AVERAGE(sku_debutantes[[#This Row],[SEMANA 1]:[SEMANA 4]])*7</f>
        <v>#DIV/0!</v>
      </c>
    </row>
    <row r="25" spans="1:16" x14ac:dyDescent="0.3">
      <c r="A25" t="s">
        <v>24</v>
      </c>
      <c r="B25" t="s">
        <v>13</v>
      </c>
      <c r="C25" t="s">
        <v>25</v>
      </c>
      <c r="D25" t="s">
        <v>26</v>
      </c>
      <c r="E25" t="s">
        <v>27</v>
      </c>
      <c r="F25" t="s">
        <v>28</v>
      </c>
      <c r="G25" t="s">
        <v>29</v>
      </c>
      <c r="H25" s="4">
        <v>69990</v>
      </c>
      <c r="I25" s="3"/>
      <c r="J25" s="3"/>
      <c r="K25" s="3"/>
      <c r="L25" s="3"/>
      <c r="M25" s="3">
        <f>SUM(sku_debutantes[[#This Row],[SEMANA 1]:[SEMANA 4]])</f>
        <v>0</v>
      </c>
      <c r="N25" s="4">
        <f>sku_debutantes[[#This Row],[TOTAL U]]*sku_debutantes[[#This Row],[PRECIO]]</f>
        <v>0</v>
      </c>
      <c r="O25" s="3">
        <v>73</v>
      </c>
      <c r="P25" s="3" t="e">
        <f>sku_debutantes[[#This Row],[STOCK]]/AVERAGE(sku_debutantes[[#This Row],[SEMANA 1]:[SEMANA 4]])*7</f>
        <v>#DIV/0!</v>
      </c>
    </row>
    <row r="26" spans="1:16" x14ac:dyDescent="0.3">
      <c r="A26" t="s">
        <v>24</v>
      </c>
      <c r="B26" t="s">
        <v>13</v>
      </c>
      <c r="C26" t="s">
        <v>25</v>
      </c>
      <c r="D26" t="s">
        <v>46</v>
      </c>
      <c r="E26" t="s">
        <v>47</v>
      </c>
      <c r="F26" t="s">
        <v>28</v>
      </c>
      <c r="G26" t="s">
        <v>48</v>
      </c>
      <c r="H26" s="4">
        <v>109990</v>
      </c>
      <c r="I26" s="3"/>
      <c r="J26" s="3"/>
      <c r="K26" s="3"/>
      <c r="L26" s="3"/>
      <c r="M26" s="3">
        <f>SUM(sku_debutantes[[#This Row],[SEMANA 1]:[SEMANA 4]])</f>
        <v>0</v>
      </c>
      <c r="N26" s="4">
        <f>sku_debutantes[[#This Row],[TOTAL U]]*sku_debutantes[[#This Row],[PRECIO]]</f>
        <v>0</v>
      </c>
      <c r="O26" s="3">
        <v>3</v>
      </c>
      <c r="P26" s="3" t="e">
        <f>sku_debutantes[[#This Row],[STOCK]]/AVERAGE(sku_debutantes[[#This Row],[SEMANA 1]:[SEMANA 4]])*7</f>
        <v>#DIV/0!</v>
      </c>
    </row>
    <row r="27" spans="1:16" x14ac:dyDescent="0.3">
      <c r="A27" t="s">
        <v>24</v>
      </c>
      <c r="B27" t="s">
        <v>13</v>
      </c>
      <c r="C27" t="s">
        <v>25</v>
      </c>
      <c r="D27" t="s">
        <v>38</v>
      </c>
      <c r="E27" t="s">
        <v>39</v>
      </c>
      <c r="F27" t="s">
        <v>28</v>
      </c>
      <c r="G27" t="s">
        <v>29</v>
      </c>
      <c r="H27" s="4">
        <v>84990</v>
      </c>
      <c r="I27" s="3"/>
      <c r="J27" s="3"/>
      <c r="K27" s="3"/>
      <c r="L27" s="3"/>
      <c r="M27" s="3">
        <f>SUM(sku_debutantes[[#This Row],[SEMANA 1]:[SEMANA 4]])</f>
        <v>0</v>
      </c>
      <c r="N27" s="4">
        <f>sku_debutantes[[#This Row],[TOTAL U]]*sku_debutantes[[#This Row],[PRECIO]]</f>
        <v>0</v>
      </c>
      <c r="O27" s="3">
        <v>63</v>
      </c>
      <c r="P27" s="3" t="e">
        <f>sku_debutantes[[#This Row],[STOCK]]/AVERAGE(sku_debutantes[[#This Row],[SEMANA 1]:[SEMANA 4]])*7</f>
        <v>#DIV/0!</v>
      </c>
    </row>
    <row r="28" spans="1:16" x14ac:dyDescent="0.3">
      <c r="A28" t="s">
        <v>12</v>
      </c>
      <c r="B28" t="s">
        <v>92</v>
      </c>
      <c r="C28" t="s">
        <v>100</v>
      </c>
      <c r="D28" t="s">
        <v>101</v>
      </c>
      <c r="E28" t="s">
        <v>102</v>
      </c>
      <c r="F28" t="s">
        <v>96</v>
      </c>
      <c r="G28" t="s">
        <v>97</v>
      </c>
      <c r="H28" s="4">
        <v>12990</v>
      </c>
      <c r="I28" s="3"/>
      <c r="J28" s="3"/>
      <c r="K28" s="3"/>
      <c r="L28" s="3"/>
      <c r="M28" s="3">
        <f>SUM(sku_debutantes[[#This Row],[SEMANA 1]:[SEMANA 4]])</f>
        <v>0</v>
      </c>
      <c r="N28" s="4">
        <f>sku_debutantes[[#This Row],[TOTAL U]]*sku_debutantes[[#This Row],[PRECIO]]</f>
        <v>0</v>
      </c>
      <c r="O28" s="3">
        <v>2</v>
      </c>
      <c r="P28" s="3" t="e">
        <f>sku_debutantes[[#This Row],[STOCK]]/AVERAGE(sku_debutantes[[#This Row],[SEMANA 1]:[SEMANA 4]])*7</f>
        <v>#DIV/0!</v>
      </c>
    </row>
    <row r="29" spans="1:16" x14ac:dyDescent="0.3">
      <c r="A29" t="s">
        <v>12</v>
      </c>
      <c r="B29" t="s">
        <v>92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s="4">
        <v>15990</v>
      </c>
      <c r="I29" s="3"/>
      <c r="J29" s="3"/>
      <c r="K29" s="3"/>
      <c r="L29" s="3"/>
      <c r="M29" s="3">
        <f>SUM(sku_debutantes[[#This Row],[SEMANA 1]:[SEMANA 4]])</f>
        <v>0</v>
      </c>
      <c r="N29" s="4">
        <f>sku_debutantes[[#This Row],[TOTAL U]]*sku_debutantes[[#This Row],[PRECIO]]</f>
        <v>0</v>
      </c>
      <c r="O29" s="3">
        <v>3</v>
      </c>
      <c r="P29" s="3" t="e">
        <f>sku_debutantes[[#This Row],[STOCK]]/AVERAGE(sku_debutantes[[#This Row],[SEMANA 1]:[SEMANA 4]])*7</f>
        <v>#DIV/0!</v>
      </c>
    </row>
    <row r="30" spans="1:16" x14ac:dyDescent="0.3">
      <c r="A30" t="s">
        <v>12</v>
      </c>
      <c r="B30" t="s">
        <v>30</v>
      </c>
      <c r="C30" t="s">
        <v>77</v>
      </c>
      <c r="D30" t="s">
        <v>78</v>
      </c>
      <c r="E30" t="s">
        <v>79</v>
      </c>
      <c r="F30" t="s">
        <v>80</v>
      </c>
      <c r="G30" t="s">
        <v>81</v>
      </c>
      <c r="H30" s="4">
        <v>23990</v>
      </c>
      <c r="I30" s="3"/>
      <c r="J30" s="3"/>
      <c r="K30" s="3"/>
      <c r="L30" s="3"/>
      <c r="M30" s="3">
        <f>SUM(sku_debutantes[[#This Row],[SEMANA 1]:[SEMANA 4]])</f>
        <v>0</v>
      </c>
      <c r="N30" s="4">
        <f>sku_debutantes[[#This Row],[TOTAL U]]*sku_debutantes[[#This Row],[PRECIO]]</f>
        <v>0</v>
      </c>
      <c r="O30" s="3">
        <v>0</v>
      </c>
      <c r="P30" s="3" t="e">
        <f>sku_debutantes[[#This Row],[STOCK]]/AVERAGE(sku_debutantes[[#This Row],[SEMANA 1]:[SEMANA 4]])*7</f>
        <v>#DIV/0!</v>
      </c>
    </row>
    <row r="31" spans="1:16" x14ac:dyDescent="0.3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s="4">
        <v>99990</v>
      </c>
      <c r="I31" s="3"/>
      <c r="J31" s="3"/>
      <c r="K31" s="3"/>
      <c r="L31" s="3"/>
      <c r="M31" s="3">
        <f>SUM(sku_debutantes[[#This Row],[SEMANA 1]:[SEMANA 4]])</f>
        <v>0</v>
      </c>
      <c r="N31" s="4">
        <f>sku_debutantes[[#This Row],[TOTAL U]]*sku_debutantes[[#This Row],[PRECIO]]</f>
        <v>0</v>
      </c>
      <c r="O31" s="3">
        <v>7</v>
      </c>
      <c r="P31" s="3" t="e">
        <f>sku_debutantes[[#This Row],[STOCK]]/AVERAGE(sku_debutantes[[#This Row],[SEMANA 1]:[SEMANA 4]])*7</f>
        <v>#DIV/0!</v>
      </c>
    </row>
    <row r="32" spans="1:16" x14ac:dyDescent="0.3">
      <c r="A32" t="s">
        <v>12</v>
      </c>
      <c r="B32" t="s">
        <v>13</v>
      </c>
      <c r="C32" t="s">
        <v>14</v>
      </c>
      <c r="D32" t="s">
        <v>19</v>
      </c>
      <c r="E32" t="s">
        <v>16</v>
      </c>
      <c r="F32" t="s">
        <v>20</v>
      </c>
      <c r="G32" t="s">
        <v>21</v>
      </c>
      <c r="H32" s="4">
        <v>99990</v>
      </c>
      <c r="I32" s="3"/>
      <c r="J32" s="3"/>
      <c r="K32" s="3"/>
      <c r="L32" s="3"/>
      <c r="M32" s="3">
        <f>SUM(sku_debutantes[[#This Row],[SEMANA 1]:[SEMANA 4]])</f>
        <v>0</v>
      </c>
      <c r="N32" s="4">
        <f>sku_debutantes[[#This Row],[TOTAL U]]*sku_debutantes[[#This Row],[PRECIO]]</f>
        <v>0</v>
      </c>
      <c r="O32" s="3">
        <v>9</v>
      </c>
      <c r="P32" s="3" t="e">
        <f>sku_debutantes[[#This Row],[STOCK]]/AVERAGE(sku_debutantes[[#This Row],[SEMANA 1]:[SEMANA 4]])*7</f>
        <v>#DIV/0!</v>
      </c>
    </row>
    <row r="33" spans="1:16" x14ac:dyDescent="0.3">
      <c r="A33" t="s">
        <v>12</v>
      </c>
      <c r="B33" t="s">
        <v>13</v>
      </c>
      <c r="C33" t="s">
        <v>14</v>
      </c>
      <c r="D33" t="s">
        <v>22</v>
      </c>
      <c r="E33" t="s">
        <v>16</v>
      </c>
      <c r="F33" t="s">
        <v>17</v>
      </c>
      <c r="G33" t="s">
        <v>23</v>
      </c>
      <c r="H33" s="4">
        <v>99990</v>
      </c>
      <c r="I33" s="3"/>
      <c r="J33" s="3"/>
      <c r="K33" s="3"/>
      <c r="L33" s="3"/>
      <c r="M33" s="3">
        <f>SUM(sku_debutantes[[#This Row],[SEMANA 1]:[SEMANA 4]])</f>
        <v>0</v>
      </c>
      <c r="N33" s="4">
        <f>sku_debutantes[[#This Row],[TOTAL U]]*sku_debutantes[[#This Row],[PRECIO]]</f>
        <v>0</v>
      </c>
      <c r="O33" s="3">
        <v>9</v>
      </c>
      <c r="P33" s="3" t="e">
        <f>sku_debutantes[[#This Row],[STOCK]]/AVERAGE(sku_debutantes[[#This Row],[SEMANA 1]:[SEMANA 4]])*7</f>
        <v>#DIV/0!</v>
      </c>
    </row>
    <row r="34" spans="1:16" x14ac:dyDescent="0.3">
      <c r="A34" t="s">
        <v>12</v>
      </c>
      <c r="B34" t="s">
        <v>13</v>
      </c>
      <c r="C34" t="s">
        <v>14</v>
      </c>
      <c r="D34" t="s">
        <v>49</v>
      </c>
      <c r="E34" t="s">
        <v>16</v>
      </c>
      <c r="F34" t="s">
        <v>20</v>
      </c>
      <c r="G34" t="s">
        <v>50</v>
      </c>
      <c r="H34" s="4">
        <v>99990</v>
      </c>
      <c r="I34" s="3"/>
      <c r="J34" s="3"/>
      <c r="K34" s="3"/>
      <c r="L34" s="3"/>
      <c r="M34" s="3">
        <f>SUM(sku_debutantes[[#This Row],[SEMANA 1]:[SEMANA 4]])</f>
        <v>0</v>
      </c>
      <c r="N34" s="4">
        <f>sku_debutantes[[#This Row],[TOTAL U]]*sku_debutantes[[#This Row],[PRECIO]]</f>
        <v>0</v>
      </c>
      <c r="O34" s="3">
        <v>9</v>
      </c>
      <c r="P34" s="3" t="e">
        <f>sku_debutantes[[#This Row],[STOCK]]/AVERAGE(sku_debutantes[[#This Row],[SEMANA 1]:[SEMANA 4]])*7</f>
        <v>#DIV/0!</v>
      </c>
    </row>
  </sheetData>
  <phoneticPr fontId="6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SKU debutantes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Rocío Martínez</cp:lastModifiedBy>
  <dcterms:created xsi:type="dcterms:W3CDTF">2025-06-18T13:56:41Z</dcterms:created>
  <dcterms:modified xsi:type="dcterms:W3CDTF">2025-06-27T13:25:02Z</dcterms:modified>
</cp:coreProperties>
</file>