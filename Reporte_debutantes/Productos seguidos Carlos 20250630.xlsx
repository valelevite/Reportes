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9200" windowHeight="6930"/>
  </bookViews>
  <sheets>
    <sheet name="Sheet 1" sheetId="1" r:id="rId1"/>
    <sheet name="tabla nacionalidad" sheetId="2" r:id="rId2"/>
  </sheets>
  <definedNames>
    <definedName name="_xlnm.Print_Area" localSheetId="0">'Sheet 1'!$A$1:$G$47</definedName>
  </definedNames>
  <calcPr calcId="162913"/>
</workbook>
</file>

<file path=xl/calcChain.xml><?xml version="1.0" encoding="utf-8"?>
<calcChain xmlns="http://schemas.openxmlformats.org/spreadsheetml/2006/main">
  <c r="D21" i="2" l="1"/>
  <c r="D22" i="2"/>
  <c r="D23" i="2"/>
  <c r="D24" i="2"/>
  <c r="D25" i="2"/>
  <c r="D26" i="2"/>
  <c r="D27" i="2"/>
  <c r="D28" i="2"/>
  <c r="D20" i="2"/>
  <c r="D13" i="2"/>
  <c r="D14" i="2"/>
  <c r="D15" i="2"/>
  <c r="D16" i="2"/>
  <c r="D17" i="2"/>
  <c r="D18" i="2"/>
  <c r="D19" i="2"/>
  <c r="D12" i="2"/>
  <c r="D3" i="2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<sst xmlns="http://schemas.openxmlformats.org/spreadsheetml/2006/main" count="86" uniqueCount="36">
  <si>
    <t>CATEGORIA</t>
  </si>
  <si>
    <t>MEDIAS</t>
  </si>
  <si>
    <t>MOCHILA TECH</t>
  </si>
  <si>
    <t>REMERA</t>
  </si>
  <si>
    <t>Diciembre</t>
  </si>
  <si>
    <t>Enero</t>
  </si>
  <si>
    <t>Febrero</t>
  </si>
  <si>
    <t>Marzo</t>
  </si>
  <si>
    <t>Abril</t>
  </si>
  <si>
    <t>Mayo</t>
  </si>
  <si>
    <t>Participación</t>
  </si>
  <si>
    <t>REMERAS PIMA</t>
  </si>
  <si>
    <t>MOCHILAS TECH</t>
  </si>
  <si>
    <t>SEGUIMIENTO DE PRODUCTOS SELECCIONADOS</t>
  </si>
  <si>
    <t>NACIONALIDAD</t>
  </si>
  <si>
    <t>Total</t>
  </si>
  <si>
    <t>%</t>
  </si>
  <si>
    <t>Argentina</t>
  </si>
  <si>
    <t>USA</t>
  </si>
  <si>
    <t>Colombia</t>
  </si>
  <si>
    <t>Francia</t>
  </si>
  <si>
    <t>México</t>
  </si>
  <si>
    <t>Brasil</t>
  </si>
  <si>
    <t>Italia</t>
  </si>
  <si>
    <t>Uruguay</t>
  </si>
  <si>
    <t>Costa Rica</t>
  </si>
  <si>
    <t>Perú</t>
  </si>
  <si>
    <t>Mes</t>
  </si>
  <si>
    <t>Cantidad</t>
  </si>
  <si>
    <t>Junio</t>
  </si>
  <si>
    <t>Emiratos Árabes Unidos</t>
  </si>
  <si>
    <t>Venezuela</t>
  </si>
  <si>
    <t>Canadá</t>
  </si>
  <si>
    <t>Otros</t>
  </si>
  <si>
    <t>Rusia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</si>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</sst>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9" fontId="0" fillId="0" borderId="0" xfId="1" applyNumberFormat="1" applyFont="1"/>
    <xf numFmtId="9" fontId="0" fillId="0" borderId="0" xfId="0" applyNumberForma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08017179670732E-2"/>
          <c:y val="0.10852486793581183"/>
          <c:w val="0.48857712629263378"/>
          <c:h val="0.782949955523342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4-49D1-9478-A712C4551B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4-49D1-9478-A712C4551BA8}"/>
              </c:ext>
            </c:extLst>
          </c:dPt>
          <c:dPt>
            <c:idx val="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4-49D1-9478-A712C4551BA8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4-49D1-9478-A712C4551B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C4-49D1-9478-A712C4551BA8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C4-49D1-9478-A712C4551B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C4-49D1-9478-A712C4551B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FF8-40C1-A521-01DA9D21DC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F8-40C1-A521-01DA9D21DC16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FF8-40C1-A521-01DA9D21DC16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7147102526003"/>
                      <c:h val="0.125523012552301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DC4-49D1-9478-A712C4551BA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C4-49D1-9478-A712C4551BA8}"/>
                </c:ext>
              </c:extLst>
            </c:dLbl>
            <c:dLbl>
              <c:idx val="2"/>
              <c:layout>
                <c:manualLayout>
                  <c:x val="-6.937007874015748E-3"/>
                  <c:y val="2.49665601423253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C4-49D1-9478-A712C4551BA8}"/>
                </c:ext>
              </c:extLst>
            </c:dLbl>
            <c:dLbl>
              <c:idx val="3"/>
              <c:layout>
                <c:manualLayout>
                  <c:x val="-3.5123478883321404E-3"/>
                  <c:y val="1.38813296873455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C4-49D1-9478-A712C4551BA8}"/>
                </c:ext>
              </c:extLst>
            </c:dLbl>
            <c:dLbl>
              <c:idx val="4"/>
              <c:layout>
                <c:manualLayout>
                  <c:x val="-1.8181818181818181E-2"/>
                  <c:y val="3.429644516192798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13761632068721"/>
                      <c:h val="6.06694560669456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DC4-49D1-9478-A712C4551BA8}"/>
                </c:ext>
              </c:extLst>
            </c:dLbl>
            <c:dLbl>
              <c:idx val="5"/>
              <c:layout>
                <c:manualLayout>
                  <c:x val="-4.5454545454545452E-3"/>
                  <c:y val="-5.857740585774059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125000000000001"/>
                      <c:h val="4.81171548117154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DC4-49D1-9478-A712C4551BA8}"/>
                </c:ext>
              </c:extLst>
            </c:dLbl>
            <c:dLbl>
              <c:idx val="6"/>
              <c:layout>
                <c:manualLayout>
                  <c:x val="-2.2727272727273559E-3"/>
                  <c:y val="-3.18650545250881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93181818181818"/>
                      <c:h val="4.39330543933054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CDC4-49D1-9478-A712C4551BA8}"/>
                </c:ext>
              </c:extLst>
            </c:dLbl>
            <c:dLbl>
              <c:idx val="7"/>
              <c:layout>
                <c:manualLayout>
                  <c:x val="-1.6666474134135262E-16"/>
                  <c:y val="3.290943234606134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95454545454546"/>
                      <c:h val="4.91631799163179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FF8-40C1-A521-01DA9D21DC16}"/>
                </c:ext>
              </c:extLst>
            </c:dLbl>
            <c:dLbl>
              <c:idx val="8"/>
              <c:layout>
                <c:manualLayout>
                  <c:x val="6.8181818181817346E-3"/>
                  <c:y val="1.89355253187493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97727272727272"/>
                      <c:h val="4.39330543933054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FF8-40C1-A521-01DA9D21DC16}"/>
                </c:ext>
              </c:extLst>
            </c:dLbl>
            <c:dLbl>
              <c:idx val="9"/>
              <c:layout>
                <c:manualLayout>
                  <c:x val="-0.11646510379384395"/>
                  <c:y val="-5.77307020722828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FF8-40C1-A521-01DA9D21DC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nacionalidad'!$B$2:$B$11</c:f>
              <c:strCache>
                <c:ptCount val="10"/>
                <c:pt idx="0">
                  <c:v>Argentina</c:v>
                </c:pt>
                <c:pt idx="1">
                  <c:v>USA</c:v>
                </c:pt>
                <c:pt idx="2">
                  <c:v>Brasil</c:v>
                </c:pt>
                <c:pt idx="3">
                  <c:v>México</c:v>
                </c:pt>
                <c:pt idx="4">
                  <c:v>Emiratos Árabes Unidos</c:v>
                </c:pt>
                <c:pt idx="5">
                  <c:v>Francia</c:v>
                </c:pt>
                <c:pt idx="6">
                  <c:v>Venezuela</c:v>
                </c:pt>
                <c:pt idx="7">
                  <c:v>Canadá</c:v>
                </c:pt>
                <c:pt idx="8">
                  <c:v>Perú</c:v>
                </c:pt>
                <c:pt idx="9">
                  <c:v>Otros</c:v>
                </c:pt>
              </c:strCache>
            </c:strRef>
          </c:cat>
          <c:val>
            <c:numRef>
              <c:f>'tabla nacionalidad'!$D$2:$D$11</c:f>
              <c:numCache>
                <c:formatCode>0%</c:formatCode>
                <c:ptCount val="10"/>
                <c:pt idx="0">
                  <c:v>0.67149758454106279</c:v>
                </c:pt>
                <c:pt idx="1">
                  <c:v>8.9371980676328497E-2</c:v>
                </c:pt>
                <c:pt idx="2">
                  <c:v>5.7971014492753624E-2</c:v>
                </c:pt>
                <c:pt idx="3">
                  <c:v>5.0724637681159424E-2</c:v>
                </c:pt>
                <c:pt idx="4">
                  <c:v>2.4154589371980676E-2</c:v>
                </c:pt>
                <c:pt idx="5">
                  <c:v>1.4492753623188406E-2</c:v>
                </c:pt>
                <c:pt idx="6">
                  <c:v>1.4492753623188406E-2</c:v>
                </c:pt>
                <c:pt idx="7">
                  <c:v>9.6618357487922701E-3</c:v>
                </c:pt>
                <c:pt idx="8">
                  <c:v>9.6618357487922701E-3</c:v>
                </c:pt>
                <c:pt idx="9">
                  <c:v>5.7971014492753624E-2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4-49D1-9478-A712C455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7993584135316"/>
          <c:y val="0.10846070483172751"/>
          <c:w val="0.53395114072279426"/>
          <c:h val="0.783078590336545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E-413E-9821-654AC26E1B0D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E-413E-9821-654AC26E1B0D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FE-413E-9821-654AC26E1B0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FE-413E-9821-654AC26E1B0D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FE-413E-9821-654AC26E1B0D}"/>
              </c:ext>
            </c:extLst>
          </c:dPt>
          <c:dPt>
            <c:idx val="5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FE-413E-9821-654AC26E1B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FE-413E-9821-654AC26E1B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B11-4B33-A798-A82EFA435A49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72079772079774"/>
                      <c:h val="0.124223602484472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4FE-413E-9821-654AC26E1B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FE-413E-9821-654AC26E1B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FE-413E-9821-654AC26E1B0D}"/>
                </c:ext>
              </c:extLst>
            </c:dLbl>
            <c:dLbl>
              <c:idx val="3"/>
              <c:layout>
                <c:manualLayout>
                  <c:x val="1.1516028445162304E-3"/>
                  <c:y val="7.371904598881699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4FE-413E-9821-654AC26E1B0D}"/>
                </c:ext>
              </c:extLst>
            </c:dLbl>
            <c:dLbl>
              <c:idx val="4"/>
              <c:layout>
                <c:manualLayout>
                  <c:x val="-1.0386410032079324E-2"/>
                  <c:y val="1.15736619879036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4FE-413E-9821-654AC26E1B0D}"/>
                </c:ext>
              </c:extLst>
            </c:dLbl>
            <c:dLbl>
              <c:idx val="5"/>
              <c:layout>
                <c:manualLayout>
                  <c:x val="-3.5686564820424133E-3"/>
                  <c:y val="-1.37200241274188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4FE-413E-9821-654AC26E1B0D}"/>
                </c:ext>
              </c:extLst>
            </c:dLbl>
            <c:dLbl>
              <c:idx val="7"/>
              <c:layout>
                <c:manualLayout>
                  <c:x val="-2.8490028490028491E-2"/>
                  <c:y val="-8.5851225118599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82051282051283"/>
                      <c:h val="6.83229813664596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DB11-4B33-A798-A82EFA435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nacionalidad'!$B$12:$B$19</c:f>
              <c:strCache>
                <c:ptCount val="8"/>
                <c:pt idx="0">
                  <c:v>Argentina</c:v>
                </c:pt>
                <c:pt idx="1">
                  <c:v>Brasil</c:v>
                </c:pt>
                <c:pt idx="2">
                  <c:v>USA</c:v>
                </c:pt>
                <c:pt idx="3">
                  <c:v>Italia</c:v>
                </c:pt>
                <c:pt idx="4">
                  <c:v>México</c:v>
                </c:pt>
                <c:pt idx="5">
                  <c:v>Uruguay</c:v>
                </c:pt>
                <c:pt idx="6">
                  <c:v>Colombia</c:v>
                </c:pt>
                <c:pt idx="7">
                  <c:v>Costa Rica</c:v>
                </c:pt>
              </c:strCache>
            </c:strRef>
          </c:cat>
          <c:val>
            <c:numRef>
              <c:f>'tabla nacionalidad'!$D$12:$D$19</c:f>
              <c:numCache>
                <c:formatCode>0%</c:formatCode>
                <c:ptCount val="8"/>
                <c:pt idx="0">
                  <c:v>0.64583333333333337</c:v>
                </c:pt>
                <c:pt idx="1">
                  <c:v>0.125</c:v>
                </c:pt>
                <c:pt idx="2">
                  <c:v>6.25E-2</c:v>
                </c:pt>
                <c:pt idx="3">
                  <c:v>4.1666666666666664E-2</c:v>
                </c:pt>
                <c:pt idx="4">
                  <c:v>4.1666666666666664E-2</c:v>
                </c:pt>
                <c:pt idx="5">
                  <c:v>4.1666666666666664E-2</c:v>
                </c:pt>
                <c:pt idx="6">
                  <c:v>2.0833333333333332E-2</c:v>
                </c:pt>
                <c:pt idx="7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FE-413E-9821-654AC26E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3107344632769"/>
          <c:y val="0.11805555555555555"/>
          <c:w val="0.47175141242937851"/>
          <c:h val="0.773148148148148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D-44F2-914C-101558F70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D-44F2-914C-101558F70A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ED-44F2-914C-101558F70AEE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ED-44F2-914C-101558F70AEE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ED-44F2-914C-101558F70A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ED-44F2-914C-101558F70A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ED-44F2-914C-101558F70A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48-41E0-A142-C84B62230B53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48-41E0-A142-C84B62230B53}"/>
              </c:ext>
            </c:extLst>
          </c:dPt>
          <c:dLbls>
            <c:dLbl>
              <c:idx val="0"/>
              <c:layout>
                <c:manualLayout>
                  <c:x val="0.15404424647991388"/>
                  <c:y val="-0.139799691423707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DED-44F2-914C-101558F70AEE}"/>
                </c:ext>
              </c:extLst>
            </c:dLbl>
            <c:dLbl>
              <c:idx val="1"/>
              <c:layout>
                <c:manualLayout>
                  <c:x val="-5.8968989466129114E-2"/>
                  <c:y val="0.119652851670568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DED-44F2-914C-101558F70AEE}"/>
                </c:ext>
              </c:extLst>
            </c:dLbl>
            <c:dLbl>
              <c:idx val="2"/>
              <c:layout>
                <c:manualLayout>
                  <c:x val="-3.8124590994491284E-3"/>
                  <c:y val="1.40061715258565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DED-44F2-914C-101558F70AEE}"/>
                </c:ext>
              </c:extLst>
            </c:dLbl>
            <c:dLbl>
              <c:idx val="3"/>
              <c:layout>
                <c:manualLayout>
                  <c:x val="-1.1605940343247979E-2"/>
                  <c:y val="-8.9274313683762499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DED-44F2-914C-101558F70AEE}"/>
                </c:ext>
              </c:extLst>
            </c:dLbl>
            <c:dLbl>
              <c:idx val="4"/>
              <c:layout>
                <c:manualLayout>
                  <c:x val="-3.4715660542432194E-3"/>
                  <c:y val="-1.02803295421405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DED-44F2-914C-101558F70AEE}"/>
                </c:ext>
              </c:extLst>
            </c:dLbl>
            <c:dLbl>
              <c:idx val="5"/>
              <c:layout>
                <c:manualLayout>
                  <c:x val="-5.6784319520381765E-2"/>
                  <c:y val="-8.893647584592528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94443858056618"/>
                      <c:h val="3.25638433709299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ED-44F2-914C-101558F70AEE}"/>
                </c:ext>
              </c:extLst>
            </c:dLbl>
            <c:dLbl>
              <c:idx val="6"/>
              <c:layout>
                <c:manualLayout>
                  <c:x val="-3.660467374554052E-3"/>
                  <c:y val="-1.40029793573100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21447721179626"/>
                      <c:h val="4.53716216216216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ED-44F2-914C-101558F70AEE}"/>
                </c:ext>
              </c:extLst>
            </c:dLbl>
            <c:dLbl>
              <c:idx val="7"/>
              <c:layout>
                <c:manualLayout>
                  <c:x val="-2.4830592556627472E-3"/>
                  <c:y val="4.434720153224090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948-41E0-A142-C84B62230B53}"/>
                </c:ext>
              </c:extLst>
            </c:dLbl>
            <c:dLbl>
              <c:idx val="8"/>
              <c:layout>
                <c:manualLayout>
                  <c:x val="-0.15289618120791207"/>
                  <c:y val="-6.46017769738242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3948-41E0-A142-C84B62230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nacionalidad'!$B$20:$B$28</c:f>
              <c:strCache>
                <c:ptCount val="9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Francia</c:v>
                </c:pt>
                <c:pt idx="4">
                  <c:v>Brasil</c:v>
                </c:pt>
                <c:pt idx="5">
                  <c:v>Rusia</c:v>
                </c:pt>
                <c:pt idx="6">
                  <c:v>Colombia</c:v>
                </c:pt>
                <c:pt idx="7">
                  <c:v>India</c:v>
                </c:pt>
                <c:pt idx="8">
                  <c:v>Otros</c:v>
                </c:pt>
              </c:strCache>
            </c:strRef>
          </c:cat>
          <c:val>
            <c:numRef>
              <c:f>'tabla nacionalidad'!$D$20:$D$28</c:f>
              <c:numCache>
                <c:formatCode>0%</c:formatCode>
                <c:ptCount val="9"/>
                <c:pt idx="0">
                  <c:v>0.58839779005524862</c:v>
                </c:pt>
                <c:pt idx="1">
                  <c:v>0.15745856353591159</c:v>
                </c:pt>
                <c:pt idx="2">
                  <c:v>5.2486187845303865E-2</c:v>
                </c:pt>
                <c:pt idx="3">
                  <c:v>3.8674033149171269E-2</c:v>
                </c:pt>
                <c:pt idx="4">
                  <c:v>2.2099447513812154E-2</c:v>
                </c:pt>
                <c:pt idx="5">
                  <c:v>1.9337016574585635E-2</c:v>
                </c:pt>
                <c:pt idx="6">
                  <c:v>1.3812154696132596E-2</c:v>
                </c:pt>
                <c:pt idx="7">
                  <c:v>1.1049723756906077E-2</c:v>
                </c:pt>
                <c:pt idx="8">
                  <c:v>9.668508287292818E-2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ED-44F2-914C-101558F7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19</xdr:row>
      <xdr:rowOff>3175</xdr:rowOff>
    </xdr:from>
    <xdr:to>
      <xdr:col>8</xdr:col>
      <xdr:colOff>264582</xdr:colOff>
      <xdr:row>31</xdr:row>
      <xdr:rowOff>187325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34</xdr:row>
      <xdr:rowOff>165100</xdr:rowOff>
    </xdr:from>
    <xdr:to>
      <xdr:col>6</xdr:col>
      <xdr:colOff>615950</xdr:colOff>
      <xdr:row>47</xdr:row>
      <xdr:rowOff>146050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234950</xdr:colOff>
      <xdr:row>1</xdr:row>
      <xdr:rowOff>38100</xdr:rowOff>
    </xdr:from>
    <xdr:to>
      <xdr:col>7</xdr:col>
      <xdr:colOff>50800</xdr:colOff>
      <xdr:row>17</xdr:row>
      <xdr:rowOff>6350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tabSelected="1" topLeftCell="A23" zoomScale="90" zoomScaleNormal="90" zoomScaleSheetLayoutView="110" workbookViewId="0">
      <selection activeCell="I45" sqref="I45"/>
    </sheetView>
  </sheetViews>
  <sheetFormatPr baseColWidth="10" defaultRowHeight="18.5" x14ac:dyDescent="0.45"/>
  <cols>
    <col min="1" max="7" width="14.08984375" style="1" customWidth="1"/>
    <col min="8" max="16384" width="10.90625" style="1"/>
  </cols>
  <sheetData>
    <row r="1" spans="1:7" ht="21" x14ac:dyDescent="0.5">
      <c r="A1" s="19" t="s">
        <v>13</v>
      </c>
      <c r="B1" s="19"/>
      <c r="C1" s="19"/>
      <c r="D1" s="19"/>
      <c r="E1" s="19"/>
      <c r="F1" s="19"/>
      <c r="G1" s="19"/>
    </row>
    <row r="4" spans="1:7" ht="21" x14ac:dyDescent="0.5">
      <c r="A4" s="5" t="s">
        <v>11</v>
      </c>
    </row>
    <row r="6" spans="1:7" x14ac:dyDescent="0.45">
      <c r="A6" s="9" t="s">
        <v>27</v>
      </c>
      <c r="B6" s="4" t="s">
        <v>28</v>
      </c>
    </row>
    <row r="7" spans="1:7" x14ac:dyDescent="0.45">
      <c r="A7" s="10" t="s">
        <v>4</v>
      </c>
      <c r="B7" s="2">
        <v>89</v>
      </c>
    </row>
    <row r="8" spans="1:7" x14ac:dyDescent="0.45">
      <c r="A8" s="10" t="s">
        <v>5</v>
      </c>
      <c r="B8" s="2">
        <v>48</v>
      </c>
    </row>
    <row r="9" spans="1:7" x14ac:dyDescent="0.45">
      <c r="A9" s="10" t="s">
        <v>6</v>
      </c>
      <c r="B9" s="2">
        <v>40</v>
      </c>
    </row>
    <row r="10" spans="1:7" x14ac:dyDescent="0.45">
      <c r="A10" s="10" t="s">
        <v>7</v>
      </c>
      <c r="B10" s="2">
        <v>85</v>
      </c>
    </row>
    <row r="11" spans="1:7" x14ac:dyDescent="0.45">
      <c r="A11" s="10" t="s">
        <v>8</v>
      </c>
      <c r="B11" s="2">
        <v>40</v>
      </c>
    </row>
    <row r="12" spans="1:7" x14ac:dyDescent="0.45">
      <c r="A12" s="10" t="s">
        <v>9</v>
      </c>
      <c r="B12" s="2">
        <v>32</v>
      </c>
    </row>
    <row r="13" spans="1:7" x14ac:dyDescent="0.45">
      <c r="A13" s="10" t="s">
        <v>29</v>
      </c>
      <c r="B13" s="2">
        <v>28</v>
      </c>
    </row>
    <row r="14" spans="1:7" x14ac:dyDescent="0.45">
      <c r="A14" s="10" t="s">
        <v>10</v>
      </c>
      <c r="B14" s="3">
        <v>2.3E-2</v>
      </c>
    </row>
    <row r="15" spans="1:7" x14ac:dyDescent="0.45">
      <c r="A15" s="16"/>
      <c r="B15" s="12"/>
    </row>
    <row r="16" spans="1:7" x14ac:dyDescent="0.45">
      <c r="A16" s="16"/>
      <c r="B16" s="12"/>
    </row>
    <row r="17" spans="1:6" x14ac:dyDescent="0.45">
      <c r="A17" s="16"/>
      <c r="B17" s="12"/>
    </row>
    <row r="21" spans="1:6" ht="21" x14ac:dyDescent="0.5">
      <c r="A21" s="5" t="s">
        <v>1</v>
      </c>
    </row>
    <row r="23" spans="1:6" x14ac:dyDescent="0.45">
      <c r="A23" s="9" t="s">
        <v>27</v>
      </c>
      <c r="B23" s="4" t="s">
        <v>28</v>
      </c>
      <c r="C23" s="11"/>
      <c r="D23" s="11"/>
      <c r="E23" s="11"/>
      <c r="F23" s="12"/>
    </row>
    <row r="24" spans="1:6" x14ac:dyDescent="0.45">
      <c r="A24" s="10" t="s">
        <v>5</v>
      </c>
      <c r="B24" s="2">
        <v>41</v>
      </c>
    </row>
    <row r="25" spans="1:6" x14ac:dyDescent="0.45">
      <c r="A25" s="10" t="s">
        <v>6</v>
      </c>
      <c r="B25" s="2">
        <v>41</v>
      </c>
    </row>
    <row r="26" spans="1:6" x14ac:dyDescent="0.45">
      <c r="A26" s="10" t="s">
        <v>7</v>
      </c>
      <c r="B26" s="2">
        <v>36</v>
      </c>
    </row>
    <row r="27" spans="1:6" x14ac:dyDescent="0.45">
      <c r="A27" s="10" t="s">
        <v>8</v>
      </c>
      <c r="B27" s="2">
        <v>47</v>
      </c>
    </row>
    <row r="28" spans="1:6" x14ac:dyDescent="0.45">
      <c r="A28" s="10" t="s">
        <v>9</v>
      </c>
      <c r="B28" s="2">
        <v>56</v>
      </c>
    </row>
    <row r="29" spans="1:6" x14ac:dyDescent="0.45">
      <c r="A29" s="10" t="s">
        <v>29</v>
      </c>
      <c r="B29" s="2">
        <v>193</v>
      </c>
    </row>
    <row r="30" spans="1:6" x14ac:dyDescent="0.45">
      <c r="A30" s="10" t="s">
        <v>10</v>
      </c>
      <c r="B30" s="3">
        <v>4.0000000000000001E-3</v>
      </c>
    </row>
    <row r="37" spans="1:2" ht="21" x14ac:dyDescent="0.5">
      <c r="A37" s="5" t="s">
        <v>12</v>
      </c>
    </row>
    <row r="38" spans="1:2" s="15" customFormat="1" x14ac:dyDescent="0.45">
      <c r="A38" s="14"/>
      <c r="B38" s="14"/>
    </row>
    <row r="39" spans="1:2" s="15" customFormat="1" x14ac:dyDescent="0.45">
      <c r="A39" s="17" t="s">
        <v>27</v>
      </c>
      <c r="B39" s="18" t="s">
        <v>28</v>
      </c>
    </row>
    <row r="40" spans="1:2" x14ac:dyDescent="0.45">
      <c r="A40" s="10" t="s">
        <v>9</v>
      </c>
      <c r="B40" s="8">
        <v>33</v>
      </c>
    </row>
    <row r="41" spans="1:2" x14ac:dyDescent="0.45">
      <c r="A41" s="10" t="s">
        <v>29</v>
      </c>
      <c r="B41" s="8">
        <v>15</v>
      </c>
    </row>
    <row r="42" spans="1:2" x14ac:dyDescent="0.45">
      <c r="A42" s="8" t="s">
        <v>10</v>
      </c>
      <c r="B42" s="13">
        <v>1.9E-2</v>
      </c>
    </row>
  </sheetData>
  <mergeCells count="1">
    <mergeCell ref="A1:G1"/>
  </mergeCells>
  <pageMargins left="0.7" right="0.7" top="0.75" bottom="0.75" header="0.3" footer="0.3"/>
  <pageSetup paperSize="9" scale="83" orientation="portrait" horizontalDpi="300" verticalDpi="300" r:id="rId1"/>
  <rowBreaks count="1" manualBreakCount="1">
    <brk id="4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E22" sqref="E22"/>
    </sheetView>
  </sheetViews>
  <sheetFormatPr baseColWidth="10" defaultRowHeight="14.5" x14ac:dyDescent="0.35"/>
  <sheetData>
    <row r="1" spans="1:5" x14ac:dyDescent="0.35">
      <c r="A1" t="s">
        <v>0</v>
      </c>
      <c r="B1" t="s">
        <v>14</v>
      </c>
      <c r="C1" t="s">
        <v>15</v>
      </c>
      <c r="D1" t="s">
        <v>16</v>
      </c>
    </row>
    <row r="2" spans="1:5" x14ac:dyDescent="0.35">
      <c r="A2" t="s">
        <v>1</v>
      </c>
      <c r="B2" t="s">
        <v>17</v>
      </c>
      <c r="C2">
        <v>278</v>
      </c>
      <c r="D2" s="6">
        <f>C2/SUM($C$2:$C$11)</f>
        <v>0.67149758454106279</v>
      </c>
      <c r="E2" s="7"/>
    </row>
    <row r="3" spans="1:5" x14ac:dyDescent="0.35">
      <c r="A3" t="s">
        <v>1</v>
      </c>
      <c r="B3" t="s">
        <v>18</v>
      </c>
      <c r="C3">
        <v>37</v>
      </c>
      <c r="D3" s="6">
        <f t="shared" ref="D3:D11" si="0">C3/SUM($C$2:$C$11)</f>
        <v>8.9371980676328497E-2</v>
      </c>
    </row>
    <row r="4" spans="1:5" x14ac:dyDescent="0.35">
      <c r="A4" t="s">
        <v>1</v>
      </c>
      <c r="B4" t="s">
        <v>22</v>
      </c>
      <c r="C4">
        <v>24</v>
      </c>
      <c r="D4" s="6">
        <f t="shared" si="0"/>
        <v>5.7971014492753624E-2</v>
      </c>
    </row>
    <row r="5" spans="1:5" x14ac:dyDescent="0.35">
      <c r="A5" t="s">
        <v>1</v>
      </c>
      <c r="B5" t="s">
        <v>21</v>
      </c>
      <c r="C5">
        <v>21</v>
      </c>
      <c r="D5" s="6">
        <f t="shared" si="0"/>
        <v>5.0724637681159424E-2</v>
      </c>
    </row>
    <row r="6" spans="1:5" x14ac:dyDescent="0.35">
      <c r="A6" t="s">
        <v>1</v>
      </c>
      <c r="B6" t="s">
        <v>30</v>
      </c>
      <c r="C6">
        <v>10</v>
      </c>
      <c r="D6" s="6">
        <f t="shared" si="0"/>
        <v>2.4154589371980676E-2</v>
      </c>
    </row>
    <row r="7" spans="1:5" x14ac:dyDescent="0.35">
      <c r="A7" t="s">
        <v>1</v>
      </c>
      <c r="B7" t="s">
        <v>20</v>
      </c>
      <c r="C7">
        <v>6</v>
      </c>
      <c r="D7" s="6">
        <f t="shared" si="0"/>
        <v>1.4492753623188406E-2</v>
      </c>
    </row>
    <row r="8" spans="1:5" x14ac:dyDescent="0.35">
      <c r="A8" t="s">
        <v>1</v>
      </c>
      <c r="B8" t="s">
        <v>31</v>
      </c>
      <c r="C8">
        <v>6</v>
      </c>
      <c r="D8" s="6">
        <f t="shared" si="0"/>
        <v>1.4492753623188406E-2</v>
      </c>
    </row>
    <row r="9" spans="1:5" x14ac:dyDescent="0.35">
      <c r="A9" t="s">
        <v>1</v>
      </c>
      <c r="B9" t="s">
        <v>32</v>
      </c>
      <c r="C9">
        <v>4</v>
      </c>
      <c r="D9" s="6">
        <f t="shared" si="0"/>
        <v>9.6618357487922701E-3</v>
      </c>
    </row>
    <row r="10" spans="1:5" x14ac:dyDescent="0.35">
      <c r="A10" t="s">
        <v>1</v>
      </c>
      <c r="B10" t="s">
        <v>26</v>
      </c>
      <c r="C10">
        <v>4</v>
      </c>
      <c r="D10" s="6">
        <f t="shared" si="0"/>
        <v>9.6618357487922701E-3</v>
      </c>
    </row>
    <row r="11" spans="1:5" x14ac:dyDescent="0.35">
      <c r="A11" t="s">
        <v>1</v>
      </c>
      <c r="B11" t="s">
        <v>33</v>
      </c>
      <c r="C11">
        <v>24</v>
      </c>
      <c r="D11" s="6">
        <f t="shared" si="0"/>
        <v>5.7971014492753624E-2</v>
      </c>
    </row>
    <row r="12" spans="1:5" x14ac:dyDescent="0.35">
      <c r="A12" t="s">
        <v>2</v>
      </c>
      <c r="B12" t="s">
        <v>17</v>
      </c>
      <c r="C12">
        <v>31</v>
      </c>
      <c r="D12" s="6">
        <f>C12/SUM($C$12:$C$19)</f>
        <v>0.64583333333333337</v>
      </c>
    </row>
    <row r="13" spans="1:5" x14ac:dyDescent="0.35">
      <c r="A13" t="s">
        <v>2</v>
      </c>
      <c r="B13" t="s">
        <v>22</v>
      </c>
      <c r="C13">
        <v>6</v>
      </c>
      <c r="D13" s="6">
        <f t="shared" ref="D13:D19" si="1">C13/SUM($C$12:$C$19)</f>
        <v>0.125</v>
      </c>
    </row>
    <row r="14" spans="1:5" x14ac:dyDescent="0.35">
      <c r="A14" t="s">
        <v>2</v>
      </c>
      <c r="B14" t="s">
        <v>18</v>
      </c>
      <c r="C14">
        <v>3</v>
      </c>
      <c r="D14" s="6">
        <f t="shared" si="1"/>
        <v>6.25E-2</v>
      </c>
    </row>
    <row r="15" spans="1:5" x14ac:dyDescent="0.35">
      <c r="A15" t="s">
        <v>2</v>
      </c>
      <c r="B15" t="s">
        <v>23</v>
      </c>
      <c r="C15">
        <v>2</v>
      </c>
      <c r="D15" s="6">
        <f t="shared" si="1"/>
        <v>4.1666666666666664E-2</v>
      </c>
    </row>
    <row r="16" spans="1:5" x14ac:dyDescent="0.35">
      <c r="A16" t="s">
        <v>2</v>
      </c>
      <c r="B16" t="s">
        <v>21</v>
      </c>
      <c r="C16">
        <v>2</v>
      </c>
      <c r="D16" s="6">
        <f t="shared" si="1"/>
        <v>4.1666666666666664E-2</v>
      </c>
    </row>
    <row r="17" spans="1:4" x14ac:dyDescent="0.35">
      <c r="A17" t="s">
        <v>2</v>
      </c>
      <c r="B17" t="s">
        <v>24</v>
      </c>
      <c r="C17">
        <v>2</v>
      </c>
      <c r="D17" s="6">
        <f t="shared" si="1"/>
        <v>4.1666666666666664E-2</v>
      </c>
    </row>
    <row r="18" spans="1:4" x14ac:dyDescent="0.35">
      <c r="A18" t="s">
        <v>2</v>
      </c>
      <c r="B18" t="s">
        <v>19</v>
      </c>
      <c r="C18">
        <v>1</v>
      </c>
      <c r="D18" s="6">
        <f t="shared" si="1"/>
        <v>2.0833333333333332E-2</v>
      </c>
    </row>
    <row r="19" spans="1:4" x14ac:dyDescent="0.35">
      <c r="A19" t="s">
        <v>2</v>
      </c>
      <c r="B19" t="s">
        <v>25</v>
      </c>
      <c r="C19">
        <v>1</v>
      </c>
      <c r="D19" s="6">
        <f t="shared" si="1"/>
        <v>2.0833333333333332E-2</v>
      </c>
    </row>
    <row r="20" spans="1:4" x14ac:dyDescent="0.35">
      <c r="A20" t="s">
        <v>3</v>
      </c>
      <c r="B20" t="s">
        <v>17</v>
      </c>
      <c r="C20">
        <v>213</v>
      </c>
      <c r="D20" s="6">
        <f>C20/SUM($C$20:$C$28)</f>
        <v>0.58839779005524862</v>
      </c>
    </row>
    <row r="21" spans="1:4" x14ac:dyDescent="0.35">
      <c r="A21" t="s">
        <v>3</v>
      </c>
      <c r="B21" t="s">
        <v>18</v>
      </c>
      <c r="C21">
        <v>57</v>
      </c>
      <c r="D21" s="6">
        <f t="shared" ref="D21:D28" si="2">C21/SUM($C$20:$C$28)</f>
        <v>0.15745856353591159</v>
      </c>
    </row>
    <row r="22" spans="1:4" x14ac:dyDescent="0.35">
      <c r="A22" t="s">
        <v>3</v>
      </c>
      <c r="B22" t="s">
        <v>21</v>
      </c>
      <c r="C22">
        <v>19</v>
      </c>
      <c r="D22" s="6">
        <f t="shared" si="2"/>
        <v>5.2486187845303865E-2</v>
      </c>
    </row>
    <row r="23" spans="1:4" x14ac:dyDescent="0.35">
      <c r="A23" t="s">
        <v>3</v>
      </c>
      <c r="B23" t="s">
        <v>20</v>
      </c>
      <c r="C23">
        <v>14</v>
      </c>
      <c r="D23" s="6">
        <f t="shared" si="2"/>
        <v>3.8674033149171269E-2</v>
      </c>
    </row>
    <row r="24" spans="1:4" x14ac:dyDescent="0.35">
      <c r="A24" t="s">
        <v>3</v>
      </c>
      <c r="B24" t="s">
        <v>22</v>
      </c>
      <c r="C24">
        <v>8</v>
      </c>
      <c r="D24" s="6">
        <f t="shared" si="2"/>
        <v>2.2099447513812154E-2</v>
      </c>
    </row>
    <row r="25" spans="1:4" x14ac:dyDescent="0.35">
      <c r="A25" t="s">
        <v>3</v>
      </c>
      <c r="B25" t="s">
        <v>34</v>
      </c>
      <c r="C25">
        <v>7</v>
      </c>
      <c r="D25" s="6">
        <f t="shared" si="2"/>
        <v>1.9337016574585635E-2</v>
      </c>
    </row>
    <row r="26" spans="1:4" x14ac:dyDescent="0.35">
      <c r="A26" t="s">
        <v>3</v>
      </c>
      <c r="B26" t="s">
        <v>19</v>
      </c>
      <c r="C26">
        <v>5</v>
      </c>
      <c r="D26" s="6">
        <f t="shared" si="2"/>
        <v>1.3812154696132596E-2</v>
      </c>
    </row>
    <row r="27" spans="1:4" x14ac:dyDescent="0.35">
      <c r="A27" t="s">
        <v>3</v>
      </c>
      <c r="B27" t="s">
        <v>35</v>
      </c>
      <c r="C27">
        <v>4</v>
      </c>
      <c r="D27" s="6">
        <f t="shared" si="2"/>
        <v>1.1049723756906077E-2</v>
      </c>
    </row>
    <row r="28" spans="1:4" x14ac:dyDescent="0.35">
      <c r="A28" t="s">
        <v>3</v>
      </c>
      <c r="B28" t="s">
        <v>33</v>
      </c>
      <c r="C28">
        <v>35</v>
      </c>
      <c r="D28" s="6">
        <f t="shared" si="2"/>
        <v>9.668508287292818E-2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 1</vt:lpstr>
      <vt:lpstr>tabla nacionalidad</vt:lpstr>
      <vt:lpstr>'Sheet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2025-06-30T18:08:00Z</cp:lastPrinted>
  <dcterms:created xsi:type="dcterms:W3CDTF">2025-05-29T15:57:49Z</dcterms:created>
  <dcterms:modified xsi:type="dcterms:W3CDTF">2025-06-30T18:12:11Z</dcterms:modified>
</cp:coreProperties>
</file>