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23040" windowHeight="9192"/>
  </bookViews>
  <sheets>
    <sheet name="Sheet 1" sheetId="1" r:id="rId1"/>
    <sheet name="Hoja1" sheetId="3" r:id="rId2"/>
  </sheets>
  <definedNames>
    <definedName name="_xlnm.Print_Area" localSheetId="0">'Sheet 1'!$A$1:$G$50</definedName>
  </definedNames>
  <calcPr calcId="162913"/>
</workbook>
</file>

<file path=xl/calcChain.xml><?xml version="1.0" encoding="utf-8"?>
<calcChain xmlns="http://schemas.openxmlformats.org/spreadsheetml/2006/main">
  <c r="G44" i="3" l="1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36" i="3"/>
  <c r="D27" i="3"/>
  <c r="D28" i="3"/>
  <c r="D29" i="3"/>
  <c r="D30" i="3"/>
  <c r="D31" i="3"/>
  <c r="D32" i="3"/>
  <c r="D33" i="3"/>
  <c r="D34" i="3"/>
  <c r="D35" i="3"/>
  <c r="D26" i="3"/>
</calcChain>
</file>

<file path=xl/sharedStrings.xml><?xml version="1.0" encoding="utf-8"?>
<sst xmlns="http://schemas.openxmlformats.org/spreadsheetml/2006/main" count="168" uniqueCount="53">
  <si>
    <t>CATEGORIA</t>
  </si>
  <si>
    <t>MEDIAS</t>
  </si>
  <si>
    <t>MOCHILA TECH</t>
  </si>
  <si>
    <t>REMERA</t>
  </si>
  <si>
    <t>Diciembre</t>
  </si>
  <si>
    <t>Enero</t>
  </si>
  <si>
    <t>Febrero</t>
  </si>
  <si>
    <t>Marzo</t>
  </si>
  <si>
    <t>Abril</t>
  </si>
  <si>
    <t>Mayo</t>
  </si>
  <si>
    <t>Participación</t>
  </si>
  <si>
    <t>REMERAS PIMA</t>
  </si>
  <si>
    <t>MOCHILAS TECH</t>
  </si>
  <si>
    <t>SEGUIMIENTO DE PRODUCTOS SELECCIONADOS</t>
  </si>
  <si>
    <t>NACIONALIDAD</t>
  </si>
  <si>
    <t>Total</t>
  </si>
  <si>
    <t>Argentina</t>
  </si>
  <si>
    <t>USA</t>
  </si>
  <si>
    <t>Colombia</t>
  </si>
  <si>
    <t>Francia</t>
  </si>
  <si>
    <t>México</t>
  </si>
  <si>
    <t>Brasil</t>
  </si>
  <si>
    <t>Italia</t>
  </si>
  <si>
    <t>Uruguay</t>
  </si>
  <si>
    <t>Costa Rica</t>
  </si>
  <si>
    <t>Perú</t>
  </si>
  <si>
    <t>Mes</t>
  </si>
  <si>
    <t>Cantidad</t>
  </si>
  <si>
    <t>Junio</t>
  </si>
  <si>
    <t>Emiratos Árabes Unidos</t>
  </si>
  <si>
    <t>Venezuela</t>
  </si>
  <si>
    <t>Canadá</t>
  </si>
  <si>
    <t>Rusia</t>
  </si>
  <si>
    <t>India</t>
  </si>
  <si>
    <t>Julio</t>
  </si>
  <si>
    <t>Alemania</t>
  </si>
  <si>
    <t>China</t>
  </si>
  <si>
    <t>Ecuador</t>
  </si>
  <si>
    <t>España</t>
  </si>
  <si>
    <t>Indonesia</t>
  </si>
  <si>
    <t>Paraguay</t>
  </si>
  <si>
    <t>Puerto Rico</t>
  </si>
  <si>
    <t>Reino Unido</t>
  </si>
  <si>
    <t>Japón</t>
  </si>
  <si>
    <t>Chile</t>
  </si>
  <si>
    <t>Corea</t>
  </si>
  <si>
    <t>Panamá</t>
  </si>
  <si>
    <t>Guatemala</t>
  </si>
  <si>
    <t>Agosto</t>
  </si>
  <si>
    <t>Otros</t>
  </si>
  <si>
    <t>Macedonia, ex Rep. Yugoslava de</t>
  </si>
  <si>
    <t>RESUMEN MEDIAS</t>
  </si>
  <si>
    <t>RESUMEN REMERAS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</si>
</sst>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408017179670732E-2"/>
          <c:y val="0.10852486793581183"/>
          <c:w val="0.48857712629263378"/>
          <c:h val="0.7829499555233420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4-49D1-9478-A712C4551BA8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4-49D1-9478-A712C4551BA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4-49D1-9478-A712C4551BA8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4-49D1-9478-A712C4551BA8}"/>
              </c:ext>
            </c:extLst>
          </c:dPt>
          <c:dPt>
            <c:idx val="4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C4-49D1-9478-A712C4551BA8}"/>
              </c:ext>
            </c:extLst>
          </c:dPt>
          <c:dPt>
            <c:idx val="5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C4-49D1-9478-A712C4551BA8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C4-49D1-9478-A712C4551BA8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FF8-40C1-A521-01DA9D21DC16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F8-40C1-A521-01DA9D21DC16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FF8-40C1-A521-01DA9D21DC16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37147102526003"/>
                      <c:h val="0.125523012552301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DC4-49D1-9478-A712C4551BA8}"/>
                </c:ext>
              </c:extLst>
            </c:dLbl>
            <c:dLbl>
              <c:idx val="2"/>
              <c:layout>
                <c:manualLayout>
                  <c:x val="-1.4356598781278004E-2"/>
                  <c:y val="2.15063989883354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C4-49D1-9478-A712C4551BA8}"/>
                </c:ext>
              </c:extLst>
            </c:dLbl>
            <c:dLbl>
              <c:idx val="3"/>
              <c:layout>
                <c:manualLayout>
                  <c:x val="-1.2481023353875891E-2"/>
                  <c:y val="-5.973204997806635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C4-49D1-9478-A712C4551BA8}"/>
                </c:ext>
              </c:extLst>
            </c:dLbl>
            <c:dLbl>
              <c:idx val="4"/>
              <c:layout>
                <c:manualLayout>
                  <c:x val="-1.9333155511518121E-2"/>
                  <c:y val="5.051779128126728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662216612333782"/>
                      <c:h val="6.52075417223786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DC4-49D1-9478-A712C4551BA8}"/>
                </c:ext>
              </c:extLst>
            </c:dLbl>
            <c:dLbl>
              <c:idx val="5"/>
              <c:layout>
                <c:manualLayout>
                  <c:x val="-2.8088096280532361E-2"/>
                  <c:y val="2.27581797500083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27241203919563"/>
                      <c:h val="4.81170678141990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DC4-49D1-9478-A712C4551BA8}"/>
                </c:ext>
              </c:extLst>
            </c:dLbl>
            <c:dLbl>
              <c:idx val="6"/>
              <c:layout>
                <c:manualLayout>
                  <c:x val="-0.16872715229212606"/>
                  <c:y val="-5.42380203371807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93181818181818"/>
                      <c:h val="4.39330543933054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CDC4-49D1-9478-A712C4551BA8}"/>
                </c:ext>
              </c:extLst>
            </c:dLbl>
            <c:dLbl>
              <c:idx val="7"/>
              <c:layout>
                <c:manualLayout>
                  <c:x val="-3.3632381206945589E-2"/>
                  <c:y val="1.32183424668798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67204789238509"/>
                      <c:h val="6.1075896035466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CFF8-40C1-A521-01DA9D21DC16}"/>
                </c:ext>
              </c:extLst>
            </c:dLbl>
            <c:dLbl>
              <c:idx val="8"/>
              <c:layout>
                <c:manualLayout>
                  <c:x val="-0.13892167277314948"/>
                  <c:y val="-6.24675802610338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78894774000704"/>
                      <c:h val="8.76126346542816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CFF8-40C1-A521-01DA9D21DC16}"/>
                </c:ext>
              </c:extLst>
            </c:dLbl>
            <c:dLbl>
              <c:idx val="9"/>
              <c:layout>
                <c:manualLayout>
                  <c:x val="-0.11646510379384395"/>
                  <c:y val="-5.773070207228280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FF8-40C1-A521-01DA9D21DC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Hoja1!$F$2:$F$8</c:f>
              <c:strCache>
                <c:ptCount val="7"/>
                <c:pt idx="0">
                  <c:v>Argentina</c:v>
                </c:pt>
                <c:pt idx="1">
                  <c:v>Brasil</c:v>
                </c:pt>
                <c:pt idx="2">
                  <c:v>USA</c:v>
                </c:pt>
                <c:pt idx="3">
                  <c:v>México</c:v>
                </c:pt>
                <c:pt idx="4">
                  <c:v>Emiratos Árabes Unidos</c:v>
                </c:pt>
                <c:pt idx="5">
                  <c:v>Uruguay</c:v>
                </c:pt>
                <c:pt idx="6">
                  <c:v>Otros</c:v>
                </c:pt>
              </c:strCache>
            </c:strRef>
          </c:cat>
          <c:val>
            <c:numRef>
              <c:f>Hoja1!$G$2:$G$8</c:f>
              <c:numCache>
                <c:formatCode>0.0%</c:formatCode>
                <c:ptCount val="7"/>
                <c:pt idx="0">
                  <c:v>0.70343137254901966</c:v>
                </c:pt>
                <c:pt idx="1">
                  <c:v>7.2303921568627458E-2</c:v>
                </c:pt>
                <c:pt idx="2">
                  <c:v>6.25E-2</c:v>
                </c:pt>
                <c:pt idx="3">
                  <c:v>4.4117647058823532E-2</c:v>
                </c:pt>
                <c:pt idx="4">
                  <c:v>1.2254901960784314E-2</c:v>
                </c:pt>
                <c:pt idx="5">
                  <c:v>1.1029411764705883E-2</c:v>
                </c:pt>
                <c:pt idx="6">
                  <c:v>9.4362745098039227E-2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C4-49D1-9478-A712C455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8423186657803"/>
          <c:y val="0.12422843326699312"/>
          <c:w val="0.53395114072279426"/>
          <c:h val="0.783078590336545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E-413E-9821-654AC26E1B0D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E-413E-9821-654AC26E1B0D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FE-413E-9821-654AC26E1B0D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FE-413E-9821-654AC26E1B0D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FE-413E-9821-654AC26E1B0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FE-413E-9821-654AC26E1B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4FE-413E-9821-654AC26E1B0D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B11-4B33-A798-A82EFA435A4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2F0-4472-AD87-B1F2446E07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2F0-4472-AD87-B1F2446E0781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72079772079774"/>
                      <c:h val="0.124223602484472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4FE-413E-9821-654AC26E1B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4FE-413E-9821-654AC26E1B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FE-413E-9821-654AC26E1B0D}"/>
                </c:ext>
              </c:extLst>
            </c:dLbl>
            <c:dLbl>
              <c:idx val="3"/>
              <c:layout>
                <c:manualLayout>
                  <c:x val="1.1516028445162304E-3"/>
                  <c:y val="7.371904598881699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4FE-413E-9821-654AC26E1B0D}"/>
                </c:ext>
              </c:extLst>
            </c:dLbl>
            <c:dLbl>
              <c:idx val="4"/>
              <c:layout>
                <c:manualLayout>
                  <c:x val="-2.0531324888736841E-2"/>
                  <c:y val="-6.15445129065116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81159420289855"/>
                      <c:h val="6.64215433093142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4FE-413E-9821-654AC26E1B0D}"/>
                </c:ext>
              </c:extLst>
            </c:dLbl>
            <c:dLbl>
              <c:idx val="5"/>
              <c:layout>
                <c:manualLayout>
                  <c:x val="-6.5901013579905601E-3"/>
                  <c:y val="-9.6348581459835166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05168348670345"/>
                      <c:h val="8.50828629916748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54FE-413E-9821-654AC26E1B0D}"/>
                </c:ext>
              </c:extLst>
            </c:dLbl>
            <c:dLbl>
              <c:idx val="6"/>
              <c:layout>
                <c:manualLayout>
                  <c:x val="-1.5366883487390164E-3"/>
                  <c:y val="-1.01957915837258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4FE-413E-9821-654AC26E1B0D}"/>
                </c:ext>
              </c:extLst>
            </c:dLbl>
            <c:dLbl>
              <c:idx val="7"/>
              <c:layout>
                <c:manualLayout>
                  <c:x val="-2.8490028490028491E-2"/>
                  <c:y val="-8.5851225118599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82051282051283"/>
                      <c:h val="6.83229813664596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DB11-4B33-A798-A82EFA435A49}"/>
                </c:ext>
              </c:extLst>
            </c:dLbl>
            <c:dLbl>
              <c:idx val="8"/>
              <c:layout>
                <c:manualLayout>
                  <c:x val="-1.3783749857354788E-2"/>
                  <c:y val="3.59731400388934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A2F0-4472-AD87-B1F2446E0781}"/>
                </c:ext>
              </c:extLst>
            </c:dLbl>
            <c:dLbl>
              <c:idx val="9"/>
              <c:layout>
                <c:manualLayout>
                  <c:x val="1.2326029898436609E-2"/>
                  <c:y val="-4.86601815377008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2F0-4472-AD87-B1F2446E0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Hoja1!$B$26:$B$35</c:f>
              <c:strCache>
                <c:ptCount val="10"/>
                <c:pt idx="0">
                  <c:v>Argentina</c:v>
                </c:pt>
                <c:pt idx="1">
                  <c:v>Brasil</c:v>
                </c:pt>
                <c:pt idx="2">
                  <c:v>México</c:v>
                </c:pt>
                <c:pt idx="3">
                  <c:v>USA</c:v>
                </c:pt>
                <c:pt idx="4">
                  <c:v>Colombia</c:v>
                </c:pt>
                <c:pt idx="5">
                  <c:v>Costa Rica</c:v>
                </c:pt>
                <c:pt idx="6">
                  <c:v>Italia</c:v>
                </c:pt>
                <c:pt idx="7">
                  <c:v>Uruguay</c:v>
                </c:pt>
                <c:pt idx="8">
                  <c:v>Francia</c:v>
                </c:pt>
                <c:pt idx="9">
                  <c:v>Japón</c:v>
                </c:pt>
              </c:strCache>
            </c:strRef>
          </c:cat>
          <c:val>
            <c:numRef>
              <c:f>Hoja1!$D$26:$D$35</c:f>
              <c:numCache>
                <c:formatCode>0.0%</c:formatCode>
                <c:ptCount val="10"/>
                <c:pt idx="0">
                  <c:v>0.63380281690140849</c:v>
                </c:pt>
                <c:pt idx="1">
                  <c:v>0.14084507042253522</c:v>
                </c:pt>
                <c:pt idx="2">
                  <c:v>4.2253521126760563E-2</c:v>
                </c:pt>
                <c:pt idx="3">
                  <c:v>4.2253521126760563E-2</c:v>
                </c:pt>
                <c:pt idx="4">
                  <c:v>2.8169014084507043E-2</c:v>
                </c:pt>
                <c:pt idx="5">
                  <c:v>2.8169014084507043E-2</c:v>
                </c:pt>
                <c:pt idx="6">
                  <c:v>2.8169014084507043E-2</c:v>
                </c:pt>
                <c:pt idx="7">
                  <c:v>2.8169014084507043E-2</c:v>
                </c:pt>
                <c:pt idx="8">
                  <c:v>1.4084507042253521E-2</c:v>
                </c:pt>
                <c:pt idx="9">
                  <c:v>1.4084507042253521E-2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FE-413E-9821-654AC26E1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57653266408976E-2"/>
          <c:y val="0.24396664631632778"/>
          <c:w val="0.49407899507956426"/>
          <c:h val="0.5865755597647709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D-44F2-914C-101558F70A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D-44F2-914C-101558F70A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ED-44F2-914C-101558F70AEE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ED-44F2-914C-101558F70AEE}"/>
              </c:ext>
            </c:extLst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ED-44F2-914C-101558F70A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ED-44F2-914C-101558F70A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ED-44F2-914C-101558F70A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48-41E0-A142-C84B62230B53}"/>
              </c:ext>
            </c:extLst>
          </c:dPt>
          <c:dPt>
            <c:idx val="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48-41E0-A142-C84B62230B53}"/>
              </c:ext>
            </c:extLst>
          </c:dPt>
          <c:dLbls>
            <c:dLbl>
              <c:idx val="0"/>
              <c:layout>
                <c:manualLayout>
                  <c:x val="0.15404424647991388"/>
                  <c:y val="-0.139799691423707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DED-44F2-914C-101558F70AEE}"/>
                </c:ext>
              </c:extLst>
            </c:dLbl>
            <c:dLbl>
              <c:idx val="1"/>
              <c:layout>
                <c:manualLayout>
                  <c:x val="-8.5089681025960318E-2"/>
                  <c:y val="0.104031490879409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DED-44F2-914C-101558F70AEE}"/>
                </c:ext>
              </c:extLst>
            </c:dLbl>
            <c:dLbl>
              <c:idx val="2"/>
              <c:layout>
                <c:manualLayout>
                  <c:x val="-3.8124590994491284E-3"/>
                  <c:y val="1.40061715258565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DED-44F2-914C-101558F70AEE}"/>
                </c:ext>
              </c:extLst>
            </c:dLbl>
            <c:dLbl>
              <c:idx val="3"/>
              <c:layout>
                <c:manualLayout>
                  <c:x val="-1.1605940343247979E-2"/>
                  <c:y val="-8.9274313683762499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DED-44F2-914C-101558F70AEE}"/>
                </c:ext>
              </c:extLst>
            </c:dLbl>
            <c:dLbl>
              <c:idx val="4"/>
              <c:layout>
                <c:manualLayout>
                  <c:x val="-3.4715660542432194E-3"/>
                  <c:y val="-1.02803295421405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DED-44F2-914C-101558F70AEE}"/>
                </c:ext>
              </c:extLst>
            </c:dLbl>
            <c:dLbl>
              <c:idx val="5"/>
              <c:layout>
                <c:manualLayout>
                  <c:x val="-3.6468181437995247E-2"/>
                  <c:y val="-8.893526396440965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94443858056618"/>
                      <c:h val="3.25638433709299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ED-44F2-914C-101558F70AEE}"/>
                </c:ext>
              </c:extLst>
            </c:dLbl>
            <c:dLbl>
              <c:idx val="6"/>
              <c:layout>
                <c:manualLayout>
                  <c:x val="-1.6720896229799886E-2"/>
                  <c:y val="-1.40039553024755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55353506822229"/>
                      <c:h val="4.53715851444172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ED-44F2-914C-101558F70AEE}"/>
                </c:ext>
              </c:extLst>
            </c:dLbl>
            <c:dLbl>
              <c:idx val="7"/>
              <c:layout>
                <c:manualLayout>
                  <c:x val="-1.1189846434126278E-2"/>
                  <c:y val="1.06833511975503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3948-41E0-A142-C84B62230B53}"/>
                </c:ext>
              </c:extLst>
            </c:dLbl>
            <c:dLbl>
              <c:idx val="8"/>
              <c:layout>
                <c:manualLayout>
                  <c:x val="-0.15903339288758603"/>
                  <c:y val="-6.460171570285598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948-41E0-A142-C84B62230B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Hoja1!$F$36:$F$44</c:f>
              <c:strCache>
                <c:ptCount val="9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Francia</c:v>
                </c:pt>
                <c:pt idx="4">
                  <c:v>Brasil</c:v>
                </c:pt>
                <c:pt idx="5">
                  <c:v>Rusia</c:v>
                </c:pt>
                <c:pt idx="6">
                  <c:v>Colombia</c:v>
                </c:pt>
                <c:pt idx="7">
                  <c:v>India</c:v>
                </c:pt>
                <c:pt idx="8">
                  <c:v>Otros</c:v>
                </c:pt>
              </c:strCache>
            </c:strRef>
          </c:cat>
          <c:val>
            <c:numRef>
              <c:f>Hoja1!$G$36:$G$44</c:f>
              <c:numCache>
                <c:formatCode>0.0%</c:formatCode>
                <c:ptCount val="9"/>
                <c:pt idx="0">
                  <c:v>0.60442260442260443</c:v>
                </c:pt>
                <c:pt idx="1">
                  <c:v>0.14250614250614252</c:v>
                </c:pt>
                <c:pt idx="2">
                  <c:v>5.4054054054054057E-2</c:v>
                </c:pt>
                <c:pt idx="3">
                  <c:v>3.4398034398034398E-2</c:v>
                </c:pt>
                <c:pt idx="4">
                  <c:v>2.7027027027027029E-2</c:v>
                </c:pt>
                <c:pt idx="5">
                  <c:v>1.7199017199017199E-2</c:v>
                </c:pt>
                <c:pt idx="6">
                  <c:v>1.4742014742014743E-2</c:v>
                </c:pt>
                <c:pt idx="7">
                  <c:v>1.4742014742014743E-2</c:v>
                </c:pt>
                <c:pt idx="8">
                  <c:v>9.0909090909090939E-2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ED-44F2-914C-101558F7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33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235527</xdr:colOff>
      <xdr:row>22</xdr:row>
      <xdr:rowOff>200891</xdr:rowOff>
    </xdr:from>
    <xdr:to>
      <xdr:col>7</xdr:col>
      <xdr:colOff>117764</xdr:colOff>
      <xdr:row>34</xdr:row>
      <xdr:rowOff>214745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102870</xdr:colOff>
      <xdr:row>38</xdr:row>
      <xdr:rowOff>0</xdr:rowOff>
    </xdr:from>
    <xdr:to>
      <xdr:col>6</xdr:col>
      <xdr:colOff>426720</xdr:colOff>
      <xdr:row>51</xdr:row>
      <xdr:rowOff>100330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234950</xdr:colOff>
      <xdr:row>1</xdr:row>
      <xdr:rowOff>38100</xdr:rowOff>
    </xdr:from>
    <xdr:to>
      <xdr:col>6</xdr:col>
      <xdr:colOff>731520</xdr:colOff>
      <xdr:row>18</xdr:row>
      <xdr:rowOff>175260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view="pageBreakPreview" zoomScale="110" zoomScaleNormal="90" zoomScaleSheetLayoutView="110" workbookViewId="0">
      <selection activeCell="A3" sqref="A3"/>
    </sheetView>
  </sheetViews>
  <sheetFormatPr baseColWidth="10" defaultColWidth="10.88671875" defaultRowHeight="18" x14ac:dyDescent="0.35"/>
  <cols>
    <col min="1" max="1" width="15.33203125" style="1" customWidth="1"/>
    <col min="2" max="7" width="14.109375" style="1" customWidth="1"/>
    <col min="8" max="16384" width="10.88671875" style="1"/>
  </cols>
  <sheetData>
    <row r="1" spans="1:7" ht="21" x14ac:dyDescent="0.4">
      <c r="A1" s="17" t="s">
        <v>13</v>
      </c>
      <c r="B1" s="17"/>
      <c r="C1" s="17"/>
      <c r="D1" s="17"/>
      <c r="E1" s="17"/>
      <c r="F1" s="17"/>
      <c r="G1" s="17"/>
    </row>
    <row r="4" spans="1:7" ht="21" x14ac:dyDescent="0.4">
      <c r="A4" s="5" t="s">
        <v>11</v>
      </c>
    </row>
    <row r="6" spans="1:7" x14ac:dyDescent="0.35">
      <c r="A6" s="7" t="s">
        <v>26</v>
      </c>
      <c r="B6" s="4" t="s">
        <v>27</v>
      </c>
    </row>
    <row r="7" spans="1:7" x14ac:dyDescent="0.35">
      <c r="A7" s="8" t="s">
        <v>4</v>
      </c>
      <c r="B7" s="2">
        <v>89</v>
      </c>
    </row>
    <row r="8" spans="1:7" x14ac:dyDescent="0.35">
      <c r="A8" s="8" t="s">
        <v>5</v>
      </c>
      <c r="B8" s="2">
        <v>48</v>
      </c>
    </row>
    <row r="9" spans="1:7" x14ac:dyDescent="0.35">
      <c r="A9" s="8" t="s">
        <v>6</v>
      </c>
      <c r="B9" s="2">
        <v>40</v>
      </c>
    </row>
    <row r="10" spans="1:7" x14ac:dyDescent="0.35">
      <c r="A10" s="8" t="s">
        <v>7</v>
      </c>
      <c r="B10" s="2">
        <v>85</v>
      </c>
    </row>
    <row r="11" spans="1:7" x14ac:dyDescent="0.35">
      <c r="A11" s="8" t="s">
        <v>8</v>
      </c>
      <c r="B11" s="2">
        <v>40</v>
      </c>
    </row>
    <row r="12" spans="1:7" x14ac:dyDescent="0.35">
      <c r="A12" s="8" t="s">
        <v>9</v>
      </c>
      <c r="B12" s="2">
        <v>32</v>
      </c>
    </row>
    <row r="13" spans="1:7" x14ac:dyDescent="0.35">
      <c r="A13" s="8" t="s">
        <v>28</v>
      </c>
      <c r="B13" s="2">
        <v>28</v>
      </c>
    </row>
    <row r="14" spans="1:7" x14ac:dyDescent="0.35">
      <c r="A14" s="8" t="s">
        <v>34</v>
      </c>
      <c r="B14" s="2">
        <v>25</v>
      </c>
    </row>
    <row r="15" spans="1:7" x14ac:dyDescent="0.35">
      <c r="A15" s="8" t="s">
        <v>48</v>
      </c>
      <c r="B15" s="2">
        <v>20</v>
      </c>
    </row>
    <row r="16" spans="1:7" x14ac:dyDescent="0.35">
      <c r="A16" s="8" t="s">
        <v>10</v>
      </c>
      <c r="B16" s="3">
        <v>1.9E-2</v>
      </c>
    </row>
    <row r="17" spans="1:6" x14ac:dyDescent="0.35">
      <c r="A17" s="14"/>
      <c r="B17" s="10"/>
    </row>
    <row r="18" spans="1:6" x14ac:dyDescent="0.35">
      <c r="A18" s="14"/>
      <c r="B18" s="10"/>
    </row>
    <row r="19" spans="1:6" x14ac:dyDescent="0.35">
      <c r="A19" s="14"/>
      <c r="B19" s="10"/>
    </row>
    <row r="23" spans="1:6" ht="21" x14ac:dyDescent="0.4">
      <c r="A23" s="5" t="s">
        <v>1</v>
      </c>
    </row>
    <row r="25" spans="1:6" x14ac:dyDescent="0.35">
      <c r="A25" s="7" t="s">
        <v>26</v>
      </c>
      <c r="B25" s="4" t="s">
        <v>27</v>
      </c>
      <c r="C25" s="9"/>
      <c r="D25" s="9"/>
      <c r="E25" s="9"/>
      <c r="F25" s="10"/>
    </row>
    <row r="26" spans="1:6" x14ac:dyDescent="0.35">
      <c r="A26" s="8" t="s">
        <v>5</v>
      </c>
      <c r="B26" s="2">
        <v>41</v>
      </c>
    </row>
    <row r="27" spans="1:6" x14ac:dyDescent="0.35">
      <c r="A27" s="8" t="s">
        <v>6</v>
      </c>
      <c r="B27" s="2">
        <v>41</v>
      </c>
    </row>
    <row r="28" spans="1:6" x14ac:dyDescent="0.35">
      <c r="A28" s="8" t="s">
        <v>7</v>
      </c>
      <c r="B28" s="2">
        <v>36</v>
      </c>
    </row>
    <row r="29" spans="1:6" x14ac:dyDescent="0.35">
      <c r="A29" s="8" t="s">
        <v>8</v>
      </c>
      <c r="B29" s="2">
        <v>47</v>
      </c>
    </row>
    <row r="30" spans="1:6" x14ac:dyDescent="0.35">
      <c r="A30" s="8" t="s">
        <v>9</v>
      </c>
      <c r="B30" s="2">
        <v>56</v>
      </c>
    </row>
    <row r="31" spans="1:6" x14ac:dyDescent="0.35">
      <c r="A31" s="8" t="s">
        <v>28</v>
      </c>
      <c r="B31" s="2">
        <v>193</v>
      </c>
    </row>
    <row r="32" spans="1:6" x14ac:dyDescent="0.35">
      <c r="A32" s="8" t="s">
        <v>34</v>
      </c>
      <c r="B32" s="2">
        <v>220</v>
      </c>
    </row>
    <row r="33" spans="1:2" x14ac:dyDescent="0.35">
      <c r="A33" s="8" t="s">
        <v>48</v>
      </c>
      <c r="B33" s="2">
        <v>182</v>
      </c>
    </row>
    <row r="34" spans="1:2" x14ac:dyDescent="0.35">
      <c r="A34" s="8" t="s">
        <v>10</v>
      </c>
      <c r="B34" s="3">
        <v>5.0000000000000001E-3</v>
      </c>
    </row>
    <row r="41" spans="1:2" ht="21" x14ac:dyDescent="0.4">
      <c r="A41" s="5" t="s">
        <v>12</v>
      </c>
    </row>
    <row r="42" spans="1:2" s="13" customFormat="1" x14ac:dyDescent="0.35">
      <c r="A42" s="12"/>
      <c r="B42" s="12"/>
    </row>
    <row r="43" spans="1:2" s="13" customFormat="1" x14ac:dyDescent="0.35">
      <c r="A43" s="15" t="s">
        <v>26</v>
      </c>
      <c r="B43" s="16" t="s">
        <v>27</v>
      </c>
    </row>
    <row r="44" spans="1:2" x14ac:dyDescent="0.35">
      <c r="A44" s="8" t="s">
        <v>9</v>
      </c>
      <c r="B44" s="6">
        <v>33</v>
      </c>
    </row>
    <row r="45" spans="1:2" x14ac:dyDescent="0.35">
      <c r="A45" s="8" t="s">
        <v>28</v>
      </c>
      <c r="B45" s="6">
        <v>15</v>
      </c>
    </row>
    <row r="46" spans="1:2" x14ac:dyDescent="0.35">
      <c r="A46" s="8" t="s">
        <v>34</v>
      </c>
      <c r="B46" s="6">
        <v>16</v>
      </c>
    </row>
    <row r="47" spans="1:2" x14ac:dyDescent="0.35">
      <c r="A47" s="8" t="s">
        <v>48</v>
      </c>
      <c r="B47" s="6">
        <v>7</v>
      </c>
    </row>
    <row r="48" spans="1:2" x14ac:dyDescent="0.35">
      <c r="A48" s="6" t="s">
        <v>10</v>
      </c>
      <c r="B48" s="11">
        <v>1.2999999999999999E-2</v>
      </c>
    </row>
  </sheetData>
  <mergeCells count="1">
    <mergeCell ref="A1:G1"/>
  </mergeCells>
  <pageMargins left="0.7" right="0.7" top="0.75" bottom="0.75" header="0.3" footer="0.3"/>
  <pageSetup paperSize="9" scale="79" orientation="portrait" horizontalDpi="300" verticalDpi="300" r:id="rId1"/>
  <rowBreaks count="1" manualBreakCount="1">
    <brk id="5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opLeftCell="A26" workbookViewId="0">
      <selection activeCell="F36" sqref="F36"/>
    </sheetView>
  </sheetViews>
  <sheetFormatPr baseColWidth="10" defaultRowHeight="14.4" x14ac:dyDescent="0.3"/>
  <sheetData>
    <row r="1" spans="1:7" x14ac:dyDescent="0.3">
      <c r="A1" s="19" t="s">
        <v>0</v>
      </c>
      <c r="B1" s="19" t="s">
        <v>14</v>
      </c>
      <c r="C1" s="19" t="s">
        <v>15</v>
      </c>
      <c r="D1" s="19" t="s">
        <v>10</v>
      </c>
      <c r="F1" s="18" t="s">
        <v>51</v>
      </c>
    </row>
    <row r="2" spans="1:7" x14ac:dyDescent="0.3">
      <c r="A2" s="19" t="s">
        <v>1</v>
      </c>
      <c r="B2" s="19" t="s">
        <v>16</v>
      </c>
      <c r="C2" s="19">
        <v>574</v>
      </c>
      <c r="D2" s="20">
        <v>0.70343137254901966</v>
      </c>
      <c r="F2" s="19" t="s">
        <v>16</v>
      </c>
      <c r="G2" s="20">
        <v>0.70343137254901966</v>
      </c>
    </row>
    <row r="3" spans="1:7" x14ac:dyDescent="0.3">
      <c r="A3" s="19" t="s">
        <v>1</v>
      </c>
      <c r="B3" s="19" t="s">
        <v>21</v>
      </c>
      <c r="C3" s="19">
        <v>59</v>
      </c>
      <c r="D3" s="20">
        <v>7.2303921568627458E-2</v>
      </c>
      <c r="F3" s="19" t="s">
        <v>21</v>
      </c>
      <c r="G3" s="20">
        <v>7.2303921568627458E-2</v>
      </c>
    </row>
    <row r="4" spans="1:7" x14ac:dyDescent="0.3">
      <c r="A4" s="19" t="s">
        <v>1</v>
      </c>
      <c r="B4" s="19" t="s">
        <v>17</v>
      </c>
      <c r="C4" s="19">
        <v>51</v>
      </c>
      <c r="D4" s="20">
        <v>6.25E-2</v>
      </c>
      <c r="F4" s="19" t="s">
        <v>17</v>
      </c>
      <c r="G4" s="20">
        <v>6.25E-2</v>
      </c>
    </row>
    <row r="5" spans="1:7" x14ac:dyDescent="0.3">
      <c r="A5" s="19" t="s">
        <v>1</v>
      </c>
      <c r="B5" s="19" t="s">
        <v>20</v>
      </c>
      <c r="C5" s="19">
        <v>36</v>
      </c>
      <c r="D5" s="20">
        <v>4.4117647058823532E-2</v>
      </c>
      <c r="F5" s="19" t="s">
        <v>20</v>
      </c>
      <c r="G5" s="20">
        <v>4.4117647058823532E-2</v>
      </c>
    </row>
    <row r="6" spans="1:7" x14ac:dyDescent="0.3">
      <c r="A6" s="19" t="s">
        <v>1</v>
      </c>
      <c r="B6" s="19" t="s">
        <v>29</v>
      </c>
      <c r="C6" s="19">
        <v>10</v>
      </c>
      <c r="D6" s="20">
        <v>1.2254901960784314E-2</v>
      </c>
      <c r="F6" s="19" t="s">
        <v>29</v>
      </c>
      <c r="G6" s="20">
        <v>1.2254901960784314E-2</v>
      </c>
    </row>
    <row r="7" spans="1:7" x14ac:dyDescent="0.3">
      <c r="A7" s="19" t="s">
        <v>1</v>
      </c>
      <c r="B7" s="19" t="s">
        <v>23</v>
      </c>
      <c r="C7" s="19">
        <v>9</v>
      </c>
      <c r="D7" s="20">
        <v>1.1029411764705883E-2</v>
      </c>
      <c r="F7" s="19" t="s">
        <v>23</v>
      </c>
      <c r="G7" s="20">
        <v>1.1029411764705883E-2</v>
      </c>
    </row>
    <row r="8" spans="1:7" x14ac:dyDescent="0.3">
      <c r="A8" s="19" t="s">
        <v>1</v>
      </c>
      <c r="B8" s="19" t="s">
        <v>31</v>
      </c>
      <c r="C8" s="19">
        <v>7</v>
      </c>
      <c r="D8" s="20">
        <v>8.5784313725490204E-3</v>
      </c>
      <c r="F8" s="19" t="s">
        <v>49</v>
      </c>
      <c r="G8" s="21">
        <v>9.4362745098039227E-2</v>
      </c>
    </row>
    <row r="9" spans="1:7" x14ac:dyDescent="0.3">
      <c r="A9" s="19" t="s">
        <v>1</v>
      </c>
      <c r="B9" s="19" t="s">
        <v>25</v>
      </c>
      <c r="C9" s="19">
        <v>7</v>
      </c>
      <c r="D9" s="20">
        <v>8.5784313725490204E-3</v>
      </c>
      <c r="E9" s="22"/>
      <c r="F9" s="19"/>
    </row>
    <row r="10" spans="1:7" x14ac:dyDescent="0.3">
      <c r="A10" s="19" t="s">
        <v>1</v>
      </c>
      <c r="B10" s="19" t="s">
        <v>32</v>
      </c>
      <c r="C10" s="19">
        <v>7</v>
      </c>
      <c r="D10" s="20">
        <v>8.5784313725490204E-3</v>
      </c>
      <c r="E10" s="19"/>
      <c r="F10" s="19"/>
    </row>
    <row r="11" spans="1:7" x14ac:dyDescent="0.3">
      <c r="A11" s="19" t="s">
        <v>1</v>
      </c>
      <c r="B11" s="19" t="s">
        <v>38</v>
      </c>
      <c r="C11" s="19">
        <v>6</v>
      </c>
      <c r="D11" s="20">
        <v>7.3529411764705881E-3</v>
      </c>
      <c r="E11" s="19"/>
      <c r="F11" s="19"/>
    </row>
    <row r="12" spans="1:7" x14ac:dyDescent="0.3">
      <c r="A12" s="19" t="s">
        <v>1</v>
      </c>
      <c r="B12" s="19" t="s">
        <v>19</v>
      </c>
      <c r="C12" s="19">
        <v>6</v>
      </c>
      <c r="D12" s="20">
        <v>7.3529411764705881E-3</v>
      </c>
      <c r="E12" s="19"/>
      <c r="F12" s="19"/>
    </row>
    <row r="13" spans="1:7" x14ac:dyDescent="0.3">
      <c r="A13" s="19" t="s">
        <v>1</v>
      </c>
      <c r="B13" s="19" t="s">
        <v>22</v>
      </c>
      <c r="C13" s="19">
        <v>6</v>
      </c>
      <c r="D13" s="20">
        <v>7.3529411764705881E-3</v>
      </c>
      <c r="E13" s="19"/>
      <c r="F13" s="19"/>
    </row>
    <row r="14" spans="1:7" x14ac:dyDescent="0.3">
      <c r="A14" s="19" t="s">
        <v>1</v>
      </c>
      <c r="B14" s="19" t="s">
        <v>30</v>
      </c>
      <c r="C14" s="19">
        <v>6</v>
      </c>
      <c r="D14" s="20">
        <v>7.3529411764705881E-3</v>
      </c>
      <c r="E14" s="19"/>
      <c r="F14" s="19"/>
    </row>
    <row r="15" spans="1:7" x14ac:dyDescent="0.3">
      <c r="A15" s="19" t="s">
        <v>1</v>
      </c>
      <c r="B15" s="19" t="s">
        <v>42</v>
      </c>
      <c r="C15" s="19">
        <v>4</v>
      </c>
      <c r="D15" s="20">
        <v>4.9019607843137254E-3</v>
      </c>
      <c r="E15" s="19"/>
      <c r="F15" s="19"/>
    </row>
    <row r="16" spans="1:7" x14ac:dyDescent="0.3">
      <c r="A16" s="19" t="s">
        <v>1</v>
      </c>
      <c r="B16" s="19" t="s">
        <v>35</v>
      </c>
      <c r="C16" s="19">
        <v>3</v>
      </c>
      <c r="D16" s="20">
        <v>3.6764705882352941E-3</v>
      </c>
      <c r="E16" s="19"/>
      <c r="F16" s="19"/>
    </row>
    <row r="17" spans="1:4" x14ac:dyDescent="0.3">
      <c r="A17" s="19" t="s">
        <v>1</v>
      </c>
      <c r="B17" s="19" t="s">
        <v>44</v>
      </c>
      <c r="C17" s="19">
        <v>3</v>
      </c>
      <c r="D17" s="20">
        <v>3.6764705882352941E-3</v>
      </c>
    </row>
    <row r="18" spans="1:4" x14ac:dyDescent="0.3">
      <c r="A18" s="19" t="s">
        <v>1</v>
      </c>
      <c r="B18" s="19" t="s">
        <v>36</v>
      </c>
      <c r="C18" s="19">
        <v>3</v>
      </c>
      <c r="D18" s="20">
        <v>3.6764705882352941E-3</v>
      </c>
    </row>
    <row r="19" spans="1:4" x14ac:dyDescent="0.3">
      <c r="A19" s="19" t="s">
        <v>1</v>
      </c>
      <c r="B19" s="19" t="s">
        <v>18</v>
      </c>
      <c r="C19" s="19">
        <v>3</v>
      </c>
      <c r="D19" s="20">
        <v>3.6764705882352941E-3</v>
      </c>
    </row>
    <row r="20" spans="1:4" x14ac:dyDescent="0.3">
      <c r="A20" s="19" t="s">
        <v>1</v>
      </c>
      <c r="B20" s="19" t="s">
        <v>37</v>
      </c>
      <c r="C20" s="19">
        <v>3</v>
      </c>
      <c r="D20" s="20">
        <v>3.6764705882352941E-3</v>
      </c>
    </row>
    <row r="21" spans="1:4" x14ac:dyDescent="0.3">
      <c r="A21" s="19" t="s">
        <v>1</v>
      </c>
      <c r="B21" s="19" t="s">
        <v>39</v>
      </c>
      <c r="C21" s="19">
        <v>3</v>
      </c>
      <c r="D21" s="20">
        <v>3.6764705882352941E-3</v>
      </c>
    </row>
    <row r="22" spans="1:4" x14ac:dyDescent="0.3">
      <c r="A22" s="19" t="s">
        <v>1</v>
      </c>
      <c r="B22" s="19" t="s">
        <v>50</v>
      </c>
      <c r="C22" s="19">
        <v>3</v>
      </c>
      <c r="D22" s="20">
        <v>3.6764705882352941E-3</v>
      </c>
    </row>
    <row r="23" spans="1:4" x14ac:dyDescent="0.3">
      <c r="A23" s="19" t="s">
        <v>1</v>
      </c>
      <c r="B23" s="19" t="s">
        <v>40</v>
      </c>
      <c r="C23" s="19">
        <v>3</v>
      </c>
      <c r="D23" s="20">
        <v>3.6764705882352941E-3</v>
      </c>
    </row>
    <row r="24" spans="1:4" x14ac:dyDescent="0.3">
      <c r="A24" s="19" t="s">
        <v>1</v>
      </c>
      <c r="B24" s="19"/>
      <c r="C24" s="19">
        <v>3</v>
      </c>
      <c r="D24" s="20">
        <v>3.6764705882352941E-3</v>
      </c>
    </row>
    <row r="25" spans="1:4" x14ac:dyDescent="0.3">
      <c r="A25" s="19" t="s">
        <v>1</v>
      </c>
      <c r="B25" s="19" t="s">
        <v>41</v>
      </c>
      <c r="C25" s="19">
        <v>1</v>
      </c>
      <c r="D25" s="20">
        <v>1.2254901960784314E-3</v>
      </c>
    </row>
    <row r="26" spans="1:4" x14ac:dyDescent="0.3">
      <c r="A26" s="19" t="s">
        <v>2</v>
      </c>
      <c r="B26" s="19" t="s">
        <v>16</v>
      </c>
      <c r="C26" s="19">
        <v>45</v>
      </c>
      <c r="D26" s="20">
        <f>C26/SUM($C$26:$C$35)</f>
        <v>0.63380281690140849</v>
      </c>
    </row>
    <row r="27" spans="1:4" x14ac:dyDescent="0.3">
      <c r="A27" s="19" t="s">
        <v>2</v>
      </c>
      <c r="B27" s="19" t="s">
        <v>21</v>
      </c>
      <c r="C27" s="19">
        <v>10</v>
      </c>
      <c r="D27" s="20">
        <f t="shared" ref="D27:D35" si="0">C27/SUM($C$26:$C$35)</f>
        <v>0.14084507042253522</v>
      </c>
    </row>
    <row r="28" spans="1:4" x14ac:dyDescent="0.3">
      <c r="A28" s="19" t="s">
        <v>2</v>
      </c>
      <c r="B28" s="19" t="s">
        <v>20</v>
      </c>
      <c r="C28" s="19">
        <v>3</v>
      </c>
      <c r="D28" s="20">
        <f t="shared" si="0"/>
        <v>4.2253521126760563E-2</v>
      </c>
    </row>
    <row r="29" spans="1:4" x14ac:dyDescent="0.3">
      <c r="A29" s="19" t="s">
        <v>2</v>
      </c>
      <c r="B29" s="19" t="s">
        <v>17</v>
      </c>
      <c r="C29" s="19">
        <v>3</v>
      </c>
      <c r="D29" s="20">
        <f t="shared" si="0"/>
        <v>4.2253521126760563E-2</v>
      </c>
    </row>
    <row r="30" spans="1:4" x14ac:dyDescent="0.3">
      <c r="A30" s="19" t="s">
        <v>2</v>
      </c>
      <c r="B30" s="19" t="s">
        <v>18</v>
      </c>
      <c r="C30" s="19">
        <v>2</v>
      </c>
      <c r="D30" s="20">
        <f t="shared" si="0"/>
        <v>2.8169014084507043E-2</v>
      </c>
    </row>
    <row r="31" spans="1:4" x14ac:dyDescent="0.3">
      <c r="A31" s="19" t="s">
        <v>2</v>
      </c>
      <c r="B31" s="19" t="s">
        <v>24</v>
      </c>
      <c r="C31" s="19">
        <v>2</v>
      </c>
      <c r="D31" s="20">
        <f t="shared" si="0"/>
        <v>2.8169014084507043E-2</v>
      </c>
    </row>
    <row r="32" spans="1:4" x14ac:dyDescent="0.3">
      <c r="A32" s="19" t="s">
        <v>2</v>
      </c>
      <c r="B32" s="19" t="s">
        <v>22</v>
      </c>
      <c r="C32" s="19">
        <v>2</v>
      </c>
      <c r="D32" s="20">
        <f t="shared" si="0"/>
        <v>2.8169014084507043E-2</v>
      </c>
    </row>
    <row r="33" spans="1:7" x14ac:dyDescent="0.3">
      <c r="A33" s="19" t="s">
        <v>2</v>
      </c>
      <c r="B33" s="19" t="s">
        <v>23</v>
      </c>
      <c r="C33" s="19">
        <v>2</v>
      </c>
      <c r="D33" s="20">
        <f t="shared" si="0"/>
        <v>2.8169014084507043E-2</v>
      </c>
    </row>
    <row r="34" spans="1:7" x14ac:dyDescent="0.3">
      <c r="A34" s="19" t="s">
        <v>2</v>
      </c>
      <c r="B34" s="19" t="s">
        <v>19</v>
      </c>
      <c r="C34" s="19">
        <v>1</v>
      </c>
      <c r="D34" s="20">
        <f t="shared" si="0"/>
        <v>1.4084507042253521E-2</v>
      </c>
    </row>
    <row r="35" spans="1:7" x14ac:dyDescent="0.3">
      <c r="A35" s="19" t="s">
        <v>2</v>
      </c>
      <c r="B35" s="19" t="s">
        <v>43</v>
      </c>
      <c r="C35" s="19">
        <v>1</v>
      </c>
      <c r="D35" s="20">
        <f t="shared" si="0"/>
        <v>1.4084507042253521E-2</v>
      </c>
      <c r="F35" s="18" t="s">
        <v>52</v>
      </c>
    </row>
    <row r="36" spans="1:7" x14ac:dyDescent="0.3">
      <c r="A36" s="19" t="s">
        <v>3</v>
      </c>
      <c r="B36" s="19" t="s">
        <v>16</v>
      </c>
      <c r="C36" s="19">
        <v>246</v>
      </c>
      <c r="D36" s="20">
        <f>C36/SUM($C$36:$C$58)</f>
        <v>0.60442260442260443</v>
      </c>
      <c r="F36" s="19" t="s">
        <v>16</v>
      </c>
      <c r="G36" s="21">
        <v>0.60442260442260443</v>
      </c>
    </row>
    <row r="37" spans="1:7" x14ac:dyDescent="0.3">
      <c r="A37" s="19" t="s">
        <v>3</v>
      </c>
      <c r="B37" s="19" t="s">
        <v>17</v>
      </c>
      <c r="C37" s="19">
        <v>58</v>
      </c>
      <c r="D37" s="20">
        <f t="shared" ref="D37:D58" si="1">C37/SUM($C$36:$C$58)</f>
        <v>0.14250614250614252</v>
      </c>
      <c r="F37" s="19" t="s">
        <v>17</v>
      </c>
      <c r="G37" s="21">
        <v>0.14250614250614252</v>
      </c>
    </row>
    <row r="38" spans="1:7" x14ac:dyDescent="0.3">
      <c r="A38" s="19" t="s">
        <v>3</v>
      </c>
      <c r="B38" s="19" t="s">
        <v>20</v>
      </c>
      <c r="C38" s="19">
        <v>22</v>
      </c>
      <c r="D38" s="20">
        <f t="shared" si="1"/>
        <v>5.4054054054054057E-2</v>
      </c>
      <c r="F38" s="19" t="s">
        <v>20</v>
      </c>
      <c r="G38" s="21">
        <v>5.4054054054054057E-2</v>
      </c>
    </row>
    <row r="39" spans="1:7" x14ac:dyDescent="0.3">
      <c r="A39" s="19" t="s">
        <v>3</v>
      </c>
      <c r="B39" s="19" t="s">
        <v>19</v>
      </c>
      <c r="C39" s="19">
        <v>14</v>
      </c>
      <c r="D39" s="20">
        <f t="shared" si="1"/>
        <v>3.4398034398034398E-2</v>
      </c>
      <c r="F39" s="19" t="s">
        <v>19</v>
      </c>
      <c r="G39" s="21">
        <v>3.4398034398034398E-2</v>
      </c>
    </row>
    <row r="40" spans="1:7" x14ac:dyDescent="0.3">
      <c r="A40" s="19" t="s">
        <v>3</v>
      </c>
      <c r="B40" s="19" t="s">
        <v>21</v>
      </c>
      <c r="C40" s="19">
        <v>11</v>
      </c>
      <c r="D40" s="20">
        <f t="shared" si="1"/>
        <v>2.7027027027027029E-2</v>
      </c>
      <c r="F40" s="19" t="s">
        <v>21</v>
      </c>
      <c r="G40" s="21">
        <v>2.7027027027027029E-2</v>
      </c>
    </row>
    <row r="41" spans="1:7" x14ac:dyDescent="0.3">
      <c r="A41" s="19" t="s">
        <v>3</v>
      </c>
      <c r="B41" s="19" t="s">
        <v>32</v>
      </c>
      <c r="C41" s="19">
        <v>7</v>
      </c>
      <c r="D41" s="20">
        <f t="shared" si="1"/>
        <v>1.7199017199017199E-2</v>
      </c>
      <c r="F41" s="19" t="s">
        <v>32</v>
      </c>
      <c r="G41" s="21">
        <v>1.7199017199017199E-2</v>
      </c>
    </row>
    <row r="42" spans="1:7" x14ac:dyDescent="0.3">
      <c r="A42" s="19" t="s">
        <v>3</v>
      </c>
      <c r="B42" s="19" t="s">
        <v>18</v>
      </c>
      <c r="C42" s="19">
        <v>6</v>
      </c>
      <c r="D42" s="20">
        <f t="shared" si="1"/>
        <v>1.4742014742014743E-2</v>
      </c>
      <c r="F42" s="19" t="s">
        <v>18</v>
      </c>
      <c r="G42" s="21">
        <v>1.4742014742014743E-2</v>
      </c>
    </row>
    <row r="43" spans="1:7" x14ac:dyDescent="0.3">
      <c r="A43" s="19" t="s">
        <v>3</v>
      </c>
      <c r="B43" s="19" t="s">
        <v>33</v>
      </c>
      <c r="C43" s="19">
        <v>6</v>
      </c>
      <c r="D43" s="20">
        <f t="shared" si="1"/>
        <v>1.4742014742014743E-2</v>
      </c>
      <c r="F43" s="19" t="s">
        <v>33</v>
      </c>
      <c r="G43" s="21">
        <v>1.4742014742014743E-2</v>
      </c>
    </row>
    <row r="44" spans="1:7" x14ac:dyDescent="0.3">
      <c r="A44" s="19" t="s">
        <v>3</v>
      </c>
      <c r="B44" s="19" t="s">
        <v>31</v>
      </c>
      <c r="C44" s="19">
        <v>3</v>
      </c>
      <c r="D44" s="20">
        <f t="shared" si="1"/>
        <v>7.3710073710073713E-3</v>
      </c>
      <c r="F44" t="s">
        <v>49</v>
      </c>
      <c r="G44" s="21">
        <f>1-SUM(G36:G43)</f>
        <v>9.0909090909090939E-2</v>
      </c>
    </row>
    <row r="45" spans="1:7" x14ac:dyDescent="0.3">
      <c r="A45" s="19" t="s">
        <v>3</v>
      </c>
      <c r="B45" s="19" t="s">
        <v>44</v>
      </c>
      <c r="C45" s="19">
        <v>3</v>
      </c>
      <c r="D45" s="20">
        <f t="shared" si="1"/>
        <v>7.3710073710073713E-3</v>
      </c>
    </row>
    <row r="46" spans="1:7" x14ac:dyDescent="0.3">
      <c r="A46" s="19" t="s">
        <v>3</v>
      </c>
      <c r="B46" s="19" t="s">
        <v>36</v>
      </c>
      <c r="C46" s="19">
        <v>3</v>
      </c>
      <c r="D46" s="20">
        <f t="shared" si="1"/>
        <v>7.3710073710073713E-3</v>
      </c>
    </row>
    <row r="47" spans="1:7" x14ac:dyDescent="0.3">
      <c r="A47" s="19" t="s">
        <v>3</v>
      </c>
      <c r="B47" s="19" t="s">
        <v>45</v>
      </c>
      <c r="C47" s="19">
        <v>3</v>
      </c>
      <c r="D47" s="20">
        <f t="shared" si="1"/>
        <v>7.3710073710073713E-3</v>
      </c>
    </row>
    <row r="48" spans="1:7" x14ac:dyDescent="0.3">
      <c r="A48" s="19" t="s">
        <v>3</v>
      </c>
      <c r="B48" s="19" t="s">
        <v>38</v>
      </c>
      <c r="C48" s="19">
        <v>3</v>
      </c>
      <c r="D48" s="20">
        <f t="shared" si="1"/>
        <v>7.3710073710073713E-3</v>
      </c>
    </row>
    <row r="49" spans="1:4" x14ac:dyDescent="0.3">
      <c r="A49" s="19" t="s">
        <v>3</v>
      </c>
      <c r="B49" s="19" t="s">
        <v>46</v>
      </c>
      <c r="C49" s="19">
        <v>3</v>
      </c>
      <c r="D49" s="20">
        <f t="shared" si="1"/>
        <v>7.3710073710073713E-3</v>
      </c>
    </row>
    <row r="50" spans="1:4" x14ac:dyDescent="0.3">
      <c r="A50" s="19" t="s">
        <v>3</v>
      </c>
      <c r="B50" s="19" t="s">
        <v>25</v>
      </c>
      <c r="C50" s="19">
        <v>3</v>
      </c>
      <c r="D50" s="20">
        <f t="shared" si="1"/>
        <v>7.3710073710073713E-3</v>
      </c>
    </row>
    <row r="51" spans="1:4" x14ac:dyDescent="0.3">
      <c r="A51" s="19" t="s">
        <v>3</v>
      </c>
      <c r="B51" s="19"/>
      <c r="C51" s="19">
        <v>3</v>
      </c>
      <c r="D51" s="20">
        <f t="shared" si="1"/>
        <v>7.3710073710073713E-3</v>
      </c>
    </row>
    <row r="52" spans="1:4" x14ac:dyDescent="0.3">
      <c r="A52" s="19" t="s">
        <v>3</v>
      </c>
      <c r="B52" s="19" t="s">
        <v>35</v>
      </c>
      <c r="C52" s="19">
        <v>2</v>
      </c>
      <c r="D52" s="20">
        <f t="shared" si="1"/>
        <v>4.9140049140049139E-3</v>
      </c>
    </row>
    <row r="53" spans="1:4" x14ac:dyDescent="0.3">
      <c r="A53" s="19" t="s">
        <v>3</v>
      </c>
      <c r="B53" s="19" t="s">
        <v>29</v>
      </c>
      <c r="C53" s="19">
        <v>2</v>
      </c>
      <c r="D53" s="20">
        <f t="shared" si="1"/>
        <v>4.9140049140049139E-3</v>
      </c>
    </row>
    <row r="54" spans="1:4" x14ac:dyDescent="0.3">
      <c r="A54" s="19" t="s">
        <v>3</v>
      </c>
      <c r="B54" s="19" t="s">
        <v>47</v>
      </c>
      <c r="C54" s="19">
        <v>2</v>
      </c>
      <c r="D54" s="20">
        <f t="shared" si="1"/>
        <v>4.9140049140049139E-3</v>
      </c>
    </row>
    <row r="55" spans="1:4" x14ac:dyDescent="0.3">
      <c r="A55" s="19" t="s">
        <v>3</v>
      </c>
      <c r="B55" s="19" t="s">
        <v>22</v>
      </c>
      <c r="C55" s="19">
        <v>2</v>
      </c>
      <c r="D55" s="20">
        <f t="shared" si="1"/>
        <v>4.9140049140049139E-3</v>
      </c>
    </row>
    <row r="56" spans="1:4" x14ac:dyDescent="0.3">
      <c r="A56" s="19" t="s">
        <v>3</v>
      </c>
      <c r="B56" s="19" t="s">
        <v>23</v>
      </c>
      <c r="C56" s="19">
        <v>2</v>
      </c>
      <c r="D56" s="20">
        <f t="shared" si="1"/>
        <v>4.9140049140049139E-3</v>
      </c>
    </row>
    <row r="57" spans="1:4" x14ac:dyDescent="0.3">
      <c r="A57" s="19" t="s">
        <v>3</v>
      </c>
      <c r="B57" s="19" t="s">
        <v>30</v>
      </c>
      <c r="C57" s="19">
        <v>2</v>
      </c>
      <c r="D57" s="20">
        <f t="shared" si="1"/>
        <v>4.9140049140049139E-3</v>
      </c>
    </row>
    <row r="58" spans="1:4" x14ac:dyDescent="0.3">
      <c r="A58" s="19" t="s">
        <v>3</v>
      </c>
      <c r="B58" s="19" t="s">
        <v>42</v>
      </c>
      <c r="C58" s="19">
        <v>1</v>
      </c>
      <c r="D58" s="20">
        <f t="shared" si="1"/>
        <v>2.4570024570024569E-3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 1</vt:lpstr>
      <vt:lpstr>Hoja1</vt:lpstr>
      <vt:lpstr>'Sheet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cp:lastPrinted>2025-08-08T14:39:23Z</cp:lastPrinted>
  <dcterms:created xsi:type="dcterms:W3CDTF">2025-05-29T15:57:49Z</dcterms:created>
  <dcterms:modified xsi:type="dcterms:W3CDTF">2025-09-02T13:13:37Z</dcterms:modified>
</cp:coreProperties>
</file>