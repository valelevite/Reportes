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Sheet 1" sheetId="1" r:id="rId1"/>
    <sheet name="tabla nacionalidad" sheetId="2" r:id="rId2"/>
  </sheets>
  <definedNames>
    <definedName name="_xlnm.Print_Area" localSheetId="0">'Sheet 1'!$A$1:$G$44</definedName>
  </definedNames>
  <calcPr calcId="162913"/>
</workbook>
</file>

<file path=xl/calcChain.xml><?xml version="1.0" encoding="utf-8"?>
<calcChain xmlns="http://schemas.openxmlformats.org/spreadsheetml/2006/main">
  <c r="D17" i="2" l="1"/>
  <c r="D18" i="2"/>
  <c r="D19" i="2"/>
  <c r="D20" i="2"/>
  <c r="D21" i="2"/>
  <c r="D22" i="2"/>
  <c r="D23" i="2"/>
  <c r="D24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<sst xmlns="http://schemas.openxmlformats.org/spreadsheetml/2006/main" count="75" uniqueCount="34">
  <si>
    <t>CATEGORIA</t>
  </si>
  <si>
    <t>MEDIAS</t>
  </si>
  <si>
    <t>MOCHILA TECH</t>
  </si>
  <si>
    <t>REMERA</t>
  </si>
  <si>
    <t>Diciembre</t>
  </si>
  <si>
    <t>Enero</t>
  </si>
  <si>
    <t>Febrero</t>
  </si>
  <si>
    <t>Marzo</t>
  </si>
  <si>
    <t>Abril</t>
  </si>
  <si>
    <t>Mayo</t>
  </si>
  <si>
    <t>Participación</t>
  </si>
  <si>
    <t>REMERAS PIMA</t>
  </si>
  <si>
    <t>MOCHILAS TECH</t>
  </si>
  <si>
    <t>SEGUIMIENTO DE PRODUCTOS SELECCIONADOS</t>
  </si>
  <si>
    <t>NACIONALIDAD</t>
  </si>
  <si>
    <t>Total</t>
  </si>
  <si>
    <t>%</t>
  </si>
  <si>
    <t>Argentina</t>
  </si>
  <si>
    <t>Reino Unido</t>
  </si>
  <si>
    <t>USA</t>
  </si>
  <si>
    <t>Colombia</t>
  </si>
  <si>
    <t>España</t>
  </si>
  <si>
    <t>Francia</t>
  </si>
  <si>
    <t>México</t>
  </si>
  <si>
    <t>Brasil</t>
  </si>
  <si>
    <t>Italia</t>
  </si>
  <si>
    <t>Uruguay</t>
  </si>
  <si>
    <t>Costa Rica</t>
  </si>
  <si>
    <t>Países Bajos</t>
  </si>
  <si>
    <t>Perú</t>
  </si>
  <si>
    <t>Suiza</t>
  </si>
  <si>
    <t>Otras</t>
  </si>
  <si>
    <t>Mes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</si>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</sst>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9" fontId="0" fillId="0" borderId="0" xfId="1" applyNumberFormat="1" applyFont="1"/>
    <xf numFmtId="9" fontId="0" fillId="0" borderId="0" xfId="0" applyNumberFormat="1"/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C4-49D1-9478-A712C4551B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C4-49D1-9478-A712C4551B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C4-49D1-9478-A712C4551B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C4-49D1-9478-A712C4551B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C4-49D1-9478-A712C4551BA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C4-49D1-9478-A712C4551B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C4-49D1-9478-A712C4551BA8}"/>
              </c:ext>
            </c:extLst>
          </c:dPt>
          <c:dLbls>
            <c:dLbl>
              <c:idx val="0"/>
              <c:layout>
                <c:manualLayout>
                  <c:x val="-0.20283727034120735"/>
                  <c:y val="5.02741324001166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DC4-49D1-9478-A712C4551BA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DC4-49D1-9478-A712C4551BA8}"/>
                </c:ext>
              </c:extLst>
            </c:dLbl>
            <c:dLbl>
              <c:idx val="2"/>
              <c:layout>
                <c:manualLayout>
                  <c:x val="0.11665463692038495"/>
                  <c:y val="-0.136116214639836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C4-49D1-9478-A712C4551BA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DC4-49D1-9478-A712C4551B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'tabla nacionalidad'!$B$2:$B$8</c:f>
              <c:strCache>
                <c:ptCount val="7"/>
                <c:pt idx="0">
                  <c:v>Argentina</c:v>
                </c:pt>
                <c:pt idx="1">
                  <c:v>Reino Unido</c:v>
                </c:pt>
                <c:pt idx="2">
                  <c:v>USA</c:v>
                </c:pt>
                <c:pt idx="3">
                  <c:v>Colombia</c:v>
                </c:pt>
                <c:pt idx="4">
                  <c:v>España</c:v>
                </c:pt>
                <c:pt idx="5">
                  <c:v>Francia</c:v>
                </c:pt>
                <c:pt idx="6">
                  <c:v>México</c:v>
                </c:pt>
              </c:strCache>
            </c:strRef>
          </c:cat>
          <c:val>
            <c:numRef>
              <c:f>'tabla nacionalidad'!$D$2:$D$8</c:f>
              <c:numCache>
                <c:formatCode>0%</c:formatCode>
                <c:ptCount val="7"/>
                <c:pt idx="0">
                  <c:v>0.45714285714285713</c:v>
                </c:pt>
                <c:pt idx="1">
                  <c:v>0.11428571428571428</c:v>
                </c:pt>
                <c:pt idx="2">
                  <c:v>0.11428571428571428</c:v>
                </c:pt>
                <c:pt idx="3">
                  <c:v>8.5714285714285715E-2</c:v>
                </c:pt>
                <c:pt idx="4">
                  <c:v>8.5714285714285715E-2</c:v>
                </c:pt>
                <c:pt idx="5">
                  <c:v>8.5714285714285715E-2</c:v>
                </c:pt>
                <c:pt idx="6">
                  <c:v>5.7142857142857141E-2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C4-49D1-9478-A712C4551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FE-413E-9821-654AC26E1B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FE-413E-9821-654AC26E1B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FE-413E-9821-654AC26E1B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FE-413E-9821-654AC26E1B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4FE-413E-9821-654AC26E1B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4FE-413E-9821-654AC26E1B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4FE-413E-9821-654AC26E1B0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4FE-413E-9821-654AC26E1B0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4FE-413E-9821-654AC26E1B0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4FE-413E-9821-654AC26E1B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'tabla nacionalidad'!$B$9:$B$15</c:f>
              <c:strCache>
                <c:ptCount val="7"/>
                <c:pt idx="0">
                  <c:v>Argentina</c:v>
                </c:pt>
                <c:pt idx="1">
                  <c:v>Brasil</c:v>
                </c:pt>
                <c:pt idx="2">
                  <c:v>USA</c:v>
                </c:pt>
                <c:pt idx="3">
                  <c:v>Colombia</c:v>
                </c:pt>
                <c:pt idx="4">
                  <c:v>Italia</c:v>
                </c:pt>
                <c:pt idx="5">
                  <c:v>México</c:v>
                </c:pt>
                <c:pt idx="6">
                  <c:v>Uruguay</c:v>
                </c:pt>
              </c:strCache>
            </c:strRef>
          </c:cat>
          <c:val>
            <c:numRef>
              <c:f>'tabla nacionalidad'!$D$9:$D$15</c:f>
              <c:numCache>
                <c:formatCode>0%</c:formatCode>
                <c:ptCount val="7"/>
                <c:pt idx="0">
                  <c:v>0.625</c:v>
                </c:pt>
                <c:pt idx="1">
                  <c:v>0.15625</c:v>
                </c:pt>
                <c:pt idx="2">
                  <c:v>9.375E-2</c:v>
                </c:pt>
                <c:pt idx="3">
                  <c:v>3.125E-2</c:v>
                </c:pt>
                <c:pt idx="4">
                  <c:v>3.125E-2</c:v>
                </c:pt>
                <c:pt idx="5">
                  <c:v>3.125E-2</c:v>
                </c:pt>
                <c:pt idx="6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FE-413E-9821-654AC26E1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1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53107344632769"/>
          <c:y val="0.11805555555555555"/>
          <c:w val="0.47175141242937851"/>
          <c:h val="0.7731481481481481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ED-44F2-914C-101558F70A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ED-44F2-914C-101558F70A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ED-44F2-914C-101558F70A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ED-44F2-914C-101558F70A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ED-44F2-914C-101558F70A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ED-44F2-914C-101558F70A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DED-44F2-914C-101558F70A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7817293280699156"/>
                  <c:y val="-0.19385365680641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DED-44F2-914C-101558F70AEE}"/>
                </c:ext>
              </c:extLst>
            </c:dLbl>
            <c:dLbl>
              <c:idx val="1"/>
              <c:layout>
                <c:manualLayout>
                  <c:x val="0.10456988188976378"/>
                  <c:y val="0.1939771070282881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DED-44F2-914C-101558F70AEE}"/>
                </c:ext>
              </c:extLst>
            </c:dLbl>
            <c:dLbl>
              <c:idx val="4"/>
              <c:layout>
                <c:manualLayout>
                  <c:x val="-3.4715660542432194E-3"/>
                  <c:y val="-1.028032954214056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DED-44F2-914C-101558F70AEE}"/>
                </c:ext>
              </c:extLst>
            </c:dLbl>
            <c:dLbl>
              <c:idx val="5"/>
              <c:layout>
                <c:manualLayout>
                  <c:x val="-1.3888888888888888E-2"/>
                  <c:y val="-2.137102653834937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194444444444445"/>
                      <c:h val="7.98611111111111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DED-44F2-914C-101558F70A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'tabla nacionalidad'!$B$16:$B$24</c:f>
              <c:strCache>
                <c:ptCount val="9"/>
                <c:pt idx="0">
                  <c:v>Argentina</c:v>
                </c:pt>
                <c:pt idx="1">
                  <c:v>USA</c:v>
                </c:pt>
                <c:pt idx="2">
                  <c:v>México</c:v>
                </c:pt>
                <c:pt idx="3">
                  <c:v>Brasil</c:v>
                </c:pt>
                <c:pt idx="4">
                  <c:v>Costa Rica</c:v>
                </c:pt>
                <c:pt idx="5">
                  <c:v>Países Bajos</c:v>
                </c:pt>
                <c:pt idx="6">
                  <c:v>Perú</c:v>
                </c:pt>
                <c:pt idx="7">
                  <c:v>Suiza</c:v>
                </c:pt>
                <c:pt idx="8">
                  <c:v>Otras</c:v>
                </c:pt>
              </c:strCache>
            </c:strRef>
          </c:cat>
          <c:val>
            <c:numRef>
              <c:f>'tabla nacionalidad'!$D$16:$D$24</c:f>
              <c:numCache>
                <c:formatCode>0%</c:formatCode>
                <c:ptCount val="9"/>
                <c:pt idx="0">
                  <c:v>0.45070422535211269</c:v>
                </c:pt>
                <c:pt idx="1">
                  <c:v>0.22535211267605634</c:v>
                </c:pt>
                <c:pt idx="2">
                  <c:v>9.8591549295774641E-2</c:v>
                </c:pt>
                <c:pt idx="3">
                  <c:v>5.6338028169014086E-2</c:v>
                </c:pt>
                <c:pt idx="4">
                  <c:v>2.8169014084507043E-2</c:v>
                </c:pt>
                <c:pt idx="5">
                  <c:v>2.8169014084507043E-2</c:v>
                </c:pt>
                <c:pt idx="6">
                  <c:v>2.8169014084507043E-2</c:v>
                </c:pt>
                <c:pt idx="7">
                  <c:v>2.8169014084507043E-2</c:v>
                </c:pt>
                <c:pt idx="8">
                  <c:v>5.6338028169014086E-2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ED-44F2-914C-101558F70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33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19</xdr:row>
      <xdr:rowOff>19050</xdr:rowOff>
    </xdr:from>
    <xdr:to>
      <xdr:col>6</xdr:col>
      <xdr:colOff>558800</xdr:colOff>
      <xdr:row>30</xdr:row>
      <xdr:rowOff>203200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152400</xdr:colOff>
      <xdr:row>32</xdr:row>
      <xdr:rowOff>165100</xdr:rowOff>
    </xdr:from>
    <xdr:to>
      <xdr:col>6</xdr:col>
      <xdr:colOff>673100</xdr:colOff>
      <xdr:row>44</xdr:row>
      <xdr:rowOff>146050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615950</xdr:colOff>
      <xdr:row>1</xdr:row>
      <xdr:rowOff>133350</xdr:rowOff>
    </xdr:from>
    <xdr:to>
      <xdr:col>7</xdr:col>
      <xdr:colOff>431800</xdr:colOff>
      <xdr:row>16</xdr:row>
      <xdr:rowOff>101600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showGridLines="0" tabSelected="1" topLeftCell="A30" zoomScaleNormal="100" workbookViewId="0">
      <selection activeCell="B46" sqref="B46"/>
    </sheetView>
  </sheetViews>
  <sheetFormatPr baseColWidth="10" defaultRowHeight="18.5" x14ac:dyDescent="0.45"/>
  <cols>
    <col min="1" max="7" width="14.08984375" style="1" customWidth="1"/>
    <col min="8" max="16384" width="10.90625" style="1"/>
  </cols>
  <sheetData>
    <row r="1" spans="1:7" ht="21" x14ac:dyDescent="0.5">
      <c r="A1" s="6" t="s">
        <v>13</v>
      </c>
      <c r="B1" s="6"/>
      <c r="C1" s="6"/>
      <c r="D1" s="6"/>
      <c r="E1" s="6"/>
      <c r="F1" s="6"/>
      <c r="G1" s="6"/>
    </row>
    <row r="4" spans="1:7" ht="21" x14ac:dyDescent="0.5">
      <c r="A4" s="5" t="s">
        <v>11</v>
      </c>
    </row>
    <row r="6" spans="1:7" x14ac:dyDescent="0.45">
      <c r="A6" s="10" t="s">
        <v>32</v>
      </c>
      <c r="B6" s="4" t="s">
        <v>33</v>
      </c>
    </row>
    <row r="7" spans="1:7" x14ac:dyDescent="0.45">
      <c r="A7" s="11" t="s">
        <v>4</v>
      </c>
      <c r="B7" s="2">
        <v>89</v>
      </c>
    </row>
    <row r="8" spans="1:7" x14ac:dyDescent="0.45">
      <c r="A8" s="11" t="s">
        <v>5</v>
      </c>
      <c r="B8" s="2">
        <v>48</v>
      </c>
    </row>
    <row r="9" spans="1:7" x14ac:dyDescent="0.45">
      <c r="A9" s="11" t="s">
        <v>6</v>
      </c>
      <c r="B9" s="2">
        <v>40</v>
      </c>
    </row>
    <row r="10" spans="1:7" x14ac:dyDescent="0.45">
      <c r="A10" s="11" t="s">
        <v>7</v>
      </c>
      <c r="B10" s="2">
        <v>85</v>
      </c>
    </row>
    <row r="11" spans="1:7" x14ac:dyDescent="0.45">
      <c r="A11" s="11" t="s">
        <v>8</v>
      </c>
      <c r="B11" s="2">
        <v>40</v>
      </c>
    </row>
    <row r="12" spans="1:7" x14ac:dyDescent="0.45">
      <c r="A12" s="11" t="s">
        <v>9</v>
      </c>
      <c r="B12" s="2">
        <v>31</v>
      </c>
    </row>
    <row r="13" spans="1:7" x14ac:dyDescent="0.45">
      <c r="A13" s="11" t="s">
        <v>10</v>
      </c>
      <c r="B13" s="3">
        <v>2.3968342494465E-2</v>
      </c>
    </row>
    <row r="14" spans="1:7" x14ac:dyDescent="0.45">
      <c r="A14" s="17"/>
      <c r="B14" s="13"/>
    </row>
    <row r="15" spans="1:7" x14ac:dyDescent="0.45">
      <c r="A15" s="17"/>
      <c r="B15" s="13"/>
    </row>
    <row r="16" spans="1:7" x14ac:dyDescent="0.45">
      <c r="A16" s="17"/>
      <c r="B16" s="13"/>
    </row>
    <row r="20" spans="1:6" ht="21" x14ac:dyDescent="0.5">
      <c r="A20" s="5" t="s">
        <v>1</v>
      </c>
    </row>
    <row r="22" spans="1:6" x14ac:dyDescent="0.45">
      <c r="A22" s="10" t="s">
        <v>32</v>
      </c>
      <c r="B22" s="4" t="s">
        <v>33</v>
      </c>
      <c r="C22" s="12"/>
      <c r="D22" s="12"/>
      <c r="E22" s="12"/>
      <c r="F22" s="13"/>
    </row>
    <row r="23" spans="1:6" x14ac:dyDescent="0.45">
      <c r="A23" s="11" t="s">
        <v>5</v>
      </c>
      <c r="B23" s="2">
        <v>41</v>
      </c>
    </row>
    <row r="24" spans="1:6" x14ac:dyDescent="0.45">
      <c r="A24" s="11" t="s">
        <v>6</v>
      </c>
      <c r="B24" s="2">
        <v>41</v>
      </c>
    </row>
    <row r="25" spans="1:6" x14ac:dyDescent="0.45">
      <c r="A25" s="11" t="s">
        <v>7</v>
      </c>
      <c r="B25" s="2">
        <v>36</v>
      </c>
    </row>
    <row r="26" spans="1:6" x14ac:dyDescent="0.45">
      <c r="A26" s="11" t="s">
        <v>8</v>
      </c>
      <c r="B26" s="2">
        <v>47</v>
      </c>
    </row>
    <row r="27" spans="1:6" x14ac:dyDescent="0.45">
      <c r="A27" s="11" t="s">
        <v>9</v>
      </c>
      <c r="B27" s="2">
        <v>56</v>
      </c>
    </row>
    <row r="28" spans="1:6" x14ac:dyDescent="0.45">
      <c r="A28" s="11" t="s">
        <v>10</v>
      </c>
      <c r="B28" s="3">
        <v>2.82958933336332E-3</v>
      </c>
    </row>
    <row r="35" spans="1:2" ht="21" x14ac:dyDescent="0.5">
      <c r="A35" s="5" t="s">
        <v>12</v>
      </c>
    </row>
    <row r="36" spans="1:2" s="16" customFormat="1" x14ac:dyDescent="0.45">
      <c r="A36" s="15"/>
      <c r="B36" s="15"/>
    </row>
    <row r="37" spans="1:2" s="16" customFormat="1" x14ac:dyDescent="0.45">
      <c r="A37" s="18" t="s">
        <v>32</v>
      </c>
      <c r="B37" s="19" t="s">
        <v>33</v>
      </c>
    </row>
    <row r="38" spans="1:2" x14ac:dyDescent="0.45">
      <c r="A38" s="11" t="s">
        <v>9</v>
      </c>
      <c r="B38" s="9">
        <v>32</v>
      </c>
    </row>
    <row r="39" spans="1:2" x14ac:dyDescent="0.45">
      <c r="A39" s="9" t="s">
        <v>10</v>
      </c>
      <c r="B39" s="14">
        <v>2.7688773945793398E-2</v>
      </c>
    </row>
  </sheetData>
  <mergeCells count="1">
    <mergeCell ref="A1:G1"/>
  </mergeCells>
  <pageMargins left="0.7" right="0.7" top="0.75" bottom="0.75" header="0.3" footer="0.3"/>
  <pageSetup paperSize="9" scale="88" orientation="portrait" horizontalDpi="300" verticalDpi="300" r:id="rId1"/>
  <rowBreaks count="1" manualBreakCount="1">
    <brk id="4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opLeftCell="A9" workbookViewId="0">
      <selection activeCell="D2" activeCellId="1" sqref="B2:B8 D2:D8"/>
    </sheetView>
  </sheetViews>
  <sheetFormatPr baseColWidth="10" defaultRowHeight="14.5" x14ac:dyDescent="0.35"/>
  <sheetData>
    <row r="1" spans="1:5" x14ac:dyDescent="0.35">
      <c r="A1" t="s">
        <v>0</v>
      </c>
      <c r="B1" t="s">
        <v>14</v>
      </c>
      <c r="C1" t="s">
        <v>15</v>
      </c>
      <c r="D1" t="s">
        <v>16</v>
      </c>
    </row>
    <row r="2" spans="1:5" x14ac:dyDescent="0.35">
      <c r="A2" t="s">
        <v>1</v>
      </c>
      <c r="B2" t="s">
        <v>17</v>
      </c>
      <c r="C2">
        <v>16</v>
      </c>
      <c r="D2" s="7">
        <f>C2/SUM($C$2:$C$8)</f>
        <v>0.45714285714285713</v>
      </c>
      <c r="E2" s="8"/>
    </row>
    <row r="3" spans="1:5" x14ac:dyDescent="0.35">
      <c r="A3" t="s">
        <v>1</v>
      </c>
      <c r="B3" t="s">
        <v>18</v>
      </c>
      <c r="C3">
        <v>4</v>
      </c>
      <c r="D3" s="7">
        <f t="shared" ref="D3:D8" si="0">C3/SUM($C$2:$C$8)</f>
        <v>0.11428571428571428</v>
      </c>
    </row>
    <row r="4" spans="1:5" x14ac:dyDescent="0.35">
      <c r="A4" t="s">
        <v>1</v>
      </c>
      <c r="B4" t="s">
        <v>19</v>
      </c>
      <c r="C4">
        <v>4</v>
      </c>
      <c r="D4" s="7">
        <f t="shared" si="0"/>
        <v>0.11428571428571428</v>
      </c>
    </row>
    <row r="5" spans="1:5" x14ac:dyDescent="0.35">
      <c r="A5" t="s">
        <v>1</v>
      </c>
      <c r="B5" t="s">
        <v>20</v>
      </c>
      <c r="C5">
        <v>3</v>
      </c>
      <c r="D5" s="7">
        <f t="shared" si="0"/>
        <v>8.5714285714285715E-2</v>
      </c>
    </row>
    <row r="6" spans="1:5" x14ac:dyDescent="0.35">
      <c r="A6" t="s">
        <v>1</v>
      </c>
      <c r="B6" t="s">
        <v>21</v>
      </c>
      <c r="C6">
        <v>3</v>
      </c>
      <c r="D6" s="7">
        <f t="shared" si="0"/>
        <v>8.5714285714285715E-2</v>
      </c>
    </row>
    <row r="7" spans="1:5" x14ac:dyDescent="0.35">
      <c r="A7" t="s">
        <v>1</v>
      </c>
      <c r="B7" t="s">
        <v>22</v>
      </c>
      <c r="C7">
        <v>3</v>
      </c>
      <c r="D7" s="7">
        <f t="shared" si="0"/>
        <v>8.5714285714285715E-2</v>
      </c>
    </row>
    <row r="8" spans="1:5" x14ac:dyDescent="0.35">
      <c r="A8" t="s">
        <v>1</v>
      </c>
      <c r="B8" t="s">
        <v>23</v>
      </c>
      <c r="C8">
        <v>2</v>
      </c>
      <c r="D8" s="7">
        <f t="shared" si="0"/>
        <v>5.7142857142857141E-2</v>
      </c>
    </row>
    <row r="9" spans="1:5" x14ac:dyDescent="0.35">
      <c r="A9" t="s">
        <v>2</v>
      </c>
      <c r="B9" t="s">
        <v>17</v>
      </c>
      <c r="C9">
        <v>20</v>
      </c>
      <c r="D9" s="7">
        <f>C9/SUM($C$9:$C$15)</f>
        <v>0.625</v>
      </c>
    </row>
    <row r="10" spans="1:5" x14ac:dyDescent="0.35">
      <c r="A10" t="s">
        <v>2</v>
      </c>
      <c r="B10" t="s">
        <v>24</v>
      </c>
      <c r="C10">
        <v>5</v>
      </c>
      <c r="D10" s="7">
        <f t="shared" ref="D10:D15" si="1">C10/SUM($C$9:$C$15)</f>
        <v>0.15625</v>
      </c>
    </row>
    <row r="11" spans="1:5" x14ac:dyDescent="0.35">
      <c r="A11" t="s">
        <v>2</v>
      </c>
      <c r="B11" t="s">
        <v>19</v>
      </c>
      <c r="C11">
        <v>3</v>
      </c>
      <c r="D11" s="7">
        <f t="shared" si="1"/>
        <v>9.375E-2</v>
      </c>
    </row>
    <row r="12" spans="1:5" x14ac:dyDescent="0.35">
      <c r="A12" t="s">
        <v>2</v>
      </c>
      <c r="B12" t="s">
        <v>20</v>
      </c>
      <c r="C12">
        <v>1</v>
      </c>
      <c r="D12" s="7">
        <f t="shared" si="1"/>
        <v>3.125E-2</v>
      </c>
    </row>
    <row r="13" spans="1:5" x14ac:dyDescent="0.35">
      <c r="A13" t="s">
        <v>2</v>
      </c>
      <c r="B13" t="s">
        <v>25</v>
      </c>
      <c r="C13">
        <v>1</v>
      </c>
      <c r="D13" s="7">
        <f t="shared" si="1"/>
        <v>3.125E-2</v>
      </c>
    </row>
    <row r="14" spans="1:5" x14ac:dyDescent="0.35">
      <c r="A14" t="s">
        <v>2</v>
      </c>
      <c r="B14" t="s">
        <v>23</v>
      </c>
      <c r="C14">
        <v>1</v>
      </c>
      <c r="D14" s="7">
        <f t="shared" si="1"/>
        <v>3.125E-2</v>
      </c>
    </row>
    <row r="15" spans="1:5" x14ac:dyDescent="0.35">
      <c r="A15" t="s">
        <v>2</v>
      </c>
      <c r="B15" t="s">
        <v>26</v>
      </c>
      <c r="C15">
        <v>1</v>
      </c>
      <c r="D15" s="7">
        <f t="shared" si="1"/>
        <v>3.125E-2</v>
      </c>
    </row>
    <row r="16" spans="1:5" x14ac:dyDescent="0.35">
      <c r="A16" t="s">
        <v>3</v>
      </c>
      <c r="B16" t="s">
        <v>17</v>
      </c>
      <c r="C16">
        <v>32</v>
      </c>
      <c r="D16" s="7">
        <f>C16/SUM($C$16:$C$24)</f>
        <v>0.45070422535211269</v>
      </c>
    </row>
    <row r="17" spans="1:4" x14ac:dyDescent="0.35">
      <c r="A17" t="s">
        <v>3</v>
      </c>
      <c r="B17" t="s">
        <v>19</v>
      </c>
      <c r="C17">
        <v>16</v>
      </c>
      <c r="D17" s="7">
        <f t="shared" ref="D17:D24" si="2">C17/SUM($C$16:$C$24)</f>
        <v>0.22535211267605634</v>
      </c>
    </row>
    <row r="18" spans="1:4" x14ac:dyDescent="0.35">
      <c r="A18" t="s">
        <v>3</v>
      </c>
      <c r="B18" t="s">
        <v>23</v>
      </c>
      <c r="C18">
        <v>7</v>
      </c>
      <c r="D18" s="7">
        <f t="shared" si="2"/>
        <v>9.8591549295774641E-2</v>
      </c>
    </row>
    <row r="19" spans="1:4" x14ac:dyDescent="0.35">
      <c r="A19" t="s">
        <v>3</v>
      </c>
      <c r="B19" t="s">
        <v>24</v>
      </c>
      <c r="C19">
        <v>4</v>
      </c>
      <c r="D19" s="7">
        <f t="shared" si="2"/>
        <v>5.6338028169014086E-2</v>
      </c>
    </row>
    <row r="20" spans="1:4" x14ac:dyDescent="0.35">
      <c r="A20" t="s">
        <v>3</v>
      </c>
      <c r="B20" t="s">
        <v>27</v>
      </c>
      <c r="C20">
        <v>2</v>
      </c>
      <c r="D20" s="7">
        <f t="shared" si="2"/>
        <v>2.8169014084507043E-2</v>
      </c>
    </row>
    <row r="21" spans="1:4" x14ac:dyDescent="0.35">
      <c r="A21" t="s">
        <v>3</v>
      </c>
      <c r="B21" t="s">
        <v>28</v>
      </c>
      <c r="C21">
        <v>2</v>
      </c>
      <c r="D21" s="7">
        <f t="shared" si="2"/>
        <v>2.8169014084507043E-2</v>
      </c>
    </row>
    <row r="22" spans="1:4" x14ac:dyDescent="0.35">
      <c r="A22" t="s">
        <v>3</v>
      </c>
      <c r="B22" t="s">
        <v>29</v>
      </c>
      <c r="C22">
        <v>2</v>
      </c>
      <c r="D22" s="7">
        <f t="shared" si="2"/>
        <v>2.8169014084507043E-2</v>
      </c>
    </row>
    <row r="23" spans="1:4" x14ac:dyDescent="0.35">
      <c r="A23" t="s">
        <v>3</v>
      </c>
      <c r="B23" t="s">
        <v>30</v>
      </c>
      <c r="C23">
        <v>2</v>
      </c>
      <c r="D23" s="7">
        <f t="shared" si="2"/>
        <v>2.8169014084507043E-2</v>
      </c>
    </row>
    <row r="24" spans="1:4" x14ac:dyDescent="0.35">
      <c r="A24" t="s">
        <v>3</v>
      </c>
      <c r="B24" t="s">
        <v>31</v>
      </c>
      <c r="C24">
        <v>4</v>
      </c>
      <c r="D24" s="7">
        <f t="shared" si="2"/>
        <v>5.6338028169014086E-2</v>
      </c>
    </row>
    <row r="25" spans="1:4" x14ac:dyDescent="0.35">
      <c r="D25" s="7"/>
    </row>
    <row r="26" spans="1:4" x14ac:dyDescent="0.35">
      <c r="D26" s="7"/>
    </row>
    <row r="27" spans="1:4" x14ac:dyDescent="0.35">
      <c r="D27" s="7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Sheet 1</vt:lpstr>
      <vt:lpstr>tabla nacionalidad</vt:lpstr>
      <vt:lpstr>'Sheet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2025-05-29T16:49:35Z</cp:lastPrinted>
  <dcterms:created xsi:type="dcterms:W3CDTF">2025-05-29T15:57:49Z</dcterms:created>
  <dcterms:modified xsi:type="dcterms:W3CDTF">2025-05-29T16:50:08Z</dcterms:modified>
</cp:coreProperties>
</file>