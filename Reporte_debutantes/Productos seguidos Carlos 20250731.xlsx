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debutantes\"/>
    </mc:Choice>
  </mc:AlternateContent>
  <bookViews>
    <workbookView xWindow="0" yWindow="0" windowWidth="23040" windowHeight="9192"/>
  </bookViews>
  <sheets>
    <sheet name="Sheet 1" sheetId="1" r:id="rId1"/>
    <sheet name="tabla nacionalidad" sheetId="2" r:id="rId2"/>
  </sheets>
  <definedNames>
    <definedName name="_xlnm.Print_Area" localSheetId="0">'Sheet 1'!$A$1:$G$48</definedName>
  </definedNames>
  <calcPr calcId="162913"/>
</workbook>
</file>

<file path=xl/calcChain.xml><?xml version="1.0" encoding="utf-8"?>
<calcChain xmlns="http://schemas.openxmlformats.org/spreadsheetml/2006/main">
  <c r="D43" i="2" l="1"/>
  <c r="D10" i="2"/>
  <c r="D36" i="2" l="1"/>
  <c r="D37" i="2"/>
  <c r="D38" i="2"/>
  <c r="D39" i="2"/>
  <c r="D40" i="2"/>
  <c r="D41" i="2"/>
  <c r="D42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35" i="2"/>
  <c r="D26" i="2"/>
  <c r="D27" i="2"/>
  <c r="D28" i="2"/>
  <c r="D29" i="2"/>
  <c r="D30" i="2"/>
  <c r="D31" i="2"/>
  <c r="D32" i="2"/>
  <c r="D33" i="2"/>
  <c r="D34" i="2"/>
  <c r="D25" i="2"/>
  <c r="D3" i="2"/>
  <c r="D4" i="2"/>
  <c r="D5" i="2"/>
  <c r="D6" i="2"/>
  <c r="D7" i="2"/>
  <c r="D8" i="2"/>
  <c r="D9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" i="2"/>
</calcChain>
</file>

<file path=xl/sharedStrings.xml><?xml version="1.0" encoding="utf-8"?>
<sst xmlns="http://schemas.openxmlformats.org/spreadsheetml/2006/main" count="145" uniqueCount="50">
  <si>
    <t>CATEGORIA</t>
  </si>
  <si>
    <t>MEDIAS</t>
  </si>
  <si>
    <t>MOCHILA TECH</t>
  </si>
  <si>
    <t>REMERA</t>
  </si>
  <si>
    <t>Diciembre</t>
  </si>
  <si>
    <t>Enero</t>
  </si>
  <si>
    <t>Febrero</t>
  </si>
  <si>
    <t>Marzo</t>
  </si>
  <si>
    <t>Abril</t>
  </si>
  <si>
    <t>Mayo</t>
  </si>
  <si>
    <t>Participación</t>
  </si>
  <si>
    <t>REMERAS PIMA</t>
  </si>
  <si>
    <t>MOCHILAS TECH</t>
  </si>
  <si>
    <t>SEGUIMIENTO DE PRODUCTOS SELECCIONADOS</t>
  </si>
  <si>
    <t>NACIONALIDAD</t>
  </si>
  <si>
    <t>Total</t>
  </si>
  <si>
    <t>%</t>
  </si>
  <si>
    <t>Argentina</t>
  </si>
  <si>
    <t>USA</t>
  </si>
  <si>
    <t>Colombia</t>
  </si>
  <si>
    <t>Francia</t>
  </si>
  <si>
    <t>México</t>
  </si>
  <si>
    <t>Brasil</t>
  </si>
  <si>
    <t>Italia</t>
  </si>
  <si>
    <t>Uruguay</t>
  </si>
  <si>
    <t>Costa Rica</t>
  </si>
  <si>
    <t>Perú</t>
  </si>
  <si>
    <t>Mes</t>
  </si>
  <si>
    <t>Cantidad</t>
  </si>
  <si>
    <t>Junio</t>
  </si>
  <si>
    <t>Emiratos Árabes Unidos</t>
  </si>
  <si>
    <t>Venezuela</t>
  </si>
  <si>
    <t>Canadá</t>
  </si>
  <si>
    <t>Rusia</t>
  </si>
  <si>
    <t>India</t>
  </si>
  <si>
    <t>Julio</t>
  </si>
  <si>
    <t>Alemania</t>
  </si>
  <si>
    <t>China</t>
  </si>
  <si>
    <t>Ecuador</t>
  </si>
  <si>
    <t>España</t>
  </si>
  <si>
    <t>Indonesia</t>
  </si>
  <si>
    <t>Paraguay</t>
  </si>
  <si>
    <t>Puerto Rico</t>
  </si>
  <si>
    <t>Reino Unido</t>
  </si>
  <si>
    <t>Japón</t>
  </si>
  <si>
    <t>Chile</t>
  </si>
  <si>
    <t>Corea</t>
  </si>
  <si>
    <t>Panamá</t>
  </si>
  <si>
    <t>Guatemala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</si>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</sst>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9" fontId="0" fillId="0" borderId="0" xfId="1" applyNumberFormat="1" applyFont="1"/>
    <xf numFmtId="9" fontId="0" fillId="0" borderId="0" xfId="0" applyNumberFormat="1"/>
    <xf numFmtId="0" fontId="2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0" xfId="0" applyFont="1" applyBorder="1" applyAlignment="1">
      <alignment horizontal="center"/>
    </xf>
    <xf numFmtId="164" fontId="2" fillId="0" borderId="0" xfId="1" applyNumberFormat="1" applyFont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9" fontId="0" fillId="0" borderId="5" xfId="1" applyNumberFormat="1" applyFont="1" applyBorder="1"/>
    <xf numFmtId="0" fontId="0" fillId="0" borderId="6" xfId="0" applyBorder="1"/>
    <xf numFmtId="0" fontId="0" fillId="0" borderId="0" xfId="0" applyBorder="1"/>
    <xf numFmtId="9" fontId="0" fillId="0" borderId="7" xfId="1" applyNumberFormat="1" applyFont="1" applyBorder="1"/>
    <xf numFmtId="0" fontId="0" fillId="0" borderId="8" xfId="0" applyBorder="1"/>
    <xf numFmtId="0" fontId="0" fillId="0" borderId="9" xfId="0" applyBorder="1"/>
    <xf numFmtId="9" fontId="0" fillId="0" borderId="10" xfId="1" applyNumberFormat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408017179670732E-2"/>
          <c:y val="0.10852486793581183"/>
          <c:w val="0.48857712629263378"/>
          <c:h val="0.7829499555233420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C4-49D1-9478-A712C4551BA8}"/>
              </c:ext>
            </c:extLst>
          </c:dPt>
          <c:dPt>
            <c:idx val="1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C4-49D1-9478-A712C4551BA8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C4-49D1-9478-A712C4551BA8}"/>
              </c:ext>
            </c:extLst>
          </c:dPt>
          <c:dPt>
            <c:idx val="3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DC4-49D1-9478-A712C4551BA8}"/>
              </c:ext>
            </c:extLst>
          </c:dPt>
          <c:dPt>
            <c:idx val="4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DC4-49D1-9478-A712C4551BA8}"/>
              </c:ext>
            </c:extLst>
          </c:dPt>
          <c:dPt>
            <c:idx val="5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DC4-49D1-9478-A712C4551BA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DC4-49D1-9478-A712C4551BA8}"/>
              </c:ext>
            </c:extLst>
          </c:dPt>
          <c:dPt>
            <c:idx val="7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FF8-40C1-A521-01DA9D21DC16}"/>
              </c:ext>
            </c:extLst>
          </c:dPt>
          <c:dPt>
            <c:idx val="8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FF8-40C1-A521-01DA9D21DC16}"/>
              </c:ext>
            </c:extLst>
          </c:dPt>
          <c:dPt>
            <c:idx val="9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FF8-40C1-A521-01DA9D21DC16}"/>
              </c:ext>
            </c:extLst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037147102526003"/>
                      <c:h val="0.1255230125523012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DC4-49D1-9478-A712C4551BA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DC4-49D1-9478-A712C4551BA8}"/>
                </c:ext>
              </c:extLst>
            </c:dLbl>
            <c:dLbl>
              <c:idx val="2"/>
              <c:layout>
                <c:manualLayout>
                  <c:x val="-9.2138888481848896E-2"/>
                  <c:y val="8.452973048351256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DC4-49D1-9478-A712C4551BA8}"/>
                </c:ext>
              </c:extLst>
            </c:dLbl>
            <c:dLbl>
              <c:idx val="3"/>
              <c:layout>
                <c:manualLayout>
                  <c:x val="-1.2481023353875891E-2"/>
                  <c:y val="-5.9732049978066352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CDC4-49D1-9478-A712C4551BA8}"/>
                </c:ext>
              </c:extLst>
            </c:dLbl>
            <c:dLbl>
              <c:idx val="4"/>
              <c:layout>
                <c:manualLayout>
                  <c:x val="-1.8181818181818181E-2"/>
                  <c:y val="3.429644516192798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513761632068721"/>
                      <c:h val="6.066945606694560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CDC4-49D1-9478-A712C4551BA8}"/>
                </c:ext>
              </c:extLst>
            </c:dLbl>
            <c:dLbl>
              <c:idx val="5"/>
              <c:layout>
                <c:manualLayout>
                  <c:x val="-2.8088084475845571E-2"/>
                  <c:y val="-5.8593939310568608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627241203919563"/>
                      <c:h val="4.811706781419905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CDC4-49D1-9478-A712C4551BA8}"/>
                </c:ext>
              </c:extLst>
            </c:dLbl>
            <c:dLbl>
              <c:idx val="6"/>
              <c:layout>
                <c:manualLayout>
                  <c:x val="-1.5725612747715962E-2"/>
                  <c:y val="4.755364050023090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193181818181818"/>
                      <c:h val="4.393305439330543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CDC4-49D1-9478-A712C4551BA8}"/>
                </c:ext>
              </c:extLst>
            </c:dLbl>
            <c:dLbl>
              <c:idx val="7"/>
              <c:layout>
                <c:manualLayout>
                  <c:x val="-3.3632381206945589E-2"/>
                  <c:y val="1.321834246687988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367204789238509"/>
                      <c:h val="6.10758960354665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CFF8-40C1-A521-01DA9D21DC16}"/>
                </c:ext>
              </c:extLst>
            </c:dLbl>
            <c:dLbl>
              <c:idx val="8"/>
              <c:layout>
                <c:manualLayout>
                  <c:x val="-0.13892167277314948"/>
                  <c:y val="-6.246758026103381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778894774000704"/>
                      <c:h val="8.761263465428169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CFF8-40C1-A521-01DA9D21DC16}"/>
                </c:ext>
              </c:extLst>
            </c:dLbl>
            <c:dLbl>
              <c:idx val="9"/>
              <c:layout>
                <c:manualLayout>
                  <c:x val="-0.11646510379384395"/>
                  <c:y val="-5.77307020722828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CFF8-40C1-A521-01DA9D21DC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'tabla nacionalidad'!$B$2:$B$10</c:f>
              <c:strCache>
                <c:ptCount val="9"/>
                <c:pt idx="0">
                  <c:v>Argentina</c:v>
                </c:pt>
                <c:pt idx="1">
                  <c:v>Brasil</c:v>
                </c:pt>
                <c:pt idx="2">
                  <c:v>USA</c:v>
                </c:pt>
                <c:pt idx="3">
                  <c:v>México</c:v>
                </c:pt>
                <c:pt idx="4">
                  <c:v>Emiratos Árabes Unidos</c:v>
                </c:pt>
                <c:pt idx="5">
                  <c:v>Uruguay</c:v>
                </c:pt>
                <c:pt idx="6">
                  <c:v>Francia</c:v>
                </c:pt>
                <c:pt idx="7">
                  <c:v>Venezuela</c:v>
                </c:pt>
                <c:pt idx="8">
                  <c:v>otros</c:v>
                </c:pt>
              </c:strCache>
            </c:strRef>
          </c:cat>
          <c:val>
            <c:numRef>
              <c:f>'tabla nacionalidad'!$D$2:$D$10</c:f>
              <c:numCache>
                <c:formatCode>0%</c:formatCode>
                <c:ptCount val="9"/>
                <c:pt idx="0">
                  <c:v>0.70031545741324919</c:v>
                </c:pt>
                <c:pt idx="1">
                  <c:v>7.5709779179810727E-2</c:v>
                </c:pt>
                <c:pt idx="2">
                  <c:v>6.7823343848580436E-2</c:v>
                </c:pt>
                <c:pt idx="3">
                  <c:v>4.7318611987381701E-2</c:v>
                </c:pt>
                <c:pt idx="4">
                  <c:v>1.5772870662460567E-2</c:v>
                </c:pt>
                <c:pt idx="5">
                  <c:v>1.4195583596214511E-2</c:v>
                </c:pt>
                <c:pt idx="6">
                  <c:v>9.4637223974763408E-3</c:v>
                </c:pt>
                <c:pt idx="7">
                  <c:v>9.4637223974763408E-3</c:v>
                </c:pt>
                <c:pt idx="8">
                  <c:v>5.9936908517350139E-2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DC4-49D1-9478-A712C4551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21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8423186657803"/>
          <c:y val="0.12422843326699312"/>
          <c:w val="0.53395114072279426"/>
          <c:h val="0.7830785903365450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FE-413E-9821-654AC26E1B0D}"/>
              </c:ext>
            </c:extLst>
          </c:dPt>
          <c:dPt>
            <c:idx val="1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FE-413E-9821-654AC26E1B0D}"/>
              </c:ext>
            </c:extLst>
          </c:dPt>
          <c:dPt>
            <c:idx val="2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FE-413E-9821-654AC26E1B0D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4FE-413E-9821-654AC26E1B0D}"/>
              </c:ext>
            </c:extLst>
          </c:dPt>
          <c:dPt>
            <c:idx val="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4FE-413E-9821-654AC26E1B0D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4FE-413E-9821-654AC26E1B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4FE-413E-9821-654AC26E1B0D}"/>
              </c:ext>
            </c:extLst>
          </c:dPt>
          <c:dPt>
            <c:idx val="7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B11-4B33-A798-A82EFA435A49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2F0-4472-AD87-B1F2446E078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A2F0-4472-AD87-B1F2446E0781}"/>
              </c:ext>
            </c:extLst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772079772079774"/>
                      <c:h val="0.124223602484472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4FE-413E-9821-654AC26E1B0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4FE-413E-9821-654AC26E1B0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4FE-413E-9821-654AC26E1B0D}"/>
                </c:ext>
              </c:extLst>
            </c:dLbl>
            <c:dLbl>
              <c:idx val="3"/>
              <c:layout>
                <c:manualLayout>
                  <c:x val="1.1516028445162304E-3"/>
                  <c:y val="7.371904598881699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54FE-413E-9821-654AC26E1B0D}"/>
                </c:ext>
              </c:extLst>
            </c:dLbl>
            <c:dLbl>
              <c:idx val="4"/>
              <c:layout>
                <c:manualLayout>
                  <c:x val="-2.0531324888736841E-2"/>
                  <c:y val="-6.15445129065116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281159420289855"/>
                      <c:h val="6.64215433093142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54FE-413E-9821-654AC26E1B0D}"/>
                </c:ext>
              </c:extLst>
            </c:dLbl>
            <c:dLbl>
              <c:idx val="5"/>
              <c:layout>
                <c:manualLayout>
                  <c:x val="-3.568640876412294E-3"/>
                  <c:y val="2.0383517858300585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54FE-413E-9821-654AC26E1B0D}"/>
                </c:ext>
              </c:extLst>
            </c:dLbl>
            <c:dLbl>
              <c:idx val="6"/>
              <c:layout>
                <c:manualLayout>
                  <c:x val="-1.5366883487390164E-3"/>
                  <c:y val="-1.019579158372581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54FE-413E-9821-654AC26E1B0D}"/>
                </c:ext>
              </c:extLst>
            </c:dLbl>
            <c:dLbl>
              <c:idx val="7"/>
              <c:layout>
                <c:manualLayout>
                  <c:x val="-2.8490028490028491E-2"/>
                  <c:y val="-8.5851225118599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282051282051283"/>
                      <c:h val="6.83229813664596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DB11-4B33-A798-A82EFA435A49}"/>
                </c:ext>
              </c:extLst>
            </c:dLbl>
            <c:dLbl>
              <c:idx val="8"/>
              <c:layout>
                <c:manualLayout>
                  <c:x val="-1.3783749857354788E-2"/>
                  <c:y val="3.597314003889340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A2F0-4472-AD87-B1F2446E0781}"/>
                </c:ext>
              </c:extLst>
            </c:dLbl>
            <c:dLbl>
              <c:idx val="9"/>
              <c:layout>
                <c:manualLayout>
                  <c:x val="1.2326029898436609E-2"/>
                  <c:y val="-4.866018153770089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A2F0-4472-AD87-B1F2446E07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'tabla nacionalidad'!$B$25:$B$34</c:f>
              <c:strCache>
                <c:ptCount val="10"/>
                <c:pt idx="0">
                  <c:v>Argentina</c:v>
                </c:pt>
                <c:pt idx="1">
                  <c:v>Brasil</c:v>
                </c:pt>
                <c:pt idx="2">
                  <c:v>México</c:v>
                </c:pt>
                <c:pt idx="3">
                  <c:v>USA</c:v>
                </c:pt>
                <c:pt idx="4">
                  <c:v>Costa Rica</c:v>
                </c:pt>
                <c:pt idx="5">
                  <c:v>Italia</c:v>
                </c:pt>
                <c:pt idx="6">
                  <c:v>Uruguay</c:v>
                </c:pt>
                <c:pt idx="7">
                  <c:v>Colombia</c:v>
                </c:pt>
                <c:pt idx="8">
                  <c:v>Francia</c:v>
                </c:pt>
                <c:pt idx="9">
                  <c:v>Japón</c:v>
                </c:pt>
              </c:strCache>
            </c:strRef>
          </c:cat>
          <c:val>
            <c:numRef>
              <c:f>'tabla nacionalidad'!$D$25:$D$34</c:f>
              <c:numCache>
                <c:formatCode>0%</c:formatCode>
                <c:ptCount val="10"/>
                <c:pt idx="0">
                  <c:v>0.609375</c:v>
                </c:pt>
                <c:pt idx="1">
                  <c:v>0.15625</c:v>
                </c:pt>
                <c:pt idx="2">
                  <c:v>4.6875E-2</c:v>
                </c:pt>
                <c:pt idx="3">
                  <c:v>4.6875E-2</c:v>
                </c:pt>
                <c:pt idx="4">
                  <c:v>3.125E-2</c:v>
                </c:pt>
                <c:pt idx="5">
                  <c:v>3.125E-2</c:v>
                </c:pt>
                <c:pt idx="6">
                  <c:v>3.125E-2</c:v>
                </c:pt>
                <c:pt idx="7">
                  <c:v>1.5625E-2</c:v>
                </c:pt>
                <c:pt idx="8">
                  <c:v>1.5625E-2</c:v>
                </c:pt>
                <c:pt idx="9">
                  <c:v>1.5625E-2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4FE-413E-9821-654AC26E1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21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457653266408976E-2"/>
          <c:y val="0.24396664631632778"/>
          <c:w val="0.49407899507956426"/>
          <c:h val="0.5865755597647709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ED-44F2-914C-101558F70A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ED-44F2-914C-101558F70A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ED-44F2-914C-101558F70AEE}"/>
              </c:ext>
            </c:extLst>
          </c:dPt>
          <c:dPt>
            <c:idx val="3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DED-44F2-914C-101558F70AEE}"/>
              </c:ext>
            </c:extLst>
          </c:dPt>
          <c:dPt>
            <c:idx val="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DED-44F2-914C-101558F70AE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DED-44F2-914C-101558F70AE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DED-44F2-914C-101558F70AE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948-41E0-A142-C84B62230B53}"/>
              </c:ext>
            </c:extLst>
          </c:dPt>
          <c:dPt>
            <c:idx val="8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948-41E0-A142-C84B62230B53}"/>
              </c:ext>
            </c:extLst>
          </c:dPt>
          <c:dLbls>
            <c:dLbl>
              <c:idx val="0"/>
              <c:layout>
                <c:manualLayout>
                  <c:x val="0.15404424647991388"/>
                  <c:y val="-0.1397996914237072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DED-44F2-914C-101558F70AEE}"/>
                </c:ext>
              </c:extLst>
            </c:dLbl>
            <c:dLbl>
              <c:idx val="1"/>
              <c:layout>
                <c:manualLayout>
                  <c:x val="-5.8968989466129114E-2"/>
                  <c:y val="0.119652851670568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4DED-44F2-914C-101558F70AEE}"/>
                </c:ext>
              </c:extLst>
            </c:dLbl>
            <c:dLbl>
              <c:idx val="2"/>
              <c:layout>
                <c:manualLayout>
                  <c:x val="-3.8124590994491284E-3"/>
                  <c:y val="1.400617152585656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4DED-44F2-914C-101558F70AEE}"/>
                </c:ext>
              </c:extLst>
            </c:dLbl>
            <c:dLbl>
              <c:idx val="3"/>
              <c:layout>
                <c:manualLayout>
                  <c:x val="-1.1605940343247979E-2"/>
                  <c:y val="-8.9274313683762499E-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4DED-44F2-914C-101558F70AEE}"/>
                </c:ext>
              </c:extLst>
            </c:dLbl>
            <c:dLbl>
              <c:idx val="4"/>
              <c:layout>
                <c:manualLayout>
                  <c:x val="-3.4715660542432194E-3"/>
                  <c:y val="-1.028032954214056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4DED-44F2-914C-101558F70AEE}"/>
                </c:ext>
              </c:extLst>
            </c:dLbl>
            <c:dLbl>
              <c:idx val="5"/>
              <c:layout>
                <c:manualLayout>
                  <c:x val="-5.6784319520381765E-2"/>
                  <c:y val="-8.893647584592528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194443858056618"/>
                      <c:h val="3.256384337092998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4DED-44F2-914C-101558F70AEE}"/>
                </c:ext>
              </c:extLst>
            </c:dLbl>
            <c:dLbl>
              <c:idx val="6"/>
              <c:layout>
                <c:manualLayout>
                  <c:x val="-3.660467374554052E-3"/>
                  <c:y val="-1.40029793573100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021447721179626"/>
                      <c:h val="4.537162162162162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4DED-44F2-914C-101558F70AEE}"/>
                </c:ext>
              </c:extLst>
            </c:dLbl>
            <c:dLbl>
              <c:idx val="7"/>
              <c:layout>
                <c:manualLayout>
                  <c:x val="-2.4830592556627472E-3"/>
                  <c:y val="4.4347201532240902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3948-41E0-A142-C84B62230B53}"/>
                </c:ext>
              </c:extLst>
            </c:dLbl>
            <c:dLbl>
              <c:idx val="8"/>
              <c:layout>
                <c:manualLayout>
                  <c:x val="-0.14742419509462831"/>
                  <c:y val="-6.460173312146631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3948-41E0-A142-C84B62230B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'tabla nacionalidad'!$B$35:$B$43</c:f>
              <c:strCache>
                <c:ptCount val="9"/>
                <c:pt idx="0">
                  <c:v>Argentina</c:v>
                </c:pt>
                <c:pt idx="1">
                  <c:v>USA</c:v>
                </c:pt>
                <c:pt idx="2">
                  <c:v>México</c:v>
                </c:pt>
                <c:pt idx="3">
                  <c:v>Francia</c:v>
                </c:pt>
                <c:pt idx="4">
                  <c:v>Brasil</c:v>
                </c:pt>
                <c:pt idx="5">
                  <c:v>Rusia</c:v>
                </c:pt>
                <c:pt idx="6">
                  <c:v>India</c:v>
                </c:pt>
                <c:pt idx="7">
                  <c:v>Colombia</c:v>
                </c:pt>
                <c:pt idx="8">
                  <c:v>otros</c:v>
                </c:pt>
              </c:strCache>
            </c:strRef>
          </c:cat>
          <c:val>
            <c:numRef>
              <c:f>'tabla nacionalidad'!$D$35:$D$43</c:f>
              <c:numCache>
                <c:formatCode>0%</c:formatCode>
                <c:ptCount val="9"/>
                <c:pt idx="0">
                  <c:v>0.59173126614987082</c:v>
                </c:pt>
                <c:pt idx="1">
                  <c:v>0.14728682170542637</c:v>
                </c:pt>
                <c:pt idx="2">
                  <c:v>5.6847545219638244E-2</c:v>
                </c:pt>
                <c:pt idx="3">
                  <c:v>3.6175710594315243E-2</c:v>
                </c:pt>
                <c:pt idx="4">
                  <c:v>2.8423772609819122E-2</c:v>
                </c:pt>
                <c:pt idx="5">
                  <c:v>1.8087855297157621E-2</c:v>
                </c:pt>
                <c:pt idx="6">
                  <c:v>1.5503875968992248E-2</c:v>
                </c:pt>
                <c:pt idx="7">
                  <c:v>1.2919896640826873E-2</c:v>
                </c:pt>
                <c:pt idx="8">
                  <c:v>9.3023255813953501E-2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DED-44F2-914C-101558F70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33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107949</xdr:colOff>
      <xdr:row>20</xdr:row>
      <xdr:rowOff>75989</xdr:rowOff>
    </xdr:from>
    <xdr:to>
      <xdr:col>7</xdr:col>
      <xdr:colOff>571500</xdr:colOff>
      <xdr:row>33</xdr:row>
      <xdr:rowOff>98214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102870</xdr:colOff>
      <xdr:row>36</xdr:row>
      <xdr:rowOff>0</xdr:rowOff>
    </xdr:from>
    <xdr:to>
      <xdr:col>6</xdr:col>
      <xdr:colOff>426720</xdr:colOff>
      <xdr:row>49</xdr:row>
      <xdr:rowOff>100330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234950</xdr:colOff>
      <xdr:row>1</xdr:row>
      <xdr:rowOff>38100</xdr:rowOff>
    </xdr:from>
    <xdr:to>
      <xdr:col>6</xdr:col>
      <xdr:colOff>731520</xdr:colOff>
      <xdr:row>17</xdr:row>
      <xdr:rowOff>175260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showGridLines="0" tabSelected="1" view="pageBreakPreview" topLeftCell="A28" zoomScale="110" zoomScaleNormal="90" zoomScaleSheetLayoutView="110" workbookViewId="0">
      <selection activeCell="I23" sqref="I23"/>
    </sheetView>
  </sheetViews>
  <sheetFormatPr baseColWidth="10" defaultColWidth="10.88671875" defaultRowHeight="18" x14ac:dyDescent="0.35"/>
  <cols>
    <col min="1" max="1" width="15.33203125" style="1" customWidth="1"/>
    <col min="2" max="7" width="14.109375" style="1" customWidth="1"/>
    <col min="8" max="16384" width="10.88671875" style="1"/>
  </cols>
  <sheetData>
    <row r="1" spans="1:7" ht="21" x14ac:dyDescent="0.4">
      <c r="A1" s="19" t="s">
        <v>13</v>
      </c>
      <c r="B1" s="19"/>
      <c r="C1" s="19"/>
      <c r="D1" s="19"/>
      <c r="E1" s="19"/>
      <c r="F1" s="19"/>
      <c r="G1" s="19"/>
    </row>
    <row r="4" spans="1:7" ht="21" x14ac:dyDescent="0.4">
      <c r="A4" s="5" t="s">
        <v>11</v>
      </c>
    </row>
    <row r="6" spans="1:7" x14ac:dyDescent="0.35">
      <c r="A6" s="9" t="s">
        <v>27</v>
      </c>
      <c r="B6" s="4" t="s">
        <v>28</v>
      </c>
    </row>
    <row r="7" spans="1:7" x14ac:dyDescent="0.35">
      <c r="A7" s="10" t="s">
        <v>4</v>
      </c>
      <c r="B7" s="2">
        <v>89</v>
      </c>
    </row>
    <row r="8" spans="1:7" x14ac:dyDescent="0.35">
      <c r="A8" s="10" t="s">
        <v>5</v>
      </c>
      <c r="B8" s="2">
        <v>48</v>
      </c>
    </row>
    <row r="9" spans="1:7" x14ac:dyDescent="0.35">
      <c r="A9" s="10" t="s">
        <v>6</v>
      </c>
      <c r="B9" s="2">
        <v>40</v>
      </c>
    </row>
    <row r="10" spans="1:7" x14ac:dyDescent="0.35">
      <c r="A10" s="10" t="s">
        <v>7</v>
      </c>
      <c r="B10" s="2">
        <v>85</v>
      </c>
    </row>
    <row r="11" spans="1:7" x14ac:dyDescent="0.35">
      <c r="A11" s="10" t="s">
        <v>8</v>
      </c>
      <c r="B11" s="2">
        <v>40</v>
      </c>
    </row>
    <row r="12" spans="1:7" x14ac:dyDescent="0.35">
      <c r="A12" s="10" t="s">
        <v>9</v>
      </c>
      <c r="B12" s="2">
        <v>32</v>
      </c>
    </row>
    <row r="13" spans="1:7" x14ac:dyDescent="0.35">
      <c r="A13" s="10" t="s">
        <v>29</v>
      </c>
      <c r="B13" s="2">
        <v>28</v>
      </c>
    </row>
    <row r="14" spans="1:7" x14ac:dyDescent="0.35">
      <c r="A14" s="10" t="s">
        <v>35</v>
      </c>
      <c r="B14" s="2">
        <v>25</v>
      </c>
    </row>
    <row r="15" spans="1:7" x14ac:dyDescent="0.35">
      <c r="A15" s="10" t="s">
        <v>10</v>
      </c>
      <c r="B15" s="3">
        <v>2.11151859152767E-2</v>
      </c>
    </row>
    <row r="16" spans="1:7" x14ac:dyDescent="0.35">
      <c r="A16" s="16"/>
      <c r="B16" s="12"/>
    </row>
    <row r="17" spans="1:6" x14ac:dyDescent="0.35">
      <c r="A17" s="16"/>
      <c r="B17" s="12"/>
    </row>
    <row r="18" spans="1:6" x14ac:dyDescent="0.35">
      <c r="A18" s="16"/>
      <c r="B18" s="12"/>
    </row>
    <row r="22" spans="1:6" ht="21" x14ac:dyDescent="0.4">
      <c r="A22" s="5" t="s">
        <v>1</v>
      </c>
    </row>
    <row r="24" spans="1:6" x14ac:dyDescent="0.35">
      <c r="A24" s="9" t="s">
        <v>27</v>
      </c>
      <c r="B24" s="4" t="s">
        <v>28</v>
      </c>
      <c r="C24" s="11"/>
      <c r="D24" s="11"/>
      <c r="E24" s="11"/>
      <c r="F24" s="12"/>
    </row>
    <row r="25" spans="1:6" x14ac:dyDescent="0.35">
      <c r="A25" s="10" t="s">
        <v>5</v>
      </c>
      <c r="B25" s="2">
        <v>41</v>
      </c>
    </row>
    <row r="26" spans="1:6" x14ac:dyDescent="0.35">
      <c r="A26" s="10" t="s">
        <v>6</v>
      </c>
      <c r="B26" s="2">
        <v>41</v>
      </c>
    </row>
    <row r="27" spans="1:6" x14ac:dyDescent="0.35">
      <c r="A27" s="10" t="s">
        <v>7</v>
      </c>
      <c r="B27" s="2">
        <v>36</v>
      </c>
    </row>
    <row r="28" spans="1:6" x14ac:dyDescent="0.35">
      <c r="A28" s="10" t="s">
        <v>8</v>
      </c>
      <c r="B28" s="2">
        <v>47</v>
      </c>
    </row>
    <row r="29" spans="1:6" x14ac:dyDescent="0.35">
      <c r="A29" s="10" t="s">
        <v>9</v>
      </c>
      <c r="B29" s="2">
        <v>56</v>
      </c>
    </row>
    <row r="30" spans="1:6" x14ac:dyDescent="0.35">
      <c r="A30" s="10" t="s">
        <v>29</v>
      </c>
      <c r="B30" s="2">
        <v>193</v>
      </c>
    </row>
    <row r="31" spans="1:6" x14ac:dyDescent="0.35">
      <c r="A31" s="10" t="s">
        <v>35</v>
      </c>
      <c r="B31" s="2">
        <v>220</v>
      </c>
    </row>
    <row r="32" spans="1:6" x14ac:dyDescent="0.35">
      <c r="A32" s="10" t="s">
        <v>10</v>
      </c>
      <c r="B32" s="3">
        <v>4.38747161206647E-3</v>
      </c>
    </row>
    <row r="39" spans="1:2" ht="21" x14ac:dyDescent="0.4">
      <c r="A39" s="5" t="s">
        <v>12</v>
      </c>
    </row>
    <row r="40" spans="1:2" s="15" customFormat="1" x14ac:dyDescent="0.35">
      <c r="A40" s="14"/>
      <c r="B40" s="14"/>
    </row>
    <row r="41" spans="1:2" s="15" customFormat="1" x14ac:dyDescent="0.35">
      <c r="A41" s="17" t="s">
        <v>27</v>
      </c>
      <c r="B41" s="18" t="s">
        <v>28</v>
      </c>
    </row>
    <row r="42" spans="1:2" x14ac:dyDescent="0.35">
      <c r="A42" s="10" t="s">
        <v>9</v>
      </c>
      <c r="B42" s="8">
        <v>33</v>
      </c>
    </row>
    <row r="43" spans="1:2" x14ac:dyDescent="0.35">
      <c r="A43" s="10" t="s">
        <v>29</v>
      </c>
      <c r="B43" s="8">
        <v>15</v>
      </c>
    </row>
    <row r="44" spans="1:2" x14ac:dyDescent="0.35">
      <c r="A44" s="10" t="s">
        <v>35</v>
      </c>
      <c r="B44" s="8">
        <v>16</v>
      </c>
    </row>
    <row r="45" spans="1:2" x14ac:dyDescent="0.35">
      <c r="A45" s="8" t="s">
        <v>10</v>
      </c>
      <c r="B45" s="13">
        <v>1.68037361416336E-2</v>
      </c>
    </row>
  </sheetData>
  <mergeCells count="1">
    <mergeCell ref="A1:G1"/>
  </mergeCells>
  <pageMargins left="0.7" right="0.7" top="0.75" bottom="0.75" header="0.3" footer="0.3"/>
  <pageSetup paperSize="9" scale="83" orientation="portrait" horizontalDpi="300" verticalDpi="300" r:id="rId1"/>
  <rowBreaks count="1" manualBreakCount="1">
    <brk id="50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topLeftCell="A7" workbookViewId="0">
      <selection activeCell="F48" sqref="F48"/>
    </sheetView>
  </sheetViews>
  <sheetFormatPr baseColWidth="10" defaultRowHeight="14.4" x14ac:dyDescent="0.3"/>
  <sheetData>
    <row r="1" spans="1:5" ht="15" thickBot="1" x14ac:dyDescent="0.35">
      <c r="A1" t="s">
        <v>0</v>
      </c>
      <c r="B1" t="s">
        <v>14</v>
      </c>
      <c r="C1" t="s">
        <v>15</v>
      </c>
      <c r="D1" t="s">
        <v>16</v>
      </c>
    </row>
    <row r="2" spans="1:5" x14ac:dyDescent="0.3">
      <c r="A2" s="20" t="s">
        <v>1</v>
      </c>
      <c r="B2" s="21" t="s">
        <v>17</v>
      </c>
      <c r="C2" s="21">
        <v>444</v>
      </c>
      <c r="D2" s="22">
        <f>C2/SUM($C$2:$C$24)</f>
        <v>0.70031545741324919</v>
      </c>
      <c r="E2" s="7"/>
    </row>
    <row r="3" spans="1:5" x14ac:dyDescent="0.3">
      <c r="A3" s="23" t="s">
        <v>1</v>
      </c>
      <c r="B3" s="24" t="s">
        <v>22</v>
      </c>
      <c r="C3" s="24">
        <v>48</v>
      </c>
      <c r="D3" s="25">
        <f t="shared" ref="D3:D24" si="0">C3/SUM($C$2:$C$24)</f>
        <v>7.5709779179810727E-2</v>
      </c>
    </row>
    <row r="4" spans="1:5" x14ac:dyDescent="0.3">
      <c r="A4" s="23" t="s">
        <v>1</v>
      </c>
      <c r="B4" s="24" t="s">
        <v>18</v>
      </c>
      <c r="C4" s="24">
        <v>43</v>
      </c>
      <c r="D4" s="25">
        <f t="shared" si="0"/>
        <v>6.7823343848580436E-2</v>
      </c>
    </row>
    <row r="5" spans="1:5" x14ac:dyDescent="0.3">
      <c r="A5" s="23" t="s">
        <v>1</v>
      </c>
      <c r="B5" s="24" t="s">
        <v>21</v>
      </c>
      <c r="C5" s="24">
        <v>30</v>
      </c>
      <c r="D5" s="25">
        <f t="shared" si="0"/>
        <v>4.7318611987381701E-2</v>
      </c>
    </row>
    <row r="6" spans="1:5" x14ac:dyDescent="0.3">
      <c r="A6" s="23" t="s">
        <v>1</v>
      </c>
      <c r="B6" s="24" t="s">
        <v>30</v>
      </c>
      <c r="C6" s="24">
        <v>10</v>
      </c>
      <c r="D6" s="25">
        <f t="shared" si="0"/>
        <v>1.5772870662460567E-2</v>
      </c>
    </row>
    <row r="7" spans="1:5" x14ac:dyDescent="0.3">
      <c r="A7" s="23" t="s">
        <v>1</v>
      </c>
      <c r="B7" s="24" t="s">
        <v>24</v>
      </c>
      <c r="C7" s="24">
        <v>9</v>
      </c>
      <c r="D7" s="25">
        <f t="shared" si="0"/>
        <v>1.4195583596214511E-2</v>
      </c>
    </row>
    <row r="8" spans="1:5" x14ac:dyDescent="0.3">
      <c r="A8" s="23" t="s">
        <v>1</v>
      </c>
      <c r="B8" s="24" t="s">
        <v>20</v>
      </c>
      <c r="C8" s="24">
        <v>6</v>
      </c>
      <c r="D8" s="25">
        <f t="shared" si="0"/>
        <v>9.4637223974763408E-3</v>
      </c>
    </row>
    <row r="9" spans="1:5" x14ac:dyDescent="0.3">
      <c r="A9" s="23" t="s">
        <v>1</v>
      </c>
      <c r="B9" s="24" t="s">
        <v>31</v>
      </c>
      <c r="C9" s="24">
        <v>6</v>
      </c>
      <c r="D9" s="25">
        <f t="shared" si="0"/>
        <v>9.4637223974763408E-3</v>
      </c>
    </row>
    <row r="10" spans="1:5" ht="15" thickBot="1" x14ac:dyDescent="0.35">
      <c r="A10" s="26"/>
      <c r="B10" s="27" t="s">
        <v>49</v>
      </c>
      <c r="C10" s="27"/>
      <c r="D10" s="28">
        <f>SUM(D11:D24)</f>
        <v>5.9936908517350139E-2</v>
      </c>
    </row>
    <row r="11" spans="1:5" x14ac:dyDescent="0.3">
      <c r="A11" t="s">
        <v>1</v>
      </c>
      <c r="B11" t="s">
        <v>32</v>
      </c>
      <c r="C11">
        <v>4</v>
      </c>
      <c r="D11" s="6">
        <f t="shared" si="0"/>
        <v>6.3091482649842269E-3</v>
      </c>
    </row>
    <row r="12" spans="1:5" x14ac:dyDescent="0.3">
      <c r="A12" t="s">
        <v>1</v>
      </c>
      <c r="B12" t="s">
        <v>26</v>
      </c>
      <c r="C12">
        <v>4</v>
      </c>
      <c r="D12" s="6">
        <f t="shared" si="0"/>
        <v>6.3091482649842269E-3</v>
      </c>
    </row>
    <row r="13" spans="1:5" x14ac:dyDescent="0.3">
      <c r="A13" t="s">
        <v>1</v>
      </c>
      <c r="B13" t="s">
        <v>36</v>
      </c>
      <c r="C13">
        <v>3</v>
      </c>
      <c r="D13" s="6">
        <f t="shared" si="0"/>
        <v>4.7318611987381704E-3</v>
      </c>
    </row>
    <row r="14" spans="1:5" x14ac:dyDescent="0.3">
      <c r="A14" t="s">
        <v>1</v>
      </c>
      <c r="B14" t="s">
        <v>37</v>
      </c>
      <c r="C14">
        <v>3</v>
      </c>
      <c r="D14" s="6">
        <f t="shared" si="0"/>
        <v>4.7318611987381704E-3</v>
      </c>
    </row>
    <row r="15" spans="1:5" x14ac:dyDescent="0.3">
      <c r="A15" t="s">
        <v>1</v>
      </c>
      <c r="B15" t="s">
        <v>19</v>
      </c>
      <c r="C15">
        <v>3</v>
      </c>
      <c r="D15" s="6">
        <f t="shared" si="0"/>
        <v>4.7318611987381704E-3</v>
      </c>
    </row>
    <row r="16" spans="1:5" x14ac:dyDescent="0.3">
      <c r="A16" t="s">
        <v>1</v>
      </c>
      <c r="B16" t="s">
        <v>38</v>
      </c>
      <c r="C16">
        <v>3</v>
      </c>
      <c r="D16" s="6">
        <f t="shared" si="0"/>
        <v>4.7318611987381704E-3</v>
      </c>
    </row>
    <row r="17" spans="1:4" x14ac:dyDescent="0.3">
      <c r="A17" t="s">
        <v>1</v>
      </c>
      <c r="B17" t="s">
        <v>39</v>
      </c>
      <c r="C17">
        <v>3</v>
      </c>
      <c r="D17" s="6">
        <f t="shared" si="0"/>
        <v>4.7318611987381704E-3</v>
      </c>
    </row>
    <row r="18" spans="1:4" x14ac:dyDescent="0.3">
      <c r="A18" t="s">
        <v>1</v>
      </c>
      <c r="B18" t="s">
        <v>40</v>
      </c>
      <c r="C18">
        <v>3</v>
      </c>
      <c r="D18" s="6">
        <f t="shared" si="0"/>
        <v>4.7318611987381704E-3</v>
      </c>
    </row>
    <row r="19" spans="1:4" x14ac:dyDescent="0.3">
      <c r="A19" t="s">
        <v>1</v>
      </c>
      <c r="B19" t="s">
        <v>23</v>
      </c>
      <c r="C19">
        <v>3</v>
      </c>
      <c r="D19" s="6">
        <f t="shared" si="0"/>
        <v>4.7318611987381704E-3</v>
      </c>
    </row>
    <row r="20" spans="1:4" x14ac:dyDescent="0.3">
      <c r="A20" t="s">
        <v>1</v>
      </c>
      <c r="B20" t="s">
        <v>41</v>
      </c>
      <c r="C20">
        <v>3</v>
      </c>
      <c r="D20" s="6">
        <f t="shared" si="0"/>
        <v>4.7318611987381704E-3</v>
      </c>
    </row>
    <row r="21" spans="1:4" x14ac:dyDescent="0.3">
      <c r="A21" t="s">
        <v>1</v>
      </c>
      <c r="C21">
        <v>3</v>
      </c>
      <c r="D21" s="6">
        <f t="shared" si="0"/>
        <v>4.7318611987381704E-3</v>
      </c>
    </row>
    <row r="22" spans="1:4" x14ac:dyDescent="0.3">
      <c r="A22" t="s">
        <v>1</v>
      </c>
      <c r="B22" t="s">
        <v>42</v>
      </c>
      <c r="C22">
        <v>1</v>
      </c>
      <c r="D22" s="6">
        <f t="shared" si="0"/>
        <v>1.5772870662460567E-3</v>
      </c>
    </row>
    <row r="23" spans="1:4" x14ac:dyDescent="0.3">
      <c r="A23" t="s">
        <v>1</v>
      </c>
      <c r="B23" t="s">
        <v>43</v>
      </c>
      <c r="C23">
        <v>1</v>
      </c>
      <c r="D23" s="6">
        <f t="shared" si="0"/>
        <v>1.5772870662460567E-3</v>
      </c>
    </row>
    <row r="24" spans="1:4" ht="15" thickBot="1" x14ac:dyDescent="0.35">
      <c r="A24" t="s">
        <v>1</v>
      </c>
      <c r="B24" t="s">
        <v>33</v>
      </c>
      <c r="C24">
        <v>1</v>
      </c>
      <c r="D24" s="6">
        <f t="shared" si="0"/>
        <v>1.5772870662460567E-3</v>
      </c>
    </row>
    <row r="25" spans="1:4" x14ac:dyDescent="0.3">
      <c r="A25" s="20" t="s">
        <v>2</v>
      </c>
      <c r="B25" s="21" t="s">
        <v>17</v>
      </c>
      <c r="C25" s="21">
        <v>39</v>
      </c>
      <c r="D25" s="22">
        <f>C25/SUM($C$25:$C$34)</f>
        <v>0.609375</v>
      </c>
    </row>
    <row r="26" spans="1:4" x14ac:dyDescent="0.3">
      <c r="A26" s="23" t="s">
        <v>2</v>
      </c>
      <c r="B26" s="24" t="s">
        <v>22</v>
      </c>
      <c r="C26" s="24">
        <v>10</v>
      </c>
      <c r="D26" s="25">
        <f t="shared" ref="D26:D34" si="1">C26/SUM($C$25:$C$34)</f>
        <v>0.15625</v>
      </c>
    </row>
    <row r="27" spans="1:4" x14ac:dyDescent="0.3">
      <c r="A27" s="23" t="s">
        <v>2</v>
      </c>
      <c r="B27" s="24" t="s">
        <v>21</v>
      </c>
      <c r="C27" s="24">
        <v>3</v>
      </c>
      <c r="D27" s="25">
        <f t="shared" si="1"/>
        <v>4.6875E-2</v>
      </c>
    </row>
    <row r="28" spans="1:4" x14ac:dyDescent="0.3">
      <c r="A28" s="23" t="s">
        <v>2</v>
      </c>
      <c r="B28" s="24" t="s">
        <v>18</v>
      </c>
      <c r="C28" s="24">
        <v>3</v>
      </c>
      <c r="D28" s="25">
        <f t="shared" si="1"/>
        <v>4.6875E-2</v>
      </c>
    </row>
    <row r="29" spans="1:4" x14ac:dyDescent="0.3">
      <c r="A29" s="23" t="s">
        <v>2</v>
      </c>
      <c r="B29" s="24" t="s">
        <v>25</v>
      </c>
      <c r="C29" s="24">
        <v>2</v>
      </c>
      <c r="D29" s="25">
        <f t="shared" si="1"/>
        <v>3.125E-2</v>
      </c>
    </row>
    <row r="30" spans="1:4" x14ac:dyDescent="0.3">
      <c r="A30" s="23" t="s">
        <v>2</v>
      </c>
      <c r="B30" s="24" t="s">
        <v>23</v>
      </c>
      <c r="C30" s="24">
        <v>2</v>
      </c>
      <c r="D30" s="25">
        <f t="shared" si="1"/>
        <v>3.125E-2</v>
      </c>
    </row>
    <row r="31" spans="1:4" x14ac:dyDescent="0.3">
      <c r="A31" s="23" t="s">
        <v>2</v>
      </c>
      <c r="B31" s="24" t="s">
        <v>24</v>
      </c>
      <c r="C31" s="24">
        <v>2</v>
      </c>
      <c r="D31" s="25">
        <f t="shared" si="1"/>
        <v>3.125E-2</v>
      </c>
    </row>
    <row r="32" spans="1:4" x14ac:dyDescent="0.3">
      <c r="A32" s="23" t="s">
        <v>2</v>
      </c>
      <c r="B32" s="24" t="s">
        <v>19</v>
      </c>
      <c r="C32" s="24">
        <v>1</v>
      </c>
      <c r="D32" s="25">
        <f t="shared" si="1"/>
        <v>1.5625E-2</v>
      </c>
    </row>
    <row r="33" spans="1:5" x14ac:dyDescent="0.3">
      <c r="A33" s="23" t="s">
        <v>2</v>
      </c>
      <c r="B33" s="24" t="s">
        <v>20</v>
      </c>
      <c r="C33" s="24">
        <v>1</v>
      </c>
      <c r="D33" s="25">
        <f t="shared" si="1"/>
        <v>1.5625E-2</v>
      </c>
    </row>
    <row r="34" spans="1:5" ht="15" thickBot="1" x14ac:dyDescent="0.35">
      <c r="A34" s="26" t="s">
        <v>2</v>
      </c>
      <c r="B34" s="27" t="s">
        <v>44</v>
      </c>
      <c r="C34" s="27">
        <v>1</v>
      </c>
      <c r="D34" s="28">
        <f t="shared" si="1"/>
        <v>1.5625E-2</v>
      </c>
      <c r="E34" s="7"/>
    </row>
    <row r="35" spans="1:5" x14ac:dyDescent="0.3">
      <c r="A35" s="20" t="s">
        <v>3</v>
      </c>
      <c r="B35" s="21" t="s">
        <v>17</v>
      </c>
      <c r="C35" s="21">
        <v>229</v>
      </c>
      <c r="D35" s="22">
        <f>C35/SUM($C$35:$C$58)</f>
        <v>0.59173126614987082</v>
      </c>
      <c r="E35" s="7"/>
    </row>
    <row r="36" spans="1:5" x14ac:dyDescent="0.3">
      <c r="A36" s="23" t="s">
        <v>3</v>
      </c>
      <c r="B36" s="24" t="s">
        <v>18</v>
      </c>
      <c r="C36" s="24">
        <v>57</v>
      </c>
      <c r="D36" s="25">
        <f t="shared" ref="D36:D58" si="2">C36/SUM($C$35:$C$58)</f>
        <v>0.14728682170542637</v>
      </c>
    </row>
    <row r="37" spans="1:5" x14ac:dyDescent="0.3">
      <c r="A37" s="23" t="s">
        <v>3</v>
      </c>
      <c r="B37" s="24" t="s">
        <v>21</v>
      </c>
      <c r="C37" s="24">
        <v>22</v>
      </c>
      <c r="D37" s="25">
        <f t="shared" si="2"/>
        <v>5.6847545219638244E-2</v>
      </c>
    </row>
    <row r="38" spans="1:5" x14ac:dyDescent="0.3">
      <c r="A38" s="23" t="s">
        <v>3</v>
      </c>
      <c r="B38" s="24" t="s">
        <v>20</v>
      </c>
      <c r="C38" s="24">
        <v>14</v>
      </c>
      <c r="D38" s="25">
        <f t="shared" si="2"/>
        <v>3.6175710594315243E-2</v>
      </c>
    </row>
    <row r="39" spans="1:5" x14ac:dyDescent="0.3">
      <c r="A39" s="23" t="s">
        <v>3</v>
      </c>
      <c r="B39" s="24" t="s">
        <v>22</v>
      </c>
      <c r="C39" s="24">
        <v>11</v>
      </c>
      <c r="D39" s="25">
        <f t="shared" si="2"/>
        <v>2.8423772609819122E-2</v>
      </c>
    </row>
    <row r="40" spans="1:5" x14ac:dyDescent="0.3">
      <c r="A40" s="23" t="s">
        <v>3</v>
      </c>
      <c r="B40" s="24" t="s">
        <v>33</v>
      </c>
      <c r="C40" s="24">
        <v>7</v>
      </c>
      <c r="D40" s="25">
        <f t="shared" si="2"/>
        <v>1.8087855297157621E-2</v>
      </c>
    </row>
    <row r="41" spans="1:5" x14ac:dyDescent="0.3">
      <c r="A41" s="23" t="s">
        <v>3</v>
      </c>
      <c r="B41" s="24" t="s">
        <v>34</v>
      </c>
      <c r="C41" s="24">
        <v>6</v>
      </c>
      <c r="D41" s="25">
        <f t="shared" si="2"/>
        <v>1.5503875968992248E-2</v>
      </c>
    </row>
    <row r="42" spans="1:5" x14ac:dyDescent="0.3">
      <c r="A42" s="23" t="s">
        <v>3</v>
      </c>
      <c r="B42" s="24" t="s">
        <v>19</v>
      </c>
      <c r="C42" s="24">
        <v>5</v>
      </c>
      <c r="D42" s="25">
        <f t="shared" si="2"/>
        <v>1.2919896640826873E-2</v>
      </c>
    </row>
    <row r="43" spans="1:5" ht="15" thickBot="1" x14ac:dyDescent="0.35">
      <c r="A43" s="26"/>
      <c r="B43" s="27" t="s">
        <v>49</v>
      </c>
      <c r="C43" s="27"/>
      <c r="D43" s="28">
        <f>SUM(D44:D58)</f>
        <v>9.3023255813953501E-2</v>
      </c>
    </row>
    <row r="44" spans="1:5" x14ac:dyDescent="0.3">
      <c r="A44" t="s">
        <v>3</v>
      </c>
      <c r="B44" t="s">
        <v>32</v>
      </c>
      <c r="C44">
        <v>3</v>
      </c>
      <c r="D44" s="6">
        <f t="shared" si="2"/>
        <v>7.7519379844961239E-3</v>
      </c>
    </row>
    <row r="45" spans="1:5" x14ac:dyDescent="0.3">
      <c r="A45" t="s">
        <v>3</v>
      </c>
      <c r="B45" t="s">
        <v>45</v>
      </c>
      <c r="C45">
        <v>3</v>
      </c>
      <c r="D45" s="6">
        <f t="shared" si="2"/>
        <v>7.7519379844961239E-3</v>
      </c>
    </row>
    <row r="46" spans="1:5" x14ac:dyDescent="0.3">
      <c r="A46" t="s">
        <v>3</v>
      </c>
      <c r="B46" t="s">
        <v>37</v>
      </c>
      <c r="C46">
        <v>3</v>
      </c>
      <c r="D46" s="6">
        <f t="shared" si="2"/>
        <v>7.7519379844961239E-3</v>
      </c>
    </row>
    <row r="47" spans="1:5" x14ac:dyDescent="0.3">
      <c r="A47" t="s">
        <v>3</v>
      </c>
      <c r="B47" t="s">
        <v>46</v>
      </c>
      <c r="C47">
        <v>3</v>
      </c>
      <c r="D47" s="6">
        <f t="shared" si="2"/>
        <v>7.7519379844961239E-3</v>
      </c>
    </row>
    <row r="48" spans="1:5" x14ac:dyDescent="0.3">
      <c r="A48" t="s">
        <v>3</v>
      </c>
      <c r="B48" t="s">
        <v>39</v>
      </c>
      <c r="C48">
        <v>3</v>
      </c>
      <c r="D48" s="6">
        <f t="shared" si="2"/>
        <v>7.7519379844961239E-3</v>
      </c>
    </row>
    <row r="49" spans="1:4" x14ac:dyDescent="0.3">
      <c r="A49" t="s">
        <v>3</v>
      </c>
      <c r="B49" t="s">
        <v>47</v>
      </c>
      <c r="C49">
        <v>3</v>
      </c>
      <c r="D49" s="6">
        <f t="shared" si="2"/>
        <v>7.7519379844961239E-3</v>
      </c>
    </row>
    <row r="50" spans="1:4" x14ac:dyDescent="0.3">
      <c r="A50" t="s">
        <v>3</v>
      </c>
      <c r="B50" t="s">
        <v>26</v>
      </c>
      <c r="C50">
        <v>3</v>
      </c>
      <c r="D50" s="6">
        <f t="shared" si="2"/>
        <v>7.7519379844961239E-3</v>
      </c>
    </row>
    <row r="51" spans="1:4" x14ac:dyDescent="0.3">
      <c r="A51" t="s">
        <v>3</v>
      </c>
      <c r="B51" t="s">
        <v>36</v>
      </c>
      <c r="C51">
        <v>2</v>
      </c>
      <c r="D51" s="6">
        <f t="shared" si="2"/>
        <v>5.1679586563307496E-3</v>
      </c>
    </row>
    <row r="52" spans="1:4" x14ac:dyDescent="0.3">
      <c r="A52" t="s">
        <v>3</v>
      </c>
      <c r="B52" t="s">
        <v>30</v>
      </c>
      <c r="C52">
        <v>2</v>
      </c>
      <c r="D52" s="6">
        <f t="shared" si="2"/>
        <v>5.1679586563307496E-3</v>
      </c>
    </row>
    <row r="53" spans="1:4" x14ac:dyDescent="0.3">
      <c r="A53" t="s">
        <v>3</v>
      </c>
      <c r="B53" t="s">
        <v>48</v>
      </c>
      <c r="C53">
        <v>2</v>
      </c>
      <c r="D53" s="6">
        <f t="shared" si="2"/>
        <v>5.1679586563307496E-3</v>
      </c>
    </row>
    <row r="54" spans="1:4" x14ac:dyDescent="0.3">
      <c r="A54" t="s">
        <v>3</v>
      </c>
      <c r="B54" t="s">
        <v>23</v>
      </c>
      <c r="C54">
        <v>2</v>
      </c>
      <c r="D54" s="6">
        <f t="shared" si="2"/>
        <v>5.1679586563307496E-3</v>
      </c>
    </row>
    <row r="55" spans="1:4" x14ac:dyDescent="0.3">
      <c r="A55" t="s">
        <v>3</v>
      </c>
      <c r="B55" t="s">
        <v>24</v>
      </c>
      <c r="C55">
        <v>2</v>
      </c>
      <c r="D55" s="6">
        <f t="shared" si="2"/>
        <v>5.1679586563307496E-3</v>
      </c>
    </row>
    <row r="56" spans="1:4" x14ac:dyDescent="0.3">
      <c r="A56" t="s">
        <v>3</v>
      </c>
      <c r="B56" t="s">
        <v>31</v>
      </c>
      <c r="C56">
        <v>2</v>
      </c>
      <c r="D56" s="6">
        <f t="shared" si="2"/>
        <v>5.1679586563307496E-3</v>
      </c>
    </row>
    <row r="57" spans="1:4" x14ac:dyDescent="0.3">
      <c r="A57" t="s">
        <v>3</v>
      </c>
      <c r="C57">
        <v>2</v>
      </c>
      <c r="D57" s="6">
        <f t="shared" si="2"/>
        <v>5.1679586563307496E-3</v>
      </c>
    </row>
    <row r="58" spans="1:4" x14ac:dyDescent="0.3">
      <c r="A58" t="s">
        <v>3</v>
      </c>
      <c r="B58" t="s">
        <v>43</v>
      </c>
      <c r="C58">
        <v>1</v>
      </c>
      <c r="D58" s="6">
        <f t="shared" si="2"/>
        <v>2.5839793281653748E-3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Sheet 1</vt:lpstr>
      <vt:lpstr>tabla nacionalidad</vt:lpstr>
      <vt:lpstr>'Sheet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Valeria Levite</cp:lastModifiedBy>
  <cp:lastPrinted>2025-08-08T14:39:23Z</cp:lastPrinted>
  <dcterms:created xsi:type="dcterms:W3CDTF">2025-05-29T15:57:49Z</dcterms:created>
  <dcterms:modified xsi:type="dcterms:W3CDTF">2025-08-08T14:42:18Z</dcterms:modified>
</cp:coreProperties>
</file>