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"/>
    </mc:Choice>
  </mc:AlternateContent>
  <bookViews>
    <workbookView xWindow="0" yWindow="0" windowWidth="23040" windowHeight="9192" activeTab="5"/>
  </bookViews>
  <sheets>
    <sheet name="Hoja1" sheetId="2" r:id="rId1"/>
    <sheet name="venta llaveros" sheetId="1" r:id="rId2"/>
    <sheet name="Stock a marzo" sheetId="5" r:id="rId3"/>
    <sheet name="Stock a mayo" sheetId="4" r:id="rId4"/>
    <sheet name="Stock a junio" sheetId="6" r:id="rId5"/>
    <sheet name="Venta y stock" sheetId="3" r:id="rId6"/>
  </sheets>
  <calcPr calcId="162913"/>
  <pivotCaches>
    <pivotCache cacheId="0" r:id="rId7"/>
  </pivotCaches>
</workbook>
</file>

<file path=xl/calcChain.xml><?xml version="1.0" encoding="utf-8"?>
<calcChain xmlns="http://schemas.openxmlformats.org/spreadsheetml/2006/main">
  <c r="N20" i="3" l="1"/>
  <c r="N19" i="3"/>
  <c r="N17" i="3"/>
  <c r="N16" i="3"/>
  <c r="N15" i="3"/>
  <c r="N14" i="3"/>
  <c r="N13" i="3"/>
  <c r="N12" i="3"/>
  <c r="N11" i="3"/>
  <c r="N10" i="3"/>
  <c r="N8" i="3"/>
  <c r="N7" i="3"/>
  <c r="N5" i="3"/>
  <c r="N4" i="3"/>
  <c r="N3" i="3"/>
  <c r="N18" i="3"/>
  <c r="N9" i="3"/>
  <c r="N6" i="3"/>
  <c r="N2" i="3"/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" i="3"/>
  <c r="K3" i="3"/>
  <c r="K4" i="3"/>
  <c r="K5" i="3"/>
  <c r="K6" i="3"/>
  <c r="K7" i="3"/>
  <c r="K8" i="3"/>
  <c r="K10" i="3"/>
  <c r="K11" i="3"/>
  <c r="K12" i="3"/>
  <c r="K13" i="3"/>
  <c r="K14" i="3"/>
  <c r="K15" i="3"/>
  <c r="K16" i="3"/>
  <c r="K17" i="3"/>
  <c r="K19" i="3"/>
  <c r="K20" i="3"/>
  <c r="K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" i="3"/>
</calcChain>
</file>

<file path=xl/sharedStrings.xml><?xml version="1.0" encoding="utf-8"?>
<sst xmlns="http://schemas.openxmlformats.org/spreadsheetml/2006/main" count="1087" uniqueCount="79">
  <si>
    <t>FECHA_EMISION</t>
  </si>
  <si>
    <t>DESCRIPCION</t>
  </si>
  <si>
    <t>VENTA</t>
  </si>
  <si>
    <t>FECHA</t>
  </si>
  <si>
    <t>LETRA</t>
  </si>
  <si>
    <t>MES</t>
  </si>
  <si>
    <t>MES_ETIQUETA</t>
  </si>
  <si>
    <t>DIA</t>
  </si>
  <si>
    <t>LLAVERO ABC (LETRA P)</t>
  </si>
  <si>
    <t>P</t>
  </si>
  <si>
    <t>noviembre 2024</t>
  </si>
  <si>
    <t>LLAVERO ABC (LETRA M)</t>
  </si>
  <si>
    <t>M</t>
  </si>
  <si>
    <t>LLAVERO ABC (LETRA G)</t>
  </si>
  <si>
    <t>G</t>
  </si>
  <si>
    <t>diciembre 2024</t>
  </si>
  <si>
    <t>LLAVERO ABC (LETRA R)</t>
  </si>
  <si>
    <t>R</t>
  </si>
  <si>
    <t>LLAVERO ABC (LETRA S)</t>
  </si>
  <si>
    <t>S</t>
  </si>
  <si>
    <t>LLAVERO ABC (LETRA F)</t>
  </si>
  <si>
    <t>F</t>
  </si>
  <si>
    <t>LLAVERO ABC (LETRA A)</t>
  </si>
  <si>
    <t>A</t>
  </si>
  <si>
    <t>LLAVERO ABC (LETRA B)</t>
  </si>
  <si>
    <t>B</t>
  </si>
  <si>
    <t>enero 2025</t>
  </si>
  <si>
    <t>LLAVERO ABC (LETRA V)</t>
  </si>
  <si>
    <t>V</t>
  </si>
  <si>
    <t>febrero 2025</t>
  </si>
  <si>
    <t>LLAVERO ABC (LETRA C)</t>
  </si>
  <si>
    <t>C</t>
  </si>
  <si>
    <t>LLAVERO ABC (LETRA N)</t>
  </si>
  <si>
    <t>N</t>
  </si>
  <si>
    <t>LLAVERO ABC (LETRA D)</t>
  </si>
  <si>
    <t>D</t>
  </si>
  <si>
    <t>LLAVERO ABC (LETRA L)</t>
  </si>
  <si>
    <t>L</t>
  </si>
  <si>
    <t>LLAVERO ABC (LETRA J)</t>
  </si>
  <si>
    <t>J</t>
  </si>
  <si>
    <t>marzo 2025</t>
  </si>
  <si>
    <t>LLAVERO ABC (LETRA Y)</t>
  </si>
  <si>
    <t>Y</t>
  </si>
  <si>
    <t>LLAVERO ABC (LETRA K)</t>
  </si>
  <si>
    <t>K</t>
  </si>
  <si>
    <t>abril 2025</t>
  </si>
  <si>
    <t>mayo 2025</t>
  </si>
  <si>
    <t>LLAVERO ABC (LETRA E)</t>
  </si>
  <si>
    <t>E</t>
  </si>
  <si>
    <t>LLAVERO ABC (LETRA H)</t>
  </si>
  <si>
    <t>H</t>
  </si>
  <si>
    <t>LLAVERO ABC (LETRA T)</t>
  </si>
  <si>
    <t>T</t>
  </si>
  <si>
    <t>junio 2025</t>
  </si>
  <si>
    <t>Etiquetas de fila</t>
  </si>
  <si>
    <t>Total general</t>
  </si>
  <si>
    <t>Etiquetas de columna</t>
  </si>
  <si>
    <t>2024</t>
  </si>
  <si>
    <t>2025</t>
  </si>
  <si>
    <t>Trim.4</t>
  </si>
  <si>
    <t>Trim.1</t>
  </si>
  <si>
    <t>Trim.2</t>
  </si>
  <si>
    <t>nov</t>
  </si>
  <si>
    <t>dic</t>
  </si>
  <si>
    <t>ene</t>
  </si>
  <si>
    <t>feb</t>
  </si>
  <si>
    <t>mar</t>
  </si>
  <si>
    <t>abr</t>
  </si>
  <si>
    <t>may</t>
  </si>
  <si>
    <t>jun</t>
  </si>
  <si>
    <t>Suma de VENTA</t>
  </si>
  <si>
    <t>Suma de Cantidad</t>
  </si>
  <si>
    <t>STOCK</t>
  </si>
  <si>
    <t>LETRAS</t>
  </si>
  <si>
    <t>PROMEDIO MARZO, MAYO, JUNIO</t>
  </si>
  <si>
    <t>STOCK AL 1/3</t>
  </si>
  <si>
    <t>STOCK AL 1/5</t>
  </si>
  <si>
    <t>STOCK AL 1/6</t>
  </si>
  <si>
    <t>PROMEDIO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</si>
</sst>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NumberFormat="1"/>
    <xf numFmtId="164" fontId="0" fillId="0" borderId="0" xfId="0" applyNumberFormat="1"/>
    <xf numFmtId="0" fontId="0" fillId="0" borderId="0" xfId="0" applyFont="1"/>
    <xf numFmtId="1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0" fillId="2" borderId="1" xfId="0" applyFill="1" applyBorder="1"/>
    <xf numFmtId="164" fontId="0" fillId="0" borderId="1" xfId="0" applyNumberFormat="1" applyBorder="1"/>
    <xf numFmtId="1" fontId="0" fillId="0" borderId="1" xfId="0" applyNumberFormat="1" applyBorder="1"/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" fontId="2" fillId="0" borderId="1" xfId="0" applyNumberFormat="1" applyFont="1" applyBorder="1" applyAlignment="1">
      <alignment horizontal="center" wrapText="1"/>
    </xf>
    <xf numFmtId="1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5834.519635069446" createdVersion="6" refreshedVersion="6" minRefreshableVersion="3" recordCount="316">
  <cacheSource type="worksheet">
    <worksheetSource ref="A1:H317" sheet="venta llaveros"/>
  </cacheSource>
  <cacheFields count="10">
    <cacheField name="FECHA_EMISION" numFmtId="14">
      <sharedItems containsSemiMixedTypes="0" containsNonDate="0" containsDate="1" containsString="0" minDate="2024-11-27T00:00:00" maxDate="2025-06-25T00:00:00"/>
    </cacheField>
    <cacheField name="DESCRIPCION" numFmtId="0">
      <sharedItems/>
    </cacheField>
    <cacheField name="VENTA" numFmtId="0">
      <sharedItems containsSemiMixedTypes="0" containsString="0" containsNumber="1" containsInteger="1" minValue="1" maxValue="3"/>
    </cacheField>
    <cacheField name="FECHA" numFmtId="14">
      <sharedItems containsSemiMixedTypes="0" containsNonDate="0" containsDate="1" containsString="0" minDate="2024-11-27T00:00:00" maxDate="2025-06-25T00:00:00"/>
    </cacheField>
    <cacheField name="LETRA" numFmtId="0">
      <sharedItems count="19">
        <s v="P"/>
        <s v="M"/>
        <s v="G"/>
        <s v="R"/>
        <s v="S"/>
        <s v="F"/>
        <s v="A"/>
        <s v="B"/>
        <s v="V"/>
        <s v="C"/>
        <s v="N"/>
        <s v="D"/>
        <s v="L"/>
        <s v="J"/>
        <s v="Y"/>
        <s v="K"/>
        <s v="E"/>
        <s v="H"/>
        <s v="T"/>
      </sharedItems>
    </cacheField>
    <cacheField name="MES" numFmtId="14">
      <sharedItems containsSemiMixedTypes="0" containsNonDate="0" containsDate="1" containsString="0" minDate="2024-11-01T00:00:00" maxDate="2025-06-02T00:00:00" count="8"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</sharedItems>
      <fieldGroup par="9" base="5">
        <rangePr groupBy="months" startDate="2024-11-01T00:00:00" endDate="2025-06-02T00:00:00"/>
        <groupItems count="14">
          <s v="&lt;1/11/2024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2/6/2025"/>
        </groupItems>
      </fieldGroup>
    </cacheField>
    <cacheField name="MES_ETIQUETA" numFmtId="0">
      <sharedItems/>
    </cacheField>
    <cacheField name="DIA" numFmtId="0">
      <sharedItems containsSemiMixedTypes="0" containsString="0" containsNumber="1" containsInteger="1" minValue="1" maxValue="31"/>
    </cacheField>
    <cacheField name="Trimestres" numFmtId="0" databaseField="0">
      <fieldGroup base="5">
        <rangePr groupBy="quarters" startDate="2024-11-01T00:00:00" endDate="2025-06-02T00:00:00"/>
        <groupItems count="6">
          <s v="&lt;1/11/2024"/>
          <s v="Trim.1"/>
          <s v="Trim.2"/>
          <s v="Trim.3"/>
          <s v="Trim.4"/>
          <s v="&gt;2/6/2025"/>
        </groupItems>
      </fieldGroup>
    </cacheField>
    <cacheField name="Años" numFmtId="0" databaseField="0">
      <fieldGroup base="5">
        <rangePr groupBy="years" startDate="2024-11-01T00:00:00" endDate="2025-06-02T00:00:00"/>
        <groupItems count="4">
          <s v="&lt;1/11/2024"/>
          <s v="2024"/>
          <s v="2025"/>
          <s v="&gt;2/6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6">
  <r>
    <d v="2024-11-27T00:00:00"/>
    <s v="LLAVERO ABC (LETRA P)"/>
    <n v="1"/>
    <d v="2024-11-27T00:00:00"/>
    <x v="0"/>
    <x v="0"/>
    <s v="noviembre 2024"/>
    <n v="27"/>
  </r>
  <r>
    <d v="2024-11-28T00:00:00"/>
    <s v="LLAVERO ABC (LETRA M)"/>
    <n v="2"/>
    <d v="2024-11-28T00:00:00"/>
    <x v="1"/>
    <x v="0"/>
    <s v="noviembre 2024"/>
    <n v="28"/>
  </r>
  <r>
    <d v="2024-12-03T00:00:00"/>
    <s v="LLAVERO ABC (LETRA G)"/>
    <n v="1"/>
    <d v="2024-12-03T00:00:00"/>
    <x v="2"/>
    <x v="1"/>
    <s v="diciembre 2024"/>
    <n v="3"/>
  </r>
  <r>
    <d v="2024-12-03T00:00:00"/>
    <s v="LLAVERO ABC (LETRA P)"/>
    <n v="1"/>
    <d v="2024-12-03T00:00:00"/>
    <x v="0"/>
    <x v="1"/>
    <s v="diciembre 2024"/>
    <n v="3"/>
  </r>
  <r>
    <d v="2024-12-04T00:00:00"/>
    <s v="LLAVERO ABC (LETRA R)"/>
    <n v="1"/>
    <d v="2024-12-04T00:00:00"/>
    <x v="3"/>
    <x v="1"/>
    <s v="diciembre 2024"/>
    <n v="4"/>
  </r>
  <r>
    <d v="2024-12-07T00:00:00"/>
    <s v="LLAVERO ABC (LETRA R)"/>
    <n v="1"/>
    <d v="2024-12-07T00:00:00"/>
    <x v="3"/>
    <x v="1"/>
    <s v="diciembre 2024"/>
    <n v="7"/>
  </r>
  <r>
    <d v="2024-12-12T00:00:00"/>
    <s v="LLAVERO ABC (LETRA R)"/>
    <n v="1"/>
    <d v="2024-12-12T00:00:00"/>
    <x v="3"/>
    <x v="1"/>
    <s v="diciembre 2024"/>
    <n v="12"/>
  </r>
  <r>
    <d v="2024-12-13T00:00:00"/>
    <s v="LLAVERO ABC (LETRA M)"/>
    <n v="1"/>
    <d v="2024-12-13T00:00:00"/>
    <x v="1"/>
    <x v="1"/>
    <s v="diciembre 2024"/>
    <n v="13"/>
  </r>
  <r>
    <d v="2024-12-13T00:00:00"/>
    <s v="LLAVERO ABC (LETRA S)"/>
    <n v="1"/>
    <d v="2024-12-13T00:00:00"/>
    <x v="4"/>
    <x v="1"/>
    <s v="diciembre 2024"/>
    <n v="13"/>
  </r>
  <r>
    <d v="2024-12-16T00:00:00"/>
    <s v="LLAVERO ABC (LETRA M)"/>
    <n v="1"/>
    <d v="2024-12-16T00:00:00"/>
    <x v="1"/>
    <x v="1"/>
    <s v="diciembre 2024"/>
    <n v="16"/>
  </r>
  <r>
    <d v="2024-12-16T00:00:00"/>
    <s v="LLAVERO ABC (LETRA P)"/>
    <n v="1"/>
    <d v="2024-12-16T00:00:00"/>
    <x v="0"/>
    <x v="1"/>
    <s v="diciembre 2024"/>
    <n v="16"/>
  </r>
  <r>
    <d v="2024-12-19T00:00:00"/>
    <s v="LLAVERO ABC (LETRA F)"/>
    <n v="1"/>
    <d v="2024-12-19T00:00:00"/>
    <x v="5"/>
    <x v="1"/>
    <s v="diciembre 2024"/>
    <n v="19"/>
  </r>
  <r>
    <d v="2024-12-20T00:00:00"/>
    <s v="LLAVERO ABC (LETRA A)"/>
    <n v="1"/>
    <d v="2024-12-20T00:00:00"/>
    <x v="6"/>
    <x v="1"/>
    <s v="diciembre 2024"/>
    <n v="20"/>
  </r>
  <r>
    <d v="2024-12-20T00:00:00"/>
    <s v="LLAVERO ABC (LETRA M)"/>
    <n v="2"/>
    <d v="2024-12-20T00:00:00"/>
    <x v="1"/>
    <x v="1"/>
    <s v="diciembre 2024"/>
    <n v="20"/>
  </r>
  <r>
    <d v="2024-12-21T00:00:00"/>
    <s v="LLAVERO ABC (LETRA B)"/>
    <n v="1"/>
    <d v="2024-12-21T00:00:00"/>
    <x v="7"/>
    <x v="1"/>
    <s v="diciembre 2024"/>
    <n v="21"/>
  </r>
  <r>
    <d v="2024-12-21T00:00:00"/>
    <s v="LLAVERO ABC (LETRA P)"/>
    <n v="1"/>
    <d v="2024-12-21T00:00:00"/>
    <x v="0"/>
    <x v="1"/>
    <s v="diciembre 2024"/>
    <n v="21"/>
  </r>
  <r>
    <d v="2024-12-22T00:00:00"/>
    <s v="LLAVERO ABC (LETRA R)"/>
    <n v="1"/>
    <d v="2024-12-22T00:00:00"/>
    <x v="3"/>
    <x v="1"/>
    <s v="diciembre 2024"/>
    <n v="22"/>
  </r>
  <r>
    <d v="2024-12-23T00:00:00"/>
    <s v="LLAVERO ABC (LETRA M)"/>
    <n v="1"/>
    <d v="2024-12-23T00:00:00"/>
    <x v="1"/>
    <x v="1"/>
    <s v="diciembre 2024"/>
    <n v="23"/>
  </r>
  <r>
    <d v="2024-12-24T00:00:00"/>
    <s v="LLAVERO ABC (LETRA A)"/>
    <n v="1"/>
    <d v="2024-12-24T00:00:00"/>
    <x v="6"/>
    <x v="1"/>
    <s v="diciembre 2024"/>
    <n v="24"/>
  </r>
  <r>
    <d v="2025-01-03T00:00:00"/>
    <s v="LLAVERO ABC (LETRA B)"/>
    <n v="1"/>
    <d v="2025-01-03T00:00:00"/>
    <x v="7"/>
    <x v="2"/>
    <s v="enero 2025"/>
    <n v="3"/>
  </r>
  <r>
    <d v="2025-01-03T00:00:00"/>
    <s v="LLAVERO ABC (LETRA M)"/>
    <n v="1"/>
    <d v="2025-01-03T00:00:00"/>
    <x v="1"/>
    <x v="2"/>
    <s v="enero 2025"/>
    <n v="3"/>
  </r>
  <r>
    <d v="2025-01-05T00:00:00"/>
    <s v="LLAVERO ABC (LETRA A)"/>
    <n v="1"/>
    <d v="2025-01-05T00:00:00"/>
    <x v="6"/>
    <x v="2"/>
    <s v="enero 2025"/>
    <n v="5"/>
  </r>
  <r>
    <d v="2025-01-05T00:00:00"/>
    <s v="LLAVERO ABC (LETRA S)"/>
    <n v="1"/>
    <d v="2025-01-05T00:00:00"/>
    <x v="4"/>
    <x v="2"/>
    <s v="enero 2025"/>
    <n v="5"/>
  </r>
  <r>
    <d v="2025-01-06T00:00:00"/>
    <s v="LLAVERO ABC (LETRA M)"/>
    <n v="1"/>
    <d v="2025-01-06T00:00:00"/>
    <x v="1"/>
    <x v="2"/>
    <s v="enero 2025"/>
    <n v="6"/>
  </r>
  <r>
    <d v="2025-01-06T00:00:00"/>
    <s v="LLAVERO ABC (LETRA V)"/>
    <n v="1"/>
    <d v="2025-01-06T00:00:00"/>
    <x v="8"/>
    <x v="2"/>
    <s v="enero 2025"/>
    <n v="6"/>
  </r>
  <r>
    <d v="2025-01-12T00:00:00"/>
    <s v="LLAVERO ABC (LETRA S)"/>
    <n v="1"/>
    <d v="2025-01-12T00:00:00"/>
    <x v="4"/>
    <x v="2"/>
    <s v="enero 2025"/>
    <n v="12"/>
  </r>
  <r>
    <d v="2025-01-18T00:00:00"/>
    <s v="LLAVERO ABC (LETRA F)"/>
    <n v="1"/>
    <d v="2025-01-18T00:00:00"/>
    <x v="5"/>
    <x v="2"/>
    <s v="enero 2025"/>
    <n v="18"/>
  </r>
  <r>
    <d v="2025-02-01T00:00:00"/>
    <s v="LLAVERO ABC (LETRA A)"/>
    <n v="1"/>
    <d v="2025-02-01T00:00:00"/>
    <x v="6"/>
    <x v="3"/>
    <s v="febrero 2025"/>
    <n v="1"/>
  </r>
  <r>
    <d v="2025-02-03T00:00:00"/>
    <s v="LLAVERO ABC (LETRA A)"/>
    <n v="1"/>
    <d v="2025-02-03T00:00:00"/>
    <x v="6"/>
    <x v="3"/>
    <s v="febrero 2025"/>
    <n v="3"/>
  </r>
  <r>
    <d v="2025-02-04T00:00:00"/>
    <s v="LLAVERO ABC (LETRA A)"/>
    <n v="1"/>
    <d v="2025-02-04T00:00:00"/>
    <x v="6"/>
    <x v="3"/>
    <s v="febrero 2025"/>
    <n v="4"/>
  </r>
  <r>
    <d v="2025-02-08T00:00:00"/>
    <s v="LLAVERO ABC (LETRA P)"/>
    <n v="1"/>
    <d v="2025-02-08T00:00:00"/>
    <x v="0"/>
    <x v="3"/>
    <s v="febrero 2025"/>
    <n v="8"/>
  </r>
  <r>
    <d v="2025-02-09T00:00:00"/>
    <s v="LLAVERO ABC (LETRA A)"/>
    <n v="2"/>
    <d v="2025-02-09T00:00:00"/>
    <x v="6"/>
    <x v="3"/>
    <s v="febrero 2025"/>
    <n v="9"/>
  </r>
  <r>
    <d v="2025-02-09T00:00:00"/>
    <s v="LLAVERO ABC (LETRA M)"/>
    <n v="1"/>
    <d v="2025-02-09T00:00:00"/>
    <x v="1"/>
    <x v="3"/>
    <s v="febrero 2025"/>
    <n v="9"/>
  </r>
  <r>
    <d v="2025-02-10T00:00:00"/>
    <s v="LLAVERO ABC (LETRA B)"/>
    <n v="2"/>
    <d v="2025-02-10T00:00:00"/>
    <x v="7"/>
    <x v="3"/>
    <s v="febrero 2025"/>
    <n v="10"/>
  </r>
  <r>
    <d v="2025-02-10T00:00:00"/>
    <s v="LLAVERO ABC (LETRA S)"/>
    <n v="1"/>
    <d v="2025-02-10T00:00:00"/>
    <x v="4"/>
    <x v="3"/>
    <s v="febrero 2025"/>
    <n v="10"/>
  </r>
  <r>
    <d v="2025-02-12T00:00:00"/>
    <s v="LLAVERO ABC (LETRA C)"/>
    <n v="1"/>
    <d v="2025-02-12T00:00:00"/>
    <x v="9"/>
    <x v="3"/>
    <s v="febrero 2025"/>
    <n v="12"/>
  </r>
  <r>
    <d v="2025-02-12T00:00:00"/>
    <s v="LLAVERO ABC (LETRA M)"/>
    <n v="1"/>
    <d v="2025-02-12T00:00:00"/>
    <x v="1"/>
    <x v="3"/>
    <s v="febrero 2025"/>
    <n v="12"/>
  </r>
  <r>
    <d v="2025-02-12T00:00:00"/>
    <s v="LLAVERO ABC (LETRA N)"/>
    <n v="1"/>
    <d v="2025-02-12T00:00:00"/>
    <x v="10"/>
    <x v="3"/>
    <s v="febrero 2025"/>
    <n v="12"/>
  </r>
  <r>
    <d v="2025-02-12T00:00:00"/>
    <s v="LLAVERO ABC (LETRA R)"/>
    <n v="1"/>
    <d v="2025-02-12T00:00:00"/>
    <x v="3"/>
    <x v="3"/>
    <s v="febrero 2025"/>
    <n v="12"/>
  </r>
  <r>
    <d v="2025-02-13T00:00:00"/>
    <s v="LLAVERO ABC (LETRA D)"/>
    <n v="1"/>
    <d v="2025-02-13T00:00:00"/>
    <x v="11"/>
    <x v="3"/>
    <s v="febrero 2025"/>
    <n v="13"/>
  </r>
  <r>
    <d v="2025-02-13T00:00:00"/>
    <s v="LLAVERO ABC (LETRA L)"/>
    <n v="1"/>
    <d v="2025-02-13T00:00:00"/>
    <x v="12"/>
    <x v="3"/>
    <s v="febrero 2025"/>
    <n v="13"/>
  </r>
  <r>
    <d v="2025-02-13T00:00:00"/>
    <s v="LLAVERO ABC (LETRA M)"/>
    <n v="1"/>
    <d v="2025-02-13T00:00:00"/>
    <x v="1"/>
    <x v="3"/>
    <s v="febrero 2025"/>
    <n v="13"/>
  </r>
  <r>
    <d v="2025-02-14T00:00:00"/>
    <s v="LLAVERO ABC (LETRA S)"/>
    <n v="1"/>
    <d v="2025-02-14T00:00:00"/>
    <x v="4"/>
    <x v="3"/>
    <s v="febrero 2025"/>
    <n v="14"/>
  </r>
  <r>
    <d v="2025-02-15T00:00:00"/>
    <s v="LLAVERO ABC (LETRA J)"/>
    <n v="1"/>
    <d v="2025-02-15T00:00:00"/>
    <x v="13"/>
    <x v="3"/>
    <s v="febrero 2025"/>
    <n v="15"/>
  </r>
  <r>
    <d v="2025-02-15T00:00:00"/>
    <s v="LLAVERO ABC (LETRA M)"/>
    <n v="1"/>
    <d v="2025-02-15T00:00:00"/>
    <x v="1"/>
    <x v="3"/>
    <s v="febrero 2025"/>
    <n v="15"/>
  </r>
  <r>
    <d v="2025-02-15T00:00:00"/>
    <s v="LLAVERO ABC (LETRA P)"/>
    <n v="1"/>
    <d v="2025-02-15T00:00:00"/>
    <x v="0"/>
    <x v="3"/>
    <s v="febrero 2025"/>
    <n v="15"/>
  </r>
  <r>
    <d v="2025-02-16T00:00:00"/>
    <s v="LLAVERO ABC (LETRA A)"/>
    <n v="2"/>
    <d v="2025-02-16T00:00:00"/>
    <x v="6"/>
    <x v="3"/>
    <s v="febrero 2025"/>
    <n v="16"/>
  </r>
  <r>
    <d v="2025-02-16T00:00:00"/>
    <s v="LLAVERO ABC (LETRA B)"/>
    <n v="1"/>
    <d v="2025-02-16T00:00:00"/>
    <x v="7"/>
    <x v="3"/>
    <s v="febrero 2025"/>
    <n v="16"/>
  </r>
  <r>
    <d v="2025-02-16T00:00:00"/>
    <s v="LLAVERO ABC (LETRA C)"/>
    <n v="1"/>
    <d v="2025-02-16T00:00:00"/>
    <x v="9"/>
    <x v="3"/>
    <s v="febrero 2025"/>
    <n v="16"/>
  </r>
  <r>
    <d v="2025-02-16T00:00:00"/>
    <s v="LLAVERO ABC (LETRA D)"/>
    <n v="2"/>
    <d v="2025-02-16T00:00:00"/>
    <x v="11"/>
    <x v="3"/>
    <s v="febrero 2025"/>
    <n v="16"/>
  </r>
  <r>
    <d v="2025-02-16T00:00:00"/>
    <s v="LLAVERO ABC (LETRA J)"/>
    <n v="1"/>
    <d v="2025-02-16T00:00:00"/>
    <x v="13"/>
    <x v="3"/>
    <s v="febrero 2025"/>
    <n v="16"/>
  </r>
  <r>
    <d v="2025-02-16T00:00:00"/>
    <s v="LLAVERO ABC (LETRA L)"/>
    <n v="2"/>
    <d v="2025-02-16T00:00:00"/>
    <x v="12"/>
    <x v="3"/>
    <s v="febrero 2025"/>
    <n v="16"/>
  </r>
  <r>
    <d v="2025-02-16T00:00:00"/>
    <s v="LLAVERO ABC (LETRA M)"/>
    <n v="1"/>
    <d v="2025-02-16T00:00:00"/>
    <x v="1"/>
    <x v="3"/>
    <s v="febrero 2025"/>
    <n v="16"/>
  </r>
  <r>
    <d v="2025-02-16T00:00:00"/>
    <s v="LLAVERO ABC (LETRA P)"/>
    <n v="1"/>
    <d v="2025-02-16T00:00:00"/>
    <x v="0"/>
    <x v="3"/>
    <s v="febrero 2025"/>
    <n v="16"/>
  </r>
  <r>
    <d v="2025-02-17T00:00:00"/>
    <s v="LLAVERO ABC (LETRA B)"/>
    <n v="1"/>
    <d v="2025-02-17T00:00:00"/>
    <x v="7"/>
    <x v="3"/>
    <s v="febrero 2025"/>
    <n v="17"/>
  </r>
  <r>
    <d v="2025-02-17T00:00:00"/>
    <s v="LLAVERO ABC (LETRA S)"/>
    <n v="2"/>
    <d v="2025-02-17T00:00:00"/>
    <x v="4"/>
    <x v="3"/>
    <s v="febrero 2025"/>
    <n v="17"/>
  </r>
  <r>
    <d v="2025-02-20T00:00:00"/>
    <s v="LLAVERO ABC (LETRA B)"/>
    <n v="1"/>
    <d v="2025-02-20T00:00:00"/>
    <x v="7"/>
    <x v="3"/>
    <s v="febrero 2025"/>
    <n v="20"/>
  </r>
  <r>
    <d v="2025-02-20T00:00:00"/>
    <s v="LLAVERO ABC (LETRA F)"/>
    <n v="1"/>
    <d v="2025-02-20T00:00:00"/>
    <x v="5"/>
    <x v="3"/>
    <s v="febrero 2025"/>
    <n v="20"/>
  </r>
  <r>
    <d v="2025-02-20T00:00:00"/>
    <s v="LLAVERO ABC (LETRA N)"/>
    <n v="1"/>
    <d v="2025-02-20T00:00:00"/>
    <x v="10"/>
    <x v="3"/>
    <s v="febrero 2025"/>
    <n v="20"/>
  </r>
  <r>
    <d v="2025-02-21T00:00:00"/>
    <s v="LLAVERO ABC (LETRA G)"/>
    <n v="1"/>
    <d v="2025-02-21T00:00:00"/>
    <x v="2"/>
    <x v="3"/>
    <s v="febrero 2025"/>
    <n v="21"/>
  </r>
  <r>
    <d v="2025-02-21T00:00:00"/>
    <s v="LLAVERO ABC (LETRA J)"/>
    <n v="1"/>
    <d v="2025-02-21T00:00:00"/>
    <x v="13"/>
    <x v="3"/>
    <s v="febrero 2025"/>
    <n v="21"/>
  </r>
  <r>
    <d v="2025-02-21T00:00:00"/>
    <s v="LLAVERO ABC (LETRA N)"/>
    <n v="1"/>
    <d v="2025-02-21T00:00:00"/>
    <x v="10"/>
    <x v="3"/>
    <s v="febrero 2025"/>
    <n v="21"/>
  </r>
  <r>
    <d v="2025-02-21T00:00:00"/>
    <s v="LLAVERO ABC (LETRA P)"/>
    <n v="1"/>
    <d v="2025-02-21T00:00:00"/>
    <x v="0"/>
    <x v="3"/>
    <s v="febrero 2025"/>
    <n v="21"/>
  </r>
  <r>
    <d v="2025-02-21T00:00:00"/>
    <s v="LLAVERO ABC (LETRA S)"/>
    <n v="1"/>
    <d v="2025-02-21T00:00:00"/>
    <x v="4"/>
    <x v="3"/>
    <s v="febrero 2025"/>
    <n v="21"/>
  </r>
  <r>
    <d v="2025-02-22T00:00:00"/>
    <s v="LLAVERO ABC (LETRA M)"/>
    <n v="2"/>
    <d v="2025-02-22T00:00:00"/>
    <x v="1"/>
    <x v="3"/>
    <s v="febrero 2025"/>
    <n v="22"/>
  </r>
  <r>
    <d v="2025-02-23T00:00:00"/>
    <s v="LLAVERO ABC (LETRA B)"/>
    <n v="2"/>
    <d v="2025-02-23T00:00:00"/>
    <x v="7"/>
    <x v="3"/>
    <s v="febrero 2025"/>
    <n v="23"/>
  </r>
  <r>
    <d v="2025-02-23T00:00:00"/>
    <s v="LLAVERO ABC (LETRA C)"/>
    <n v="1"/>
    <d v="2025-02-23T00:00:00"/>
    <x v="9"/>
    <x v="3"/>
    <s v="febrero 2025"/>
    <n v="23"/>
  </r>
  <r>
    <d v="2025-02-23T00:00:00"/>
    <s v="LLAVERO ABC (LETRA F)"/>
    <n v="1"/>
    <d v="2025-02-23T00:00:00"/>
    <x v="5"/>
    <x v="3"/>
    <s v="febrero 2025"/>
    <n v="23"/>
  </r>
  <r>
    <d v="2025-02-23T00:00:00"/>
    <s v="LLAVERO ABC (LETRA M)"/>
    <n v="1"/>
    <d v="2025-02-23T00:00:00"/>
    <x v="1"/>
    <x v="3"/>
    <s v="febrero 2025"/>
    <n v="23"/>
  </r>
  <r>
    <d v="2025-02-23T00:00:00"/>
    <s v="LLAVERO ABC (LETRA R)"/>
    <n v="2"/>
    <d v="2025-02-23T00:00:00"/>
    <x v="3"/>
    <x v="3"/>
    <s v="febrero 2025"/>
    <n v="23"/>
  </r>
  <r>
    <d v="2025-02-23T00:00:00"/>
    <s v="LLAVERO ABC (LETRA S)"/>
    <n v="1"/>
    <d v="2025-02-23T00:00:00"/>
    <x v="4"/>
    <x v="3"/>
    <s v="febrero 2025"/>
    <n v="23"/>
  </r>
  <r>
    <d v="2025-02-24T00:00:00"/>
    <s v="LLAVERO ABC (LETRA C)"/>
    <n v="1"/>
    <d v="2025-02-24T00:00:00"/>
    <x v="9"/>
    <x v="3"/>
    <s v="febrero 2025"/>
    <n v="24"/>
  </r>
  <r>
    <d v="2025-02-24T00:00:00"/>
    <s v="LLAVERO ABC (LETRA F)"/>
    <n v="1"/>
    <d v="2025-02-24T00:00:00"/>
    <x v="5"/>
    <x v="3"/>
    <s v="febrero 2025"/>
    <n v="24"/>
  </r>
  <r>
    <d v="2025-02-25T00:00:00"/>
    <s v="LLAVERO ABC (LETRA B)"/>
    <n v="1"/>
    <d v="2025-02-25T00:00:00"/>
    <x v="7"/>
    <x v="3"/>
    <s v="febrero 2025"/>
    <n v="25"/>
  </r>
  <r>
    <d v="2025-02-25T00:00:00"/>
    <s v="LLAVERO ABC (LETRA D)"/>
    <n v="1"/>
    <d v="2025-02-25T00:00:00"/>
    <x v="11"/>
    <x v="3"/>
    <s v="febrero 2025"/>
    <n v="25"/>
  </r>
  <r>
    <d v="2025-02-25T00:00:00"/>
    <s v="LLAVERO ABC (LETRA L)"/>
    <n v="1"/>
    <d v="2025-02-25T00:00:00"/>
    <x v="12"/>
    <x v="3"/>
    <s v="febrero 2025"/>
    <n v="25"/>
  </r>
  <r>
    <d v="2025-02-27T00:00:00"/>
    <s v="LLAVERO ABC (LETRA C)"/>
    <n v="1"/>
    <d v="2025-02-27T00:00:00"/>
    <x v="9"/>
    <x v="3"/>
    <s v="febrero 2025"/>
    <n v="27"/>
  </r>
  <r>
    <d v="2025-02-27T00:00:00"/>
    <s v="LLAVERO ABC (LETRA J)"/>
    <n v="2"/>
    <d v="2025-02-27T00:00:00"/>
    <x v="13"/>
    <x v="3"/>
    <s v="febrero 2025"/>
    <n v="27"/>
  </r>
  <r>
    <d v="2025-02-27T00:00:00"/>
    <s v="LLAVERO ABC (LETRA M)"/>
    <n v="1"/>
    <d v="2025-02-27T00:00:00"/>
    <x v="1"/>
    <x v="3"/>
    <s v="febrero 2025"/>
    <n v="27"/>
  </r>
  <r>
    <d v="2025-02-27T00:00:00"/>
    <s v="LLAVERO ABC (LETRA P)"/>
    <n v="1"/>
    <d v="2025-02-27T00:00:00"/>
    <x v="0"/>
    <x v="3"/>
    <s v="febrero 2025"/>
    <n v="27"/>
  </r>
  <r>
    <d v="2025-02-27T00:00:00"/>
    <s v="LLAVERO ABC (LETRA R)"/>
    <n v="1"/>
    <d v="2025-02-27T00:00:00"/>
    <x v="3"/>
    <x v="3"/>
    <s v="febrero 2025"/>
    <n v="27"/>
  </r>
  <r>
    <d v="2025-03-02T00:00:00"/>
    <s v="LLAVERO ABC (LETRA P)"/>
    <n v="1"/>
    <d v="2025-03-02T00:00:00"/>
    <x v="0"/>
    <x v="4"/>
    <s v="marzo 2025"/>
    <n v="2"/>
  </r>
  <r>
    <d v="2025-03-03T00:00:00"/>
    <s v="LLAVERO ABC (LETRA L)"/>
    <n v="1"/>
    <d v="2025-03-03T00:00:00"/>
    <x v="12"/>
    <x v="4"/>
    <s v="marzo 2025"/>
    <n v="3"/>
  </r>
  <r>
    <d v="2025-03-03T00:00:00"/>
    <s v="LLAVERO ABC (LETRA N)"/>
    <n v="1"/>
    <d v="2025-03-03T00:00:00"/>
    <x v="10"/>
    <x v="4"/>
    <s v="marzo 2025"/>
    <n v="3"/>
  </r>
  <r>
    <d v="2025-03-03T00:00:00"/>
    <s v="LLAVERO ABC (LETRA R)"/>
    <n v="1"/>
    <d v="2025-03-03T00:00:00"/>
    <x v="3"/>
    <x v="4"/>
    <s v="marzo 2025"/>
    <n v="3"/>
  </r>
  <r>
    <d v="2025-03-04T00:00:00"/>
    <s v="LLAVERO ABC (LETRA B)"/>
    <n v="1"/>
    <d v="2025-03-04T00:00:00"/>
    <x v="7"/>
    <x v="4"/>
    <s v="marzo 2025"/>
    <n v="4"/>
  </r>
  <r>
    <d v="2025-03-04T00:00:00"/>
    <s v="LLAVERO ABC (LETRA G)"/>
    <n v="1"/>
    <d v="2025-03-04T00:00:00"/>
    <x v="2"/>
    <x v="4"/>
    <s v="marzo 2025"/>
    <n v="4"/>
  </r>
  <r>
    <d v="2025-03-04T00:00:00"/>
    <s v="LLAVERO ABC (LETRA J)"/>
    <n v="1"/>
    <d v="2025-03-04T00:00:00"/>
    <x v="13"/>
    <x v="4"/>
    <s v="marzo 2025"/>
    <n v="4"/>
  </r>
  <r>
    <d v="2025-03-04T00:00:00"/>
    <s v="LLAVERO ABC (LETRA P)"/>
    <n v="1"/>
    <d v="2025-03-04T00:00:00"/>
    <x v="0"/>
    <x v="4"/>
    <s v="marzo 2025"/>
    <n v="4"/>
  </r>
  <r>
    <d v="2025-03-04T00:00:00"/>
    <s v="LLAVERO ABC (LETRA R)"/>
    <n v="1"/>
    <d v="2025-03-04T00:00:00"/>
    <x v="3"/>
    <x v="4"/>
    <s v="marzo 2025"/>
    <n v="4"/>
  </r>
  <r>
    <d v="2025-03-06T00:00:00"/>
    <s v="LLAVERO ABC (LETRA M)"/>
    <n v="1"/>
    <d v="2025-03-06T00:00:00"/>
    <x v="1"/>
    <x v="4"/>
    <s v="marzo 2025"/>
    <n v="6"/>
  </r>
  <r>
    <d v="2025-03-07T00:00:00"/>
    <s v="LLAVERO ABC (LETRA B)"/>
    <n v="1"/>
    <d v="2025-03-07T00:00:00"/>
    <x v="7"/>
    <x v="4"/>
    <s v="marzo 2025"/>
    <n v="7"/>
  </r>
  <r>
    <d v="2025-03-07T00:00:00"/>
    <s v="LLAVERO ABC (LETRA G)"/>
    <n v="1"/>
    <d v="2025-03-07T00:00:00"/>
    <x v="2"/>
    <x v="4"/>
    <s v="marzo 2025"/>
    <n v="7"/>
  </r>
  <r>
    <d v="2025-03-07T00:00:00"/>
    <s v="LLAVERO ABC (LETRA Y)"/>
    <n v="1"/>
    <d v="2025-03-07T00:00:00"/>
    <x v="14"/>
    <x v="4"/>
    <s v="marzo 2025"/>
    <n v="7"/>
  </r>
  <r>
    <d v="2025-03-08T00:00:00"/>
    <s v="LLAVERO ABC (LETRA C)"/>
    <n v="1"/>
    <d v="2025-03-08T00:00:00"/>
    <x v="9"/>
    <x v="4"/>
    <s v="marzo 2025"/>
    <n v="8"/>
  </r>
  <r>
    <d v="2025-03-08T00:00:00"/>
    <s v="LLAVERO ABC (LETRA M)"/>
    <n v="1"/>
    <d v="2025-03-08T00:00:00"/>
    <x v="1"/>
    <x v="4"/>
    <s v="marzo 2025"/>
    <n v="8"/>
  </r>
  <r>
    <d v="2025-03-08T00:00:00"/>
    <s v="LLAVERO ABC (LETRA V)"/>
    <n v="1"/>
    <d v="2025-03-08T00:00:00"/>
    <x v="8"/>
    <x v="4"/>
    <s v="marzo 2025"/>
    <n v="8"/>
  </r>
  <r>
    <d v="2025-03-10T00:00:00"/>
    <s v="LLAVERO ABC (LETRA C)"/>
    <n v="1"/>
    <d v="2025-03-10T00:00:00"/>
    <x v="9"/>
    <x v="4"/>
    <s v="marzo 2025"/>
    <n v="10"/>
  </r>
  <r>
    <d v="2025-03-10T00:00:00"/>
    <s v="LLAVERO ABC (LETRA J)"/>
    <n v="1"/>
    <d v="2025-03-10T00:00:00"/>
    <x v="13"/>
    <x v="4"/>
    <s v="marzo 2025"/>
    <n v="10"/>
  </r>
  <r>
    <d v="2025-03-10T00:00:00"/>
    <s v="LLAVERO ABC (LETRA L)"/>
    <n v="1"/>
    <d v="2025-03-10T00:00:00"/>
    <x v="12"/>
    <x v="4"/>
    <s v="marzo 2025"/>
    <n v="10"/>
  </r>
  <r>
    <d v="2025-03-10T00:00:00"/>
    <s v="LLAVERO ABC (LETRA M)"/>
    <n v="1"/>
    <d v="2025-03-10T00:00:00"/>
    <x v="1"/>
    <x v="4"/>
    <s v="marzo 2025"/>
    <n v="10"/>
  </r>
  <r>
    <d v="2025-03-11T00:00:00"/>
    <s v="LLAVERO ABC (LETRA J)"/>
    <n v="1"/>
    <d v="2025-03-11T00:00:00"/>
    <x v="13"/>
    <x v="4"/>
    <s v="marzo 2025"/>
    <n v="11"/>
  </r>
  <r>
    <d v="2025-03-12T00:00:00"/>
    <s v="LLAVERO ABC (LETRA J)"/>
    <n v="1"/>
    <d v="2025-03-12T00:00:00"/>
    <x v="13"/>
    <x v="4"/>
    <s v="marzo 2025"/>
    <n v="12"/>
  </r>
  <r>
    <d v="2025-03-12T00:00:00"/>
    <s v="LLAVERO ABC (LETRA R)"/>
    <n v="2"/>
    <d v="2025-03-12T00:00:00"/>
    <x v="3"/>
    <x v="4"/>
    <s v="marzo 2025"/>
    <n v="12"/>
  </r>
  <r>
    <d v="2025-03-14T00:00:00"/>
    <s v="LLAVERO ABC (LETRA B)"/>
    <n v="1"/>
    <d v="2025-03-14T00:00:00"/>
    <x v="7"/>
    <x v="4"/>
    <s v="marzo 2025"/>
    <n v="14"/>
  </r>
  <r>
    <d v="2025-03-14T00:00:00"/>
    <s v="LLAVERO ABC (LETRA G)"/>
    <n v="1"/>
    <d v="2025-03-14T00:00:00"/>
    <x v="2"/>
    <x v="4"/>
    <s v="marzo 2025"/>
    <n v="14"/>
  </r>
  <r>
    <d v="2025-03-14T00:00:00"/>
    <s v="LLAVERO ABC (LETRA L)"/>
    <n v="1"/>
    <d v="2025-03-14T00:00:00"/>
    <x v="12"/>
    <x v="4"/>
    <s v="marzo 2025"/>
    <n v="14"/>
  </r>
  <r>
    <d v="2025-03-14T00:00:00"/>
    <s v="LLAVERO ABC (LETRA M)"/>
    <n v="1"/>
    <d v="2025-03-14T00:00:00"/>
    <x v="1"/>
    <x v="4"/>
    <s v="marzo 2025"/>
    <n v="14"/>
  </r>
  <r>
    <d v="2025-03-14T00:00:00"/>
    <s v="LLAVERO ABC (LETRA N)"/>
    <n v="1"/>
    <d v="2025-03-14T00:00:00"/>
    <x v="10"/>
    <x v="4"/>
    <s v="marzo 2025"/>
    <n v="14"/>
  </r>
  <r>
    <d v="2025-03-14T00:00:00"/>
    <s v="LLAVERO ABC (LETRA R)"/>
    <n v="1"/>
    <d v="2025-03-14T00:00:00"/>
    <x v="3"/>
    <x v="4"/>
    <s v="marzo 2025"/>
    <n v="14"/>
  </r>
  <r>
    <d v="2025-03-15T00:00:00"/>
    <s v="LLAVERO ABC (LETRA C)"/>
    <n v="1"/>
    <d v="2025-03-15T00:00:00"/>
    <x v="9"/>
    <x v="4"/>
    <s v="marzo 2025"/>
    <n v="15"/>
  </r>
  <r>
    <d v="2025-03-15T00:00:00"/>
    <s v="LLAVERO ABC (LETRA M)"/>
    <n v="1"/>
    <d v="2025-03-15T00:00:00"/>
    <x v="1"/>
    <x v="4"/>
    <s v="marzo 2025"/>
    <n v="15"/>
  </r>
  <r>
    <d v="2025-03-16T00:00:00"/>
    <s v="LLAVERO ABC (LETRA K)"/>
    <n v="2"/>
    <d v="2025-03-16T00:00:00"/>
    <x v="15"/>
    <x v="4"/>
    <s v="marzo 2025"/>
    <n v="16"/>
  </r>
  <r>
    <d v="2025-03-20T00:00:00"/>
    <s v="LLAVERO ABC (LETRA C)"/>
    <n v="1"/>
    <d v="2025-03-20T00:00:00"/>
    <x v="9"/>
    <x v="4"/>
    <s v="marzo 2025"/>
    <n v="20"/>
  </r>
  <r>
    <d v="2025-03-20T00:00:00"/>
    <s v="LLAVERO ABC (LETRA F)"/>
    <n v="1"/>
    <d v="2025-03-20T00:00:00"/>
    <x v="5"/>
    <x v="4"/>
    <s v="marzo 2025"/>
    <n v="20"/>
  </r>
  <r>
    <d v="2025-03-20T00:00:00"/>
    <s v="LLAVERO ABC (LETRA K)"/>
    <n v="1"/>
    <d v="2025-03-20T00:00:00"/>
    <x v="15"/>
    <x v="4"/>
    <s v="marzo 2025"/>
    <n v="20"/>
  </r>
  <r>
    <d v="2025-03-20T00:00:00"/>
    <s v="LLAVERO ABC (LETRA M)"/>
    <n v="1"/>
    <d v="2025-03-20T00:00:00"/>
    <x v="1"/>
    <x v="4"/>
    <s v="marzo 2025"/>
    <n v="20"/>
  </r>
  <r>
    <d v="2025-03-21T00:00:00"/>
    <s v="LLAVERO ABC (LETRA R)"/>
    <n v="1"/>
    <d v="2025-03-21T00:00:00"/>
    <x v="3"/>
    <x v="4"/>
    <s v="marzo 2025"/>
    <n v="21"/>
  </r>
  <r>
    <d v="2025-03-22T00:00:00"/>
    <s v="LLAVERO ABC (LETRA A)"/>
    <n v="1"/>
    <d v="2025-03-22T00:00:00"/>
    <x v="6"/>
    <x v="4"/>
    <s v="marzo 2025"/>
    <n v="22"/>
  </r>
  <r>
    <d v="2025-03-22T00:00:00"/>
    <s v="LLAVERO ABC (LETRA C)"/>
    <n v="2"/>
    <d v="2025-03-22T00:00:00"/>
    <x v="9"/>
    <x v="4"/>
    <s v="marzo 2025"/>
    <n v="22"/>
  </r>
  <r>
    <d v="2025-03-22T00:00:00"/>
    <s v="LLAVERO ABC (LETRA K)"/>
    <n v="1"/>
    <d v="2025-03-22T00:00:00"/>
    <x v="15"/>
    <x v="4"/>
    <s v="marzo 2025"/>
    <n v="22"/>
  </r>
  <r>
    <d v="2025-03-22T00:00:00"/>
    <s v="LLAVERO ABC (LETRA L)"/>
    <n v="1"/>
    <d v="2025-03-22T00:00:00"/>
    <x v="12"/>
    <x v="4"/>
    <s v="marzo 2025"/>
    <n v="22"/>
  </r>
  <r>
    <d v="2025-03-22T00:00:00"/>
    <s v="LLAVERO ABC (LETRA M)"/>
    <n v="1"/>
    <d v="2025-03-22T00:00:00"/>
    <x v="1"/>
    <x v="4"/>
    <s v="marzo 2025"/>
    <n v="22"/>
  </r>
  <r>
    <d v="2025-03-22T00:00:00"/>
    <s v="LLAVERO ABC (LETRA N)"/>
    <n v="1"/>
    <d v="2025-03-22T00:00:00"/>
    <x v="10"/>
    <x v="4"/>
    <s v="marzo 2025"/>
    <n v="22"/>
  </r>
  <r>
    <d v="2025-03-23T00:00:00"/>
    <s v="LLAVERO ABC (LETRA A)"/>
    <n v="1"/>
    <d v="2025-03-23T00:00:00"/>
    <x v="6"/>
    <x v="4"/>
    <s v="marzo 2025"/>
    <n v="23"/>
  </r>
  <r>
    <d v="2025-03-23T00:00:00"/>
    <s v="LLAVERO ABC (LETRA C)"/>
    <n v="1"/>
    <d v="2025-03-23T00:00:00"/>
    <x v="9"/>
    <x v="4"/>
    <s v="marzo 2025"/>
    <n v="23"/>
  </r>
  <r>
    <d v="2025-03-23T00:00:00"/>
    <s v="LLAVERO ABC (LETRA F)"/>
    <n v="1"/>
    <d v="2025-03-23T00:00:00"/>
    <x v="5"/>
    <x v="4"/>
    <s v="marzo 2025"/>
    <n v="23"/>
  </r>
  <r>
    <d v="2025-03-23T00:00:00"/>
    <s v="LLAVERO ABC (LETRA K)"/>
    <n v="1"/>
    <d v="2025-03-23T00:00:00"/>
    <x v="15"/>
    <x v="4"/>
    <s v="marzo 2025"/>
    <n v="23"/>
  </r>
  <r>
    <d v="2025-03-23T00:00:00"/>
    <s v="LLAVERO ABC (LETRA N)"/>
    <n v="2"/>
    <d v="2025-03-23T00:00:00"/>
    <x v="10"/>
    <x v="4"/>
    <s v="marzo 2025"/>
    <n v="23"/>
  </r>
  <r>
    <d v="2025-03-24T00:00:00"/>
    <s v="LLAVERO ABC (LETRA K)"/>
    <n v="1"/>
    <d v="2025-03-24T00:00:00"/>
    <x v="15"/>
    <x v="4"/>
    <s v="marzo 2025"/>
    <n v="24"/>
  </r>
  <r>
    <d v="2025-03-24T00:00:00"/>
    <s v="LLAVERO ABC (LETRA N)"/>
    <n v="1"/>
    <d v="2025-03-24T00:00:00"/>
    <x v="10"/>
    <x v="4"/>
    <s v="marzo 2025"/>
    <n v="24"/>
  </r>
  <r>
    <d v="2025-03-25T00:00:00"/>
    <s v="LLAVERO ABC (LETRA A)"/>
    <n v="1"/>
    <d v="2025-03-25T00:00:00"/>
    <x v="6"/>
    <x v="4"/>
    <s v="marzo 2025"/>
    <n v="25"/>
  </r>
  <r>
    <d v="2025-03-25T00:00:00"/>
    <s v="LLAVERO ABC (LETRA D)"/>
    <n v="1"/>
    <d v="2025-03-25T00:00:00"/>
    <x v="11"/>
    <x v="4"/>
    <s v="marzo 2025"/>
    <n v="25"/>
  </r>
  <r>
    <d v="2025-03-25T00:00:00"/>
    <s v="LLAVERO ABC (LETRA F)"/>
    <n v="1"/>
    <d v="2025-03-25T00:00:00"/>
    <x v="5"/>
    <x v="4"/>
    <s v="marzo 2025"/>
    <n v="25"/>
  </r>
  <r>
    <d v="2025-03-25T00:00:00"/>
    <s v="LLAVERO ABC (LETRA G)"/>
    <n v="2"/>
    <d v="2025-03-25T00:00:00"/>
    <x v="2"/>
    <x v="4"/>
    <s v="marzo 2025"/>
    <n v="25"/>
  </r>
  <r>
    <d v="2025-03-25T00:00:00"/>
    <s v="LLAVERO ABC (LETRA J)"/>
    <n v="1"/>
    <d v="2025-03-25T00:00:00"/>
    <x v="13"/>
    <x v="4"/>
    <s v="marzo 2025"/>
    <n v="25"/>
  </r>
  <r>
    <d v="2025-03-25T00:00:00"/>
    <s v="LLAVERO ABC (LETRA M)"/>
    <n v="1"/>
    <d v="2025-03-25T00:00:00"/>
    <x v="1"/>
    <x v="4"/>
    <s v="marzo 2025"/>
    <n v="25"/>
  </r>
  <r>
    <d v="2025-03-26T00:00:00"/>
    <s v="LLAVERO ABC (LETRA B)"/>
    <n v="1"/>
    <d v="2025-03-26T00:00:00"/>
    <x v="7"/>
    <x v="4"/>
    <s v="marzo 2025"/>
    <n v="26"/>
  </r>
  <r>
    <d v="2025-03-26T00:00:00"/>
    <s v="LLAVERO ABC (LETRA C)"/>
    <n v="2"/>
    <d v="2025-03-26T00:00:00"/>
    <x v="9"/>
    <x v="4"/>
    <s v="marzo 2025"/>
    <n v="26"/>
  </r>
  <r>
    <d v="2025-03-26T00:00:00"/>
    <s v="LLAVERO ABC (LETRA G)"/>
    <n v="1"/>
    <d v="2025-03-26T00:00:00"/>
    <x v="2"/>
    <x v="4"/>
    <s v="marzo 2025"/>
    <n v="26"/>
  </r>
  <r>
    <d v="2025-03-26T00:00:00"/>
    <s v="LLAVERO ABC (LETRA J)"/>
    <n v="2"/>
    <d v="2025-03-26T00:00:00"/>
    <x v="13"/>
    <x v="4"/>
    <s v="marzo 2025"/>
    <n v="26"/>
  </r>
  <r>
    <d v="2025-03-26T00:00:00"/>
    <s v="LLAVERO ABC (LETRA N)"/>
    <n v="1"/>
    <d v="2025-03-26T00:00:00"/>
    <x v="10"/>
    <x v="4"/>
    <s v="marzo 2025"/>
    <n v="26"/>
  </r>
  <r>
    <d v="2025-03-26T00:00:00"/>
    <s v="LLAVERO ABC (LETRA S)"/>
    <n v="1"/>
    <d v="2025-03-26T00:00:00"/>
    <x v="4"/>
    <x v="4"/>
    <s v="marzo 2025"/>
    <n v="26"/>
  </r>
  <r>
    <d v="2025-03-26T00:00:00"/>
    <s v="LLAVERO ABC (LETRA V)"/>
    <n v="1"/>
    <d v="2025-03-26T00:00:00"/>
    <x v="8"/>
    <x v="4"/>
    <s v="marzo 2025"/>
    <n v="26"/>
  </r>
  <r>
    <d v="2025-03-27T00:00:00"/>
    <s v="LLAVERO ABC (LETRA C)"/>
    <n v="1"/>
    <d v="2025-03-27T00:00:00"/>
    <x v="9"/>
    <x v="4"/>
    <s v="marzo 2025"/>
    <n v="27"/>
  </r>
  <r>
    <d v="2025-03-27T00:00:00"/>
    <s v="LLAVERO ABC (LETRA J)"/>
    <n v="1"/>
    <d v="2025-03-27T00:00:00"/>
    <x v="13"/>
    <x v="4"/>
    <s v="marzo 2025"/>
    <n v="27"/>
  </r>
  <r>
    <d v="2025-03-28T00:00:00"/>
    <s v="LLAVERO ABC (LETRA D)"/>
    <n v="1"/>
    <d v="2025-03-28T00:00:00"/>
    <x v="11"/>
    <x v="4"/>
    <s v="marzo 2025"/>
    <n v="28"/>
  </r>
  <r>
    <d v="2025-03-29T00:00:00"/>
    <s v="LLAVERO ABC (LETRA C)"/>
    <n v="1"/>
    <d v="2025-03-29T00:00:00"/>
    <x v="9"/>
    <x v="4"/>
    <s v="marzo 2025"/>
    <n v="29"/>
  </r>
  <r>
    <d v="2025-03-29T00:00:00"/>
    <s v="LLAVERO ABC (LETRA D)"/>
    <n v="1"/>
    <d v="2025-03-29T00:00:00"/>
    <x v="11"/>
    <x v="4"/>
    <s v="marzo 2025"/>
    <n v="29"/>
  </r>
  <r>
    <d v="2025-03-29T00:00:00"/>
    <s v="LLAVERO ABC (LETRA K)"/>
    <n v="1"/>
    <d v="2025-03-29T00:00:00"/>
    <x v="15"/>
    <x v="4"/>
    <s v="marzo 2025"/>
    <n v="29"/>
  </r>
  <r>
    <d v="2025-03-29T00:00:00"/>
    <s v="LLAVERO ABC (LETRA P)"/>
    <n v="1"/>
    <d v="2025-03-29T00:00:00"/>
    <x v="0"/>
    <x v="4"/>
    <s v="marzo 2025"/>
    <n v="29"/>
  </r>
  <r>
    <d v="2025-03-29T00:00:00"/>
    <s v="LLAVERO ABC (LETRA S)"/>
    <n v="1"/>
    <d v="2025-03-29T00:00:00"/>
    <x v="4"/>
    <x v="4"/>
    <s v="marzo 2025"/>
    <n v="29"/>
  </r>
  <r>
    <d v="2025-03-29T00:00:00"/>
    <s v="LLAVERO ABC (LETRA V)"/>
    <n v="1"/>
    <d v="2025-03-29T00:00:00"/>
    <x v="8"/>
    <x v="4"/>
    <s v="marzo 2025"/>
    <n v="29"/>
  </r>
  <r>
    <d v="2025-03-31T00:00:00"/>
    <s v="LLAVERO ABC (LETRA C)"/>
    <n v="1"/>
    <d v="2025-03-31T00:00:00"/>
    <x v="9"/>
    <x v="4"/>
    <s v="marzo 2025"/>
    <n v="31"/>
  </r>
  <r>
    <d v="2025-03-31T00:00:00"/>
    <s v="LLAVERO ABC (LETRA G)"/>
    <n v="1"/>
    <d v="2025-03-31T00:00:00"/>
    <x v="2"/>
    <x v="4"/>
    <s v="marzo 2025"/>
    <n v="31"/>
  </r>
  <r>
    <d v="2025-03-31T00:00:00"/>
    <s v="LLAVERO ABC (LETRA S)"/>
    <n v="1"/>
    <d v="2025-03-31T00:00:00"/>
    <x v="4"/>
    <x v="4"/>
    <s v="marzo 2025"/>
    <n v="31"/>
  </r>
  <r>
    <d v="2025-04-01T00:00:00"/>
    <s v="LLAVERO ABC (LETRA N)"/>
    <n v="1"/>
    <d v="2025-04-01T00:00:00"/>
    <x v="10"/>
    <x v="5"/>
    <s v="abril 2025"/>
    <n v="1"/>
  </r>
  <r>
    <d v="2025-04-04T00:00:00"/>
    <s v="LLAVERO ABC (LETRA D)"/>
    <n v="1"/>
    <d v="2025-04-04T00:00:00"/>
    <x v="11"/>
    <x v="5"/>
    <s v="abril 2025"/>
    <n v="4"/>
  </r>
  <r>
    <d v="2025-04-04T00:00:00"/>
    <s v="LLAVERO ABC (LETRA M)"/>
    <n v="1"/>
    <d v="2025-04-04T00:00:00"/>
    <x v="1"/>
    <x v="5"/>
    <s v="abril 2025"/>
    <n v="4"/>
  </r>
  <r>
    <d v="2025-04-04T00:00:00"/>
    <s v="LLAVERO ABC (LETRA V)"/>
    <n v="1"/>
    <d v="2025-04-04T00:00:00"/>
    <x v="8"/>
    <x v="5"/>
    <s v="abril 2025"/>
    <n v="4"/>
  </r>
  <r>
    <d v="2025-04-05T00:00:00"/>
    <s v="LLAVERO ABC (LETRA B)"/>
    <n v="1"/>
    <d v="2025-04-05T00:00:00"/>
    <x v="7"/>
    <x v="5"/>
    <s v="abril 2025"/>
    <n v="5"/>
  </r>
  <r>
    <d v="2025-04-05T00:00:00"/>
    <s v="LLAVERO ABC (LETRA F)"/>
    <n v="1"/>
    <d v="2025-04-05T00:00:00"/>
    <x v="5"/>
    <x v="5"/>
    <s v="abril 2025"/>
    <n v="5"/>
  </r>
  <r>
    <d v="2025-04-06T00:00:00"/>
    <s v="LLAVERO ABC (LETRA G)"/>
    <n v="1"/>
    <d v="2025-04-06T00:00:00"/>
    <x v="2"/>
    <x v="5"/>
    <s v="abril 2025"/>
    <n v="6"/>
  </r>
  <r>
    <d v="2025-04-06T00:00:00"/>
    <s v="LLAVERO ABC (LETRA L)"/>
    <n v="1"/>
    <d v="2025-04-06T00:00:00"/>
    <x v="12"/>
    <x v="5"/>
    <s v="abril 2025"/>
    <n v="6"/>
  </r>
  <r>
    <d v="2025-04-06T00:00:00"/>
    <s v="LLAVERO ABC (LETRA M)"/>
    <n v="1"/>
    <d v="2025-04-06T00:00:00"/>
    <x v="1"/>
    <x v="5"/>
    <s v="abril 2025"/>
    <n v="6"/>
  </r>
  <r>
    <d v="2025-04-07T00:00:00"/>
    <s v="LLAVERO ABC (LETRA D)"/>
    <n v="1"/>
    <d v="2025-04-07T00:00:00"/>
    <x v="11"/>
    <x v="5"/>
    <s v="abril 2025"/>
    <n v="7"/>
  </r>
  <r>
    <d v="2025-04-08T00:00:00"/>
    <s v="LLAVERO ABC (LETRA C)"/>
    <n v="1"/>
    <d v="2025-04-08T00:00:00"/>
    <x v="9"/>
    <x v="5"/>
    <s v="abril 2025"/>
    <n v="8"/>
  </r>
  <r>
    <d v="2025-04-08T00:00:00"/>
    <s v="LLAVERO ABC (LETRA D)"/>
    <n v="1"/>
    <d v="2025-04-08T00:00:00"/>
    <x v="11"/>
    <x v="5"/>
    <s v="abril 2025"/>
    <n v="8"/>
  </r>
  <r>
    <d v="2025-04-08T00:00:00"/>
    <s v="LLAVERO ABC (LETRA J)"/>
    <n v="1"/>
    <d v="2025-04-08T00:00:00"/>
    <x v="13"/>
    <x v="5"/>
    <s v="abril 2025"/>
    <n v="8"/>
  </r>
  <r>
    <d v="2025-04-08T00:00:00"/>
    <s v="LLAVERO ABC (LETRA K)"/>
    <n v="1"/>
    <d v="2025-04-08T00:00:00"/>
    <x v="15"/>
    <x v="5"/>
    <s v="abril 2025"/>
    <n v="8"/>
  </r>
  <r>
    <d v="2025-04-09T00:00:00"/>
    <s v="LLAVERO ABC (LETRA C)"/>
    <n v="1"/>
    <d v="2025-04-09T00:00:00"/>
    <x v="9"/>
    <x v="5"/>
    <s v="abril 2025"/>
    <n v="9"/>
  </r>
  <r>
    <d v="2025-04-12T00:00:00"/>
    <s v="LLAVERO ABC (LETRA M)"/>
    <n v="1"/>
    <d v="2025-04-12T00:00:00"/>
    <x v="1"/>
    <x v="5"/>
    <s v="abril 2025"/>
    <n v="12"/>
  </r>
  <r>
    <d v="2025-04-13T00:00:00"/>
    <s v="LLAVERO ABC (LETRA D)"/>
    <n v="1"/>
    <d v="2025-04-13T00:00:00"/>
    <x v="11"/>
    <x v="5"/>
    <s v="abril 2025"/>
    <n v="13"/>
  </r>
  <r>
    <d v="2025-04-13T00:00:00"/>
    <s v="LLAVERO ABC (LETRA G)"/>
    <n v="2"/>
    <d v="2025-04-13T00:00:00"/>
    <x v="2"/>
    <x v="5"/>
    <s v="abril 2025"/>
    <n v="13"/>
  </r>
  <r>
    <d v="2025-04-13T00:00:00"/>
    <s v="LLAVERO ABC (LETRA J)"/>
    <n v="1"/>
    <d v="2025-04-13T00:00:00"/>
    <x v="13"/>
    <x v="5"/>
    <s v="abril 2025"/>
    <n v="13"/>
  </r>
  <r>
    <d v="2025-04-13T00:00:00"/>
    <s v="LLAVERO ABC (LETRA K)"/>
    <n v="1"/>
    <d v="2025-04-13T00:00:00"/>
    <x v="15"/>
    <x v="5"/>
    <s v="abril 2025"/>
    <n v="13"/>
  </r>
  <r>
    <d v="2025-04-13T00:00:00"/>
    <s v="LLAVERO ABC (LETRA L)"/>
    <n v="1"/>
    <d v="2025-04-13T00:00:00"/>
    <x v="12"/>
    <x v="5"/>
    <s v="abril 2025"/>
    <n v="13"/>
  </r>
  <r>
    <d v="2025-04-13T00:00:00"/>
    <s v="LLAVERO ABC (LETRA M)"/>
    <n v="1"/>
    <d v="2025-04-13T00:00:00"/>
    <x v="1"/>
    <x v="5"/>
    <s v="abril 2025"/>
    <n v="13"/>
  </r>
  <r>
    <d v="2025-04-14T00:00:00"/>
    <s v="LLAVERO ABC (LETRA C)"/>
    <n v="1"/>
    <d v="2025-04-14T00:00:00"/>
    <x v="9"/>
    <x v="5"/>
    <s v="abril 2025"/>
    <n v="14"/>
  </r>
  <r>
    <d v="2025-04-14T00:00:00"/>
    <s v="LLAVERO ABC (LETRA R)"/>
    <n v="1"/>
    <d v="2025-04-14T00:00:00"/>
    <x v="3"/>
    <x v="5"/>
    <s v="abril 2025"/>
    <n v="14"/>
  </r>
  <r>
    <d v="2025-04-16T00:00:00"/>
    <s v="LLAVERO ABC (LETRA J)"/>
    <n v="1"/>
    <d v="2025-04-16T00:00:00"/>
    <x v="13"/>
    <x v="5"/>
    <s v="abril 2025"/>
    <n v="16"/>
  </r>
  <r>
    <d v="2025-04-16T00:00:00"/>
    <s v="LLAVERO ABC (LETRA K)"/>
    <n v="1"/>
    <d v="2025-04-16T00:00:00"/>
    <x v="15"/>
    <x v="5"/>
    <s v="abril 2025"/>
    <n v="16"/>
  </r>
  <r>
    <d v="2025-04-16T00:00:00"/>
    <s v="LLAVERO ABC (LETRA V)"/>
    <n v="1"/>
    <d v="2025-04-16T00:00:00"/>
    <x v="8"/>
    <x v="5"/>
    <s v="abril 2025"/>
    <n v="16"/>
  </r>
  <r>
    <d v="2025-04-17T00:00:00"/>
    <s v="LLAVERO ABC (LETRA K)"/>
    <n v="3"/>
    <d v="2025-04-17T00:00:00"/>
    <x v="15"/>
    <x v="5"/>
    <s v="abril 2025"/>
    <n v="17"/>
  </r>
  <r>
    <d v="2025-04-17T00:00:00"/>
    <s v="LLAVERO ABC (LETRA L)"/>
    <n v="2"/>
    <d v="2025-04-17T00:00:00"/>
    <x v="12"/>
    <x v="5"/>
    <s v="abril 2025"/>
    <n v="17"/>
  </r>
  <r>
    <d v="2025-04-18T00:00:00"/>
    <s v="LLAVERO ABC (LETRA P)"/>
    <n v="1"/>
    <d v="2025-04-18T00:00:00"/>
    <x v="0"/>
    <x v="5"/>
    <s v="abril 2025"/>
    <n v="18"/>
  </r>
  <r>
    <d v="2025-04-19T00:00:00"/>
    <s v="LLAVERO ABC (LETRA B)"/>
    <n v="1"/>
    <d v="2025-04-19T00:00:00"/>
    <x v="7"/>
    <x v="5"/>
    <s v="abril 2025"/>
    <n v="19"/>
  </r>
  <r>
    <d v="2025-04-19T00:00:00"/>
    <s v="LLAVERO ABC (LETRA C)"/>
    <n v="1"/>
    <d v="2025-04-19T00:00:00"/>
    <x v="9"/>
    <x v="5"/>
    <s v="abril 2025"/>
    <n v="19"/>
  </r>
  <r>
    <d v="2025-04-19T00:00:00"/>
    <s v="LLAVERO ABC (LETRA J)"/>
    <n v="1"/>
    <d v="2025-04-19T00:00:00"/>
    <x v="13"/>
    <x v="5"/>
    <s v="abril 2025"/>
    <n v="19"/>
  </r>
  <r>
    <d v="2025-04-20T00:00:00"/>
    <s v="LLAVERO ABC (LETRA J)"/>
    <n v="1"/>
    <d v="2025-04-20T00:00:00"/>
    <x v="13"/>
    <x v="5"/>
    <s v="abril 2025"/>
    <n v="20"/>
  </r>
  <r>
    <d v="2025-04-22T00:00:00"/>
    <s v="LLAVERO ABC (LETRA C)"/>
    <n v="1"/>
    <d v="2025-04-22T00:00:00"/>
    <x v="9"/>
    <x v="5"/>
    <s v="abril 2025"/>
    <n v="22"/>
  </r>
  <r>
    <d v="2025-04-22T00:00:00"/>
    <s v="LLAVERO ABC (LETRA G)"/>
    <n v="1"/>
    <d v="2025-04-22T00:00:00"/>
    <x v="2"/>
    <x v="5"/>
    <s v="abril 2025"/>
    <n v="22"/>
  </r>
  <r>
    <d v="2025-04-23T00:00:00"/>
    <s v="LLAVERO ABC (LETRA S)"/>
    <n v="2"/>
    <d v="2025-04-23T00:00:00"/>
    <x v="4"/>
    <x v="5"/>
    <s v="abril 2025"/>
    <n v="23"/>
  </r>
  <r>
    <d v="2025-04-24T00:00:00"/>
    <s v="LLAVERO ABC (LETRA C)"/>
    <n v="1"/>
    <d v="2025-04-24T00:00:00"/>
    <x v="9"/>
    <x v="5"/>
    <s v="abril 2025"/>
    <n v="24"/>
  </r>
  <r>
    <d v="2025-04-24T00:00:00"/>
    <s v="LLAVERO ABC (LETRA D)"/>
    <n v="1"/>
    <d v="2025-04-24T00:00:00"/>
    <x v="11"/>
    <x v="5"/>
    <s v="abril 2025"/>
    <n v="24"/>
  </r>
  <r>
    <d v="2025-04-26T00:00:00"/>
    <s v="LLAVERO ABC (LETRA C)"/>
    <n v="1"/>
    <d v="2025-04-26T00:00:00"/>
    <x v="9"/>
    <x v="5"/>
    <s v="abril 2025"/>
    <n v="26"/>
  </r>
  <r>
    <d v="2025-04-26T00:00:00"/>
    <s v="LLAVERO ABC (LETRA F)"/>
    <n v="1"/>
    <d v="2025-04-26T00:00:00"/>
    <x v="5"/>
    <x v="5"/>
    <s v="abril 2025"/>
    <n v="26"/>
  </r>
  <r>
    <d v="2025-04-26T00:00:00"/>
    <s v="LLAVERO ABC (LETRA J)"/>
    <n v="1"/>
    <d v="2025-04-26T00:00:00"/>
    <x v="13"/>
    <x v="5"/>
    <s v="abril 2025"/>
    <n v="26"/>
  </r>
  <r>
    <d v="2025-04-26T00:00:00"/>
    <s v="LLAVERO ABC (LETRA M)"/>
    <n v="1"/>
    <d v="2025-04-26T00:00:00"/>
    <x v="1"/>
    <x v="5"/>
    <s v="abril 2025"/>
    <n v="26"/>
  </r>
  <r>
    <d v="2025-04-26T00:00:00"/>
    <s v="LLAVERO ABC (LETRA V)"/>
    <n v="1"/>
    <d v="2025-04-26T00:00:00"/>
    <x v="8"/>
    <x v="5"/>
    <s v="abril 2025"/>
    <n v="26"/>
  </r>
  <r>
    <d v="2025-04-27T00:00:00"/>
    <s v="LLAVERO ABC (LETRA K)"/>
    <n v="1"/>
    <d v="2025-04-27T00:00:00"/>
    <x v="15"/>
    <x v="5"/>
    <s v="abril 2025"/>
    <n v="27"/>
  </r>
  <r>
    <d v="2025-04-27T00:00:00"/>
    <s v="LLAVERO ABC (LETRA R)"/>
    <n v="2"/>
    <d v="2025-04-27T00:00:00"/>
    <x v="3"/>
    <x v="5"/>
    <s v="abril 2025"/>
    <n v="27"/>
  </r>
  <r>
    <d v="2025-04-28T00:00:00"/>
    <s v="LLAVERO ABC (LETRA A)"/>
    <n v="1"/>
    <d v="2025-04-28T00:00:00"/>
    <x v="6"/>
    <x v="5"/>
    <s v="abril 2025"/>
    <n v="28"/>
  </r>
  <r>
    <d v="2025-04-30T00:00:00"/>
    <s v="LLAVERO ABC (LETRA F)"/>
    <n v="1"/>
    <d v="2025-04-30T00:00:00"/>
    <x v="5"/>
    <x v="5"/>
    <s v="abril 2025"/>
    <n v="30"/>
  </r>
  <r>
    <d v="2025-04-30T00:00:00"/>
    <s v="LLAVERO ABC (LETRA L)"/>
    <n v="1"/>
    <d v="2025-04-30T00:00:00"/>
    <x v="12"/>
    <x v="5"/>
    <s v="abril 2025"/>
    <n v="30"/>
  </r>
  <r>
    <d v="2025-05-02T00:00:00"/>
    <s v="LLAVERO ABC (LETRA C)"/>
    <n v="1"/>
    <d v="2025-05-02T00:00:00"/>
    <x v="9"/>
    <x v="6"/>
    <s v="mayo 2025"/>
    <n v="2"/>
  </r>
  <r>
    <d v="2025-05-02T00:00:00"/>
    <s v="LLAVERO ABC (LETRA F)"/>
    <n v="1"/>
    <d v="2025-05-02T00:00:00"/>
    <x v="5"/>
    <x v="6"/>
    <s v="mayo 2025"/>
    <n v="2"/>
  </r>
  <r>
    <d v="2025-05-02T00:00:00"/>
    <s v="LLAVERO ABC (LETRA L)"/>
    <n v="1"/>
    <d v="2025-05-02T00:00:00"/>
    <x v="12"/>
    <x v="6"/>
    <s v="mayo 2025"/>
    <n v="2"/>
  </r>
  <r>
    <d v="2025-05-03T00:00:00"/>
    <s v="LLAVERO ABC (LETRA L)"/>
    <n v="1"/>
    <d v="2025-05-03T00:00:00"/>
    <x v="12"/>
    <x v="6"/>
    <s v="mayo 2025"/>
    <n v="3"/>
  </r>
  <r>
    <d v="2025-05-03T00:00:00"/>
    <s v="LLAVERO ABC (LETRA N)"/>
    <n v="3"/>
    <d v="2025-05-03T00:00:00"/>
    <x v="10"/>
    <x v="6"/>
    <s v="mayo 2025"/>
    <n v="3"/>
  </r>
  <r>
    <d v="2025-05-03T00:00:00"/>
    <s v="LLAVERO ABC (LETRA R)"/>
    <n v="1"/>
    <d v="2025-05-03T00:00:00"/>
    <x v="3"/>
    <x v="6"/>
    <s v="mayo 2025"/>
    <n v="3"/>
  </r>
  <r>
    <d v="2025-05-04T00:00:00"/>
    <s v="LLAVERO ABC (LETRA B)"/>
    <n v="1"/>
    <d v="2025-05-04T00:00:00"/>
    <x v="7"/>
    <x v="6"/>
    <s v="mayo 2025"/>
    <n v="4"/>
  </r>
  <r>
    <d v="2025-05-04T00:00:00"/>
    <s v="LLAVERO ABC (LETRA J)"/>
    <n v="1"/>
    <d v="2025-05-04T00:00:00"/>
    <x v="13"/>
    <x v="6"/>
    <s v="mayo 2025"/>
    <n v="4"/>
  </r>
  <r>
    <d v="2025-05-04T00:00:00"/>
    <s v="LLAVERO ABC (LETRA R)"/>
    <n v="1"/>
    <d v="2025-05-04T00:00:00"/>
    <x v="3"/>
    <x v="6"/>
    <s v="mayo 2025"/>
    <n v="4"/>
  </r>
  <r>
    <d v="2025-05-05T00:00:00"/>
    <s v="LLAVERO ABC (LETRA C)"/>
    <n v="1"/>
    <d v="2025-05-05T00:00:00"/>
    <x v="9"/>
    <x v="6"/>
    <s v="mayo 2025"/>
    <n v="5"/>
  </r>
  <r>
    <d v="2025-05-06T00:00:00"/>
    <s v="LLAVERO ABC (LETRA C)"/>
    <n v="1"/>
    <d v="2025-05-06T00:00:00"/>
    <x v="9"/>
    <x v="6"/>
    <s v="mayo 2025"/>
    <n v="6"/>
  </r>
  <r>
    <d v="2025-05-06T00:00:00"/>
    <s v="LLAVERO ABC (LETRA E)"/>
    <n v="1"/>
    <d v="2025-05-06T00:00:00"/>
    <x v="16"/>
    <x v="6"/>
    <s v="mayo 2025"/>
    <n v="6"/>
  </r>
  <r>
    <d v="2025-05-06T00:00:00"/>
    <s v="LLAVERO ABC (LETRA L)"/>
    <n v="1"/>
    <d v="2025-05-06T00:00:00"/>
    <x v="12"/>
    <x v="6"/>
    <s v="mayo 2025"/>
    <n v="6"/>
  </r>
  <r>
    <d v="2025-05-08T00:00:00"/>
    <s v="LLAVERO ABC (LETRA A)"/>
    <n v="1"/>
    <d v="2025-05-08T00:00:00"/>
    <x v="6"/>
    <x v="6"/>
    <s v="mayo 2025"/>
    <n v="8"/>
  </r>
  <r>
    <d v="2025-05-10T00:00:00"/>
    <s v="LLAVERO ABC (LETRA V)"/>
    <n v="2"/>
    <d v="2025-05-10T00:00:00"/>
    <x v="8"/>
    <x v="6"/>
    <s v="mayo 2025"/>
    <n v="10"/>
  </r>
  <r>
    <d v="2025-05-11T00:00:00"/>
    <s v="LLAVERO ABC (LETRA P)"/>
    <n v="1"/>
    <d v="2025-05-11T00:00:00"/>
    <x v="0"/>
    <x v="6"/>
    <s v="mayo 2025"/>
    <n v="11"/>
  </r>
  <r>
    <d v="2025-05-12T00:00:00"/>
    <s v="LLAVERO ABC (LETRA C)"/>
    <n v="1"/>
    <d v="2025-05-12T00:00:00"/>
    <x v="9"/>
    <x v="6"/>
    <s v="mayo 2025"/>
    <n v="12"/>
  </r>
  <r>
    <d v="2025-05-13T00:00:00"/>
    <s v="LLAVERO ABC (LETRA G)"/>
    <n v="1"/>
    <d v="2025-05-13T00:00:00"/>
    <x v="2"/>
    <x v="6"/>
    <s v="mayo 2025"/>
    <n v="13"/>
  </r>
  <r>
    <d v="2025-05-13T00:00:00"/>
    <s v="LLAVERO ABC (LETRA H)"/>
    <n v="1"/>
    <d v="2025-05-13T00:00:00"/>
    <x v="17"/>
    <x v="6"/>
    <s v="mayo 2025"/>
    <n v="13"/>
  </r>
  <r>
    <d v="2025-05-13T00:00:00"/>
    <s v="LLAVERO ABC (LETRA S)"/>
    <n v="1"/>
    <d v="2025-05-13T00:00:00"/>
    <x v="4"/>
    <x v="6"/>
    <s v="mayo 2025"/>
    <n v="13"/>
  </r>
  <r>
    <d v="2025-05-13T00:00:00"/>
    <s v="LLAVERO ABC (LETRA T)"/>
    <n v="1"/>
    <d v="2025-05-13T00:00:00"/>
    <x v="18"/>
    <x v="6"/>
    <s v="mayo 2025"/>
    <n v="13"/>
  </r>
  <r>
    <d v="2025-05-14T00:00:00"/>
    <s v="LLAVERO ABC (LETRA M)"/>
    <n v="1"/>
    <d v="2025-05-14T00:00:00"/>
    <x v="1"/>
    <x v="6"/>
    <s v="mayo 2025"/>
    <n v="14"/>
  </r>
  <r>
    <d v="2025-05-15T00:00:00"/>
    <s v="LLAVERO ABC (LETRA E)"/>
    <n v="1"/>
    <d v="2025-05-15T00:00:00"/>
    <x v="16"/>
    <x v="6"/>
    <s v="mayo 2025"/>
    <n v="15"/>
  </r>
  <r>
    <d v="2025-05-15T00:00:00"/>
    <s v="LLAVERO ABC (LETRA V)"/>
    <n v="1"/>
    <d v="2025-05-15T00:00:00"/>
    <x v="8"/>
    <x v="6"/>
    <s v="mayo 2025"/>
    <n v="15"/>
  </r>
  <r>
    <d v="2025-05-16T00:00:00"/>
    <s v="LLAVERO ABC (LETRA C)"/>
    <n v="1"/>
    <d v="2025-05-16T00:00:00"/>
    <x v="9"/>
    <x v="6"/>
    <s v="mayo 2025"/>
    <n v="16"/>
  </r>
  <r>
    <d v="2025-05-16T00:00:00"/>
    <s v="LLAVERO ABC (LETRA J)"/>
    <n v="1"/>
    <d v="2025-05-16T00:00:00"/>
    <x v="13"/>
    <x v="6"/>
    <s v="mayo 2025"/>
    <n v="16"/>
  </r>
  <r>
    <d v="2025-05-16T00:00:00"/>
    <s v="LLAVERO ABC (LETRA Y)"/>
    <n v="1"/>
    <d v="2025-05-16T00:00:00"/>
    <x v="14"/>
    <x v="6"/>
    <s v="mayo 2025"/>
    <n v="16"/>
  </r>
  <r>
    <d v="2025-05-18T00:00:00"/>
    <s v="LLAVERO ABC (LETRA A)"/>
    <n v="1"/>
    <d v="2025-05-18T00:00:00"/>
    <x v="6"/>
    <x v="6"/>
    <s v="mayo 2025"/>
    <n v="18"/>
  </r>
  <r>
    <d v="2025-05-18T00:00:00"/>
    <s v="LLAVERO ABC (LETRA C)"/>
    <n v="1"/>
    <d v="2025-05-18T00:00:00"/>
    <x v="9"/>
    <x v="6"/>
    <s v="mayo 2025"/>
    <n v="18"/>
  </r>
  <r>
    <d v="2025-05-18T00:00:00"/>
    <s v="LLAVERO ABC (LETRA L)"/>
    <n v="2"/>
    <d v="2025-05-18T00:00:00"/>
    <x v="12"/>
    <x v="6"/>
    <s v="mayo 2025"/>
    <n v="18"/>
  </r>
  <r>
    <d v="2025-05-18T00:00:00"/>
    <s v="LLAVERO ABC (LETRA R)"/>
    <n v="3"/>
    <d v="2025-05-18T00:00:00"/>
    <x v="3"/>
    <x v="6"/>
    <s v="mayo 2025"/>
    <n v="18"/>
  </r>
  <r>
    <d v="2025-05-19T00:00:00"/>
    <s v="LLAVERO ABC (LETRA A)"/>
    <n v="1"/>
    <d v="2025-05-19T00:00:00"/>
    <x v="6"/>
    <x v="6"/>
    <s v="mayo 2025"/>
    <n v="19"/>
  </r>
  <r>
    <d v="2025-05-19T00:00:00"/>
    <s v="LLAVERO ABC (LETRA B)"/>
    <n v="2"/>
    <d v="2025-05-19T00:00:00"/>
    <x v="7"/>
    <x v="6"/>
    <s v="mayo 2025"/>
    <n v="19"/>
  </r>
  <r>
    <d v="2025-05-19T00:00:00"/>
    <s v="LLAVERO ABC (LETRA G)"/>
    <n v="1"/>
    <d v="2025-05-19T00:00:00"/>
    <x v="2"/>
    <x v="6"/>
    <s v="mayo 2025"/>
    <n v="19"/>
  </r>
  <r>
    <d v="2025-05-19T00:00:00"/>
    <s v="LLAVERO ABC (LETRA J)"/>
    <n v="1"/>
    <d v="2025-05-19T00:00:00"/>
    <x v="13"/>
    <x v="6"/>
    <s v="mayo 2025"/>
    <n v="19"/>
  </r>
  <r>
    <d v="2025-05-19T00:00:00"/>
    <s v="LLAVERO ABC (LETRA L)"/>
    <n v="1"/>
    <d v="2025-05-19T00:00:00"/>
    <x v="12"/>
    <x v="6"/>
    <s v="mayo 2025"/>
    <n v="19"/>
  </r>
  <r>
    <d v="2025-05-20T00:00:00"/>
    <s v="LLAVERO ABC (LETRA J)"/>
    <n v="1"/>
    <d v="2025-05-20T00:00:00"/>
    <x v="13"/>
    <x v="6"/>
    <s v="mayo 2025"/>
    <n v="20"/>
  </r>
  <r>
    <d v="2025-05-20T00:00:00"/>
    <s v="LLAVERO ABC (LETRA L)"/>
    <n v="1"/>
    <d v="2025-05-20T00:00:00"/>
    <x v="12"/>
    <x v="6"/>
    <s v="mayo 2025"/>
    <n v="20"/>
  </r>
  <r>
    <d v="2025-05-21T00:00:00"/>
    <s v="LLAVERO ABC (LETRA M)"/>
    <n v="1"/>
    <d v="2025-05-21T00:00:00"/>
    <x v="1"/>
    <x v="6"/>
    <s v="mayo 2025"/>
    <n v="21"/>
  </r>
  <r>
    <d v="2025-05-21T00:00:00"/>
    <s v="LLAVERO ABC (LETRA P)"/>
    <n v="1"/>
    <d v="2025-05-21T00:00:00"/>
    <x v="0"/>
    <x v="6"/>
    <s v="mayo 2025"/>
    <n v="21"/>
  </r>
  <r>
    <d v="2025-05-22T00:00:00"/>
    <s v="LLAVERO ABC (LETRA A)"/>
    <n v="1"/>
    <d v="2025-05-22T00:00:00"/>
    <x v="6"/>
    <x v="6"/>
    <s v="mayo 2025"/>
    <n v="22"/>
  </r>
  <r>
    <d v="2025-05-23T00:00:00"/>
    <s v="LLAVERO ABC (LETRA A)"/>
    <n v="1"/>
    <d v="2025-05-23T00:00:00"/>
    <x v="6"/>
    <x v="6"/>
    <s v="mayo 2025"/>
    <n v="23"/>
  </r>
  <r>
    <d v="2025-05-23T00:00:00"/>
    <s v="LLAVERO ABC (LETRA N)"/>
    <n v="1"/>
    <d v="2025-05-23T00:00:00"/>
    <x v="10"/>
    <x v="6"/>
    <s v="mayo 2025"/>
    <n v="23"/>
  </r>
  <r>
    <d v="2025-05-24T00:00:00"/>
    <s v="LLAVERO ABC (LETRA J)"/>
    <n v="1"/>
    <d v="2025-05-24T00:00:00"/>
    <x v="13"/>
    <x v="6"/>
    <s v="mayo 2025"/>
    <n v="24"/>
  </r>
  <r>
    <d v="2025-05-25T00:00:00"/>
    <s v="LLAVERO ABC (LETRA B)"/>
    <n v="1"/>
    <d v="2025-05-25T00:00:00"/>
    <x v="7"/>
    <x v="6"/>
    <s v="mayo 2025"/>
    <n v="25"/>
  </r>
  <r>
    <d v="2025-05-25T00:00:00"/>
    <s v="LLAVERO ABC (LETRA L)"/>
    <n v="1"/>
    <d v="2025-05-25T00:00:00"/>
    <x v="12"/>
    <x v="6"/>
    <s v="mayo 2025"/>
    <n v="25"/>
  </r>
  <r>
    <d v="2025-05-25T00:00:00"/>
    <s v="LLAVERO ABC (LETRA P)"/>
    <n v="1"/>
    <d v="2025-05-25T00:00:00"/>
    <x v="0"/>
    <x v="6"/>
    <s v="mayo 2025"/>
    <n v="25"/>
  </r>
  <r>
    <d v="2025-05-25T00:00:00"/>
    <s v="LLAVERO ABC (LETRA V)"/>
    <n v="1"/>
    <d v="2025-05-25T00:00:00"/>
    <x v="8"/>
    <x v="6"/>
    <s v="mayo 2025"/>
    <n v="25"/>
  </r>
  <r>
    <d v="2025-05-26T00:00:00"/>
    <s v="LLAVERO ABC (LETRA G)"/>
    <n v="1"/>
    <d v="2025-05-26T00:00:00"/>
    <x v="2"/>
    <x v="6"/>
    <s v="mayo 2025"/>
    <n v="26"/>
  </r>
  <r>
    <d v="2025-05-27T00:00:00"/>
    <s v="LLAVERO ABC (LETRA M)"/>
    <n v="1"/>
    <d v="2025-05-27T00:00:00"/>
    <x v="1"/>
    <x v="6"/>
    <s v="mayo 2025"/>
    <n v="27"/>
  </r>
  <r>
    <d v="2025-05-28T00:00:00"/>
    <s v="LLAVERO ABC (LETRA D)"/>
    <n v="1"/>
    <d v="2025-05-28T00:00:00"/>
    <x v="11"/>
    <x v="6"/>
    <s v="mayo 2025"/>
    <n v="28"/>
  </r>
  <r>
    <d v="2025-05-28T00:00:00"/>
    <s v="LLAVERO ABC (LETRA J)"/>
    <n v="2"/>
    <d v="2025-05-28T00:00:00"/>
    <x v="13"/>
    <x v="6"/>
    <s v="mayo 2025"/>
    <n v="28"/>
  </r>
  <r>
    <d v="2025-05-28T00:00:00"/>
    <s v="LLAVERO ABC (LETRA L)"/>
    <n v="1"/>
    <d v="2025-05-28T00:00:00"/>
    <x v="12"/>
    <x v="6"/>
    <s v="mayo 2025"/>
    <n v="28"/>
  </r>
  <r>
    <d v="2025-05-28T00:00:00"/>
    <s v="LLAVERO ABC (LETRA N)"/>
    <n v="2"/>
    <d v="2025-05-28T00:00:00"/>
    <x v="10"/>
    <x v="6"/>
    <s v="mayo 2025"/>
    <n v="28"/>
  </r>
  <r>
    <d v="2025-05-28T00:00:00"/>
    <s v="LLAVERO ABC (LETRA V)"/>
    <n v="1"/>
    <d v="2025-05-28T00:00:00"/>
    <x v="8"/>
    <x v="6"/>
    <s v="mayo 2025"/>
    <n v="28"/>
  </r>
  <r>
    <d v="2025-05-31T00:00:00"/>
    <s v="LLAVERO ABC (LETRA M)"/>
    <n v="1"/>
    <d v="2025-05-31T00:00:00"/>
    <x v="1"/>
    <x v="6"/>
    <s v="mayo 2025"/>
    <n v="31"/>
  </r>
  <r>
    <d v="2025-05-31T00:00:00"/>
    <s v="LLAVERO ABC (LETRA P)"/>
    <n v="1"/>
    <d v="2025-05-31T00:00:00"/>
    <x v="0"/>
    <x v="6"/>
    <s v="mayo 2025"/>
    <n v="31"/>
  </r>
  <r>
    <d v="2025-05-31T00:00:00"/>
    <s v="LLAVERO ABC (LETRA V)"/>
    <n v="1"/>
    <d v="2025-05-31T00:00:00"/>
    <x v="8"/>
    <x v="6"/>
    <s v="mayo 2025"/>
    <n v="31"/>
  </r>
  <r>
    <d v="2025-06-01T00:00:00"/>
    <s v="LLAVERO ABC (LETRA A)"/>
    <n v="1"/>
    <d v="2025-06-01T00:00:00"/>
    <x v="6"/>
    <x v="7"/>
    <s v="junio 2025"/>
    <n v="1"/>
  </r>
  <r>
    <d v="2025-06-01T00:00:00"/>
    <s v="LLAVERO ABC (LETRA E)"/>
    <n v="1"/>
    <d v="2025-06-01T00:00:00"/>
    <x v="16"/>
    <x v="7"/>
    <s v="junio 2025"/>
    <n v="1"/>
  </r>
  <r>
    <d v="2025-06-01T00:00:00"/>
    <s v="LLAVERO ABC (LETRA M)"/>
    <n v="1"/>
    <d v="2025-06-01T00:00:00"/>
    <x v="1"/>
    <x v="7"/>
    <s v="junio 2025"/>
    <n v="1"/>
  </r>
  <r>
    <d v="2025-06-01T00:00:00"/>
    <s v="LLAVERO ABC (LETRA R)"/>
    <n v="1"/>
    <d v="2025-06-01T00:00:00"/>
    <x v="3"/>
    <x v="7"/>
    <s v="junio 2025"/>
    <n v="1"/>
  </r>
  <r>
    <d v="2025-06-01T00:00:00"/>
    <s v="LLAVERO ABC (LETRA Y)"/>
    <n v="1"/>
    <d v="2025-06-01T00:00:00"/>
    <x v="14"/>
    <x v="7"/>
    <s v="junio 2025"/>
    <n v="1"/>
  </r>
  <r>
    <d v="2025-06-02T00:00:00"/>
    <s v="LLAVERO ABC (LETRA A)"/>
    <n v="2"/>
    <d v="2025-06-02T00:00:00"/>
    <x v="6"/>
    <x v="7"/>
    <s v="junio 2025"/>
    <n v="2"/>
  </r>
  <r>
    <d v="2025-06-03T00:00:00"/>
    <s v="LLAVERO ABC (LETRA A)"/>
    <n v="1"/>
    <d v="2025-06-03T00:00:00"/>
    <x v="6"/>
    <x v="7"/>
    <s v="junio 2025"/>
    <n v="3"/>
  </r>
  <r>
    <d v="2025-06-03T00:00:00"/>
    <s v="LLAVERO ABC (LETRA M)"/>
    <n v="1"/>
    <d v="2025-06-03T00:00:00"/>
    <x v="1"/>
    <x v="7"/>
    <s v="junio 2025"/>
    <n v="3"/>
  </r>
  <r>
    <d v="2025-06-03T00:00:00"/>
    <s v="LLAVERO ABC (LETRA S)"/>
    <n v="1"/>
    <d v="2025-06-03T00:00:00"/>
    <x v="4"/>
    <x v="7"/>
    <s v="junio 2025"/>
    <n v="3"/>
  </r>
  <r>
    <d v="2025-06-03T00:00:00"/>
    <s v="LLAVERO ABC (LETRA Y)"/>
    <n v="1"/>
    <d v="2025-06-03T00:00:00"/>
    <x v="14"/>
    <x v="7"/>
    <s v="junio 2025"/>
    <n v="3"/>
  </r>
  <r>
    <d v="2025-06-04T00:00:00"/>
    <s v="LLAVERO ABC (LETRA G)"/>
    <n v="1"/>
    <d v="2025-06-04T00:00:00"/>
    <x v="2"/>
    <x v="7"/>
    <s v="junio 2025"/>
    <n v="4"/>
  </r>
  <r>
    <d v="2025-06-04T00:00:00"/>
    <s v="LLAVERO ABC (LETRA V)"/>
    <n v="1"/>
    <d v="2025-06-04T00:00:00"/>
    <x v="8"/>
    <x v="7"/>
    <s v="junio 2025"/>
    <n v="4"/>
  </r>
  <r>
    <d v="2025-06-06T00:00:00"/>
    <s v="LLAVERO ABC (LETRA B)"/>
    <n v="1"/>
    <d v="2025-06-06T00:00:00"/>
    <x v="7"/>
    <x v="7"/>
    <s v="junio 2025"/>
    <n v="6"/>
  </r>
  <r>
    <d v="2025-06-07T00:00:00"/>
    <s v="LLAVERO ABC (LETRA F)"/>
    <n v="1"/>
    <d v="2025-06-07T00:00:00"/>
    <x v="5"/>
    <x v="7"/>
    <s v="junio 2025"/>
    <n v="7"/>
  </r>
  <r>
    <d v="2025-06-07T00:00:00"/>
    <s v="LLAVERO ABC (LETRA H)"/>
    <n v="1"/>
    <d v="2025-06-07T00:00:00"/>
    <x v="17"/>
    <x v="7"/>
    <s v="junio 2025"/>
    <n v="7"/>
  </r>
  <r>
    <d v="2025-06-07T00:00:00"/>
    <s v="LLAVERO ABC (LETRA J)"/>
    <n v="1"/>
    <d v="2025-06-07T00:00:00"/>
    <x v="13"/>
    <x v="7"/>
    <s v="junio 2025"/>
    <n v="7"/>
  </r>
  <r>
    <d v="2025-06-07T00:00:00"/>
    <s v="LLAVERO ABC (LETRA M)"/>
    <n v="1"/>
    <d v="2025-06-07T00:00:00"/>
    <x v="1"/>
    <x v="7"/>
    <s v="junio 2025"/>
    <n v="7"/>
  </r>
  <r>
    <d v="2025-06-10T00:00:00"/>
    <s v="LLAVERO ABC (LETRA A)"/>
    <n v="1"/>
    <d v="2025-06-10T00:00:00"/>
    <x v="6"/>
    <x v="7"/>
    <s v="junio 2025"/>
    <n v="10"/>
  </r>
  <r>
    <d v="2025-06-10T00:00:00"/>
    <s v="LLAVERO ABC (LETRA B)"/>
    <n v="1"/>
    <d v="2025-06-10T00:00:00"/>
    <x v="7"/>
    <x v="7"/>
    <s v="junio 2025"/>
    <n v="10"/>
  </r>
  <r>
    <d v="2025-06-10T00:00:00"/>
    <s v="LLAVERO ABC (LETRA F)"/>
    <n v="1"/>
    <d v="2025-06-10T00:00:00"/>
    <x v="5"/>
    <x v="7"/>
    <s v="junio 2025"/>
    <n v="10"/>
  </r>
  <r>
    <d v="2025-06-10T00:00:00"/>
    <s v="LLAVERO ABC (LETRA L)"/>
    <n v="3"/>
    <d v="2025-06-10T00:00:00"/>
    <x v="12"/>
    <x v="7"/>
    <s v="junio 2025"/>
    <n v="10"/>
  </r>
  <r>
    <d v="2025-06-10T00:00:00"/>
    <s v="LLAVERO ABC (LETRA N)"/>
    <n v="1"/>
    <d v="2025-06-10T00:00:00"/>
    <x v="10"/>
    <x v="7"/>
    <s v="junio 2025"/>
    <n v="10"/>
  </r>
  <r>
    <d v="2025-06-10T00:00:00"/>
    <s v="LLAVERO ABC (LETRA V)"/>
    <n v="1"/>
    <d v="2025-06-10T00:00:00"/>
    <x v="8"/>
    <x v="7"/>
    <s v="junio 2025"/>
    <n v="10"/>
  </r>
  <r>
    <d v="2025-06-12T00:00:00"/>
    <s v="LLAVERO ABC (LETRA L)"/>
    <n v="1"/>
    <d v="2025-06-12T00:00:00"/>
    <x v="12"/>
    <x v="7"/>
    <s v="junio 2025"/>
    <n v="12"/>
  </r>
  <r>
    <d v="2025-06-12T00:00:00"/>
    <s v="LLAVERO ABC (LETRA M)"/>
    <n v="1"/>
    <d v="2025-06-12T00:00:00"/>
    <x v="1"/>
    <x v="7"/>
    <s v="junio 2025"/>
    <n v="12"/>
  </r>
  <r>
    <d v="2025-06-12T00:00:00"/>
    <s v="LLAVERO ABC (LETRA V)"/>
    <n v="1"/>
    <d v="2025-06-12T00:00:00"/>
    <x v="8"/>
    <x v="7"/>
    <s v="junio 2025"/>
    <n v="12"/>
  </r>
  <r>
    <d v="2025-06-14T00:00:00"/>
    <s v="LLAVERO ABC (LETRA A)"/>
    <n v="1"/>
    <d v="2025-06-14T00:00:00"/>
    <x v="6"/>
    <x v="7"/>
    <s v="junio 2025"/>
    <n v="14"/>
  </r>
  <r>
    <d v="2025-06-14T00:00:00"/>
    <s v="LLAVERO ABC (LETRA C)"/>
    <n v="1"/>
    <d v="2025-06-14T00:00:00"/>
    <x v="9"/>
    <x v="7"/>
    <s v="junio 2025"/>
    <n v="14"/>
  </r>
  <r>
    <d v="2025-06-14T00:00:00"/>
    <s v="LLAVERO ABC (LETRA D)"/>
    <n v="1"/>
    <d v="2025-06-14T00:00:00"/>
    <x v="11"/>
    <x v="7"/>
    <s v="junio 2025"/>
    <n v="14"/>
  </r>
  <r>
    <d v="2025-06-14T00:00:00"/>
    <s v="LLAVERO ABC (LETRA J)"/>
    <n v="1"/>
    <d v="2025-06-14T00:00:00"/>
    <x v="13"/>
    <x v="7"/>
    <s v="junio 2025"/>
    <n v="14"/>
  </r>
  <r>
    <d v="2025-06-14T00:00:00"/>
    <s v="LLAVERO ABC (LETRA L)"/>
    <n v="2"/>
    <d v="2025-06-14T00:00:00"/>
    <x v="12"/>
    <x v="7"/>
    <s v="junio 2025"/>
    <n v="14"/>
  </r>
  <r>
    <d v="2025-06-14T00:00:00"/>
    <s v="LLAVERO ABC (LETRA R)"/>
    <n v="2"/>
    <d v="2025-06-14T00:00:00"/>
    <x v="3"/>
    <x v="7"/>
    <s v="junio 2025"/>
    <n v="14"/>
  </r>
  <r>
    <d v="2025-06-14T00:00:00"/>
    <s v="LLAVERO ABC (LETRA V)"/>
    <n v="1"/>
    <d v="2025-06-14T00:00:00"/>
    <x v="8"/>
    <x v="7"/>
    <s v="junio 2025"/>
    <n v="14"/>
  </r>
  <r>
    <d v="2025-06-14T00:00:00"/>
    <s v="LLAVERO ABC (LETRA Y)"/>
    <n v="1"/>
    <d v="2025-06-14T00:00:00"/>
    <x v="14"/>
    <x v="7"/>
    <s v="junio 2025"/>
    <n v="14"/>
  </r>
  <r>
    <d v="2025-06-15T00:00:00"/>
    <s v="LLAVERO ABC (LETRA F)"/>
    <n v="1"/>
    <d v="2025-06-15T00:00:00"/>
    <x v="5"/>
    <x v="7"/>
    <s v="junio 2025"/>
    <n v="15"/>
  </r>
  <r>
    <d v="2025-06-15T00:00:00"/>
    <s v="LLAVERO ABC (LETRA M)"/>
    <n v="1"/>
    <d v="2025-06-15T00:00:00"/>
    <x v="1"/>
    <x v="7"/>
    <s v="junio 2025"/>
    <n v="15"/>
  </r>
  <r>
    <d v="2025-06-15T00:00:00"/>
    <s v="LLAVERO ABC (LETRA P)"/>
    <n v="1"/>
    <d v="2025-06-15T00:00:00"/>
    <x v="0"/>
    <x v="7"/>
    <s v="junio 2025"/>
    <n v="15"/>
  </r>
  <r>
    <d v="2025-06-16T00:00:00"/>
    <s v="LLAVERO ABC (LETRA E)"/>
    <n v="1"/>
    <d v="2025-06-16T00:00:00"/>
    <x v="16"/>
    <x v="7"/>
    <s v="junio 2025"/>
    <n v="16"/>
  </r>
  <r>
    <d v="2025-06-16T00:00:00"/>
    <s v="LLAVERO ABC (LETRA L)"/>
    <n v="1"/>
    <d v="2025-06-16T00:00:00"/>
    <x v="12"/>
    <x v="7"/>
    <s v="junio 2025"/>
    <n v="16"/>
  </r>
  <r>
    <d v="2025-06-16T00:00:00"/>
    <s v="LLAVERO ABC (LETRA M)"/>
    <n v="2"/>
    <d v="2025-06-16T00:00:00"/>
    <x v="1"/>
    <x v="7"/>
    <s v="junio 2025"/>
    <n v="16"/>
  </r>
  <r>
    <d v="2025-06-17T00:00:00"/>
    <s v="LLAVERO ABC (LETRA K)"/>
    <n v="1"/>
    <d v="2025-06-17T00:00:00"/>
    <x v="15"/>
    <x v="7"/>
    <s v="junio 2025"/>
    <n v="17"/>
  </r>
  <r>
    <d v="2025-06-18T00:00:00"/>
    <s v="LLAVERO ABC (LETRA B)"/>
    <n v="1"/>
    <d v="2025-06-18T00:00:00"/>
    <x v="7"/>
    <x v="7"/>
    <s v="junio 2025"/>
    <n v="18"/>
  </r>
  <r>
    <d v="2025-06-18T00:00:00"/>
    <s v="LLAVERO ABC (LETRA C)"/>
    <n v="1"/>
    <d v="2025-06-18T00:00:00"/>
    <x v="9"/>
    <x v="7"/>
    <s v="junio 2025"/>
    <n v="18"/>
  </r>
  <r>
    <d v="2025-06-19T00:00:00"/>
    <s v="LLAVERO ABC (LETRA B)"/>
    <n v="1"/>
    <d v="2025-06-19T00:00:00"/>
    <x v="7"/>
    <x v="7"/>
    <s v="junio 2025"/>
    <n v="19"/>
  </r>
  <r>
    <d v="2025-06-19T00:00:00"/>
    <s v="LLAVERO ABC (LETRA J)"/>
    <n v="1"/>
    <d v="2025-06-19T00:00:00"/>
    <x v="13"/>
    <x v="7"/>
    <s v="junio 2025"/>
    <n v="19"/>
  </r>
  <r>
    <d v="2025-06-19T00:00:00"/>
    <s v="LLAVERO ABC (LETRA M)"/>
    <n v="1"/>
    <d v="2025-06-19T00:00:00"/>
    <x v="1"/>
    <x v="7"/>
    <s v="junio 2025"/>
    <n v="19"/>
  </r>
  <r>
    <d v="2025-06-19T00:00:00"/>
    <s v="LLAVERO ABC (LETRA P)"/>
    <n v="1"/>
    <d v="2025-06-19T00:00:00"/>
    <x v="0"/>
    <x v="7"/>
    <s v="junio 2025"/>
    <n v="19"/>
  </r>
  <r>
    <d v="2025-06-20T00:00:00"/>
    <s v="LLAVERO ABC (LETRA A)"/>
    <n v="1"/>
    <d v="2025-06-20T00:00:00"/>
    <x v="6"/>
    <x v="7"/>
    <s v="junio 2025"/>
    <n v="20"/>
  </r>
  <r>
    <d v="2025-06-21T00:00:00"/>
    <s v="LLAVERO ABC (LETRA E)"/>
    <n v="1"/>
    <d v="2025-06-21T00:00:00"/>
    <x v="16"/>
    <x v="7"/>
    <s v="junio 2025"/>
    <n v="21"/>
  </r>
  <r>
    <d v="2025-06-22T00:00:00"/>
    <s v="LLAVERO ABC (LETRA G)"/>
    <n v="1"/>
    <d v="2025-06-22T00:00:00"/>
    <x v="2"/>
    <x v="7"/>
    <s v="junio 2025"/>
    <n v="22"/>
  </r>
  <r>
    <d v="2025-06-22T00:00:00"/>
    <s v="LLAVERO ABC (LETRA L)"/>
    <n v="1"/>
    <d v="2025-06-22T00:00:00"/>
    <x v="12"/>
    <x v="7"/>
    <s v="junio 2025"/>
    <n v="22"/>
  </r>
  <r>
    <d v="2025-06-22T00:00:00"/>
    <s v="LLAVERO ABC (LETRA Y)"/>
    <n v="1"/>
    <d v="2025-06-22T00:00:00"/>
    <x v="14"/>
    <x v="7"/>
    <s v="junio 2025"/>
    <n v="22"/>
  </r>
  <r>
    <d v="2025-06-24T00:00:00"/>
    <s v="LLAVERO ABC (LETRA A)"/>
    <n v="3"/>
    <d v="2025-06-24T00:00:00"/>
    <x v="6"/>
    <x v="7"/>
    <s v="junio 2025"/>
    <n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J26" firstHeaderRow="1" firstDataRow="4" firstDataCol="1"/>
  <pivotFields count="10">
    <pivotField numFmtId="14" showAll="0"/>
    <pivotField showAll="0"/>
    <pivotField dataField="1" showAll="0"/>
    <pivotField numFmtId="14" showAll="0"/>
    <pivotField axis="axisRow" showAll="0">
      <items count="20">
        <item x="6"/>
        <item x="7"/>
        <item x="9"/>
        <item x="11"/>
        <item x="16"/>
        <item x="5"/>
        <item x="2"/>
        <item x="17"/>
        <item x="13"/>
        <item x="15"/>
        <item x="12"/>
        <item x="1"/>
        <item x="10"/>
        <item x="0"/>
        <item x="3"/>
        <item x="4"/>
        <item x="18"/>
        <item x="8"/>
        <item x="14"/>
        <item t="default"/>
      </items>
    </pivotField>
    <pivotField axis="axisCol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Col" showAll="0" defaultSubtotal="0">
      <items count="6">
        <item sd="0" x="0"/>
        <item x="1"/>
        <item x="2"/>
        <item sd="0" x="3"/>
        <item x="4"/>
        <item sd="0" x="5"/>
      </items>
    </pivotField>
    <pivotField axis="axisCol" showAll="0" defaultSubtotal="0">
      <items count="4">
        <item sd="0" x="0"/>
        <item x="1"/>
        <item x="2"/>
        <item sd="0" x="3"/>
      </items>
    </pivotField>
  </pivotFields>
  <rowFields count="1">
    <field x="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3">
    <field x="9"/>
    <field x="8"/>
    <field x="5"/>
  </colFields>
  <colItems count="9">
    <i>
      <x v="1"/>
      <x v="4"/>
      <x v="11"/>
    </i>
    <i r="2">
      <x v="12"/>
    </i>
    <i>
      <x v="2"/>
      <x v="1"/>
      <x v="1"/>
    </i>
    <i r="2">
      <x v="2"/>
    </i>
    <i r="2">
      <x v="3"/>
    </i>
    <i r="1">
      <x v="2"/>
      <x v="4"/>
    </i>
    <i r="2">
      <x v="5"/>
    </i>
    <i r="2">
      <x v="6"/>
    </i>
    <i t="grand">
      <x/>
    </i>
  </colItems>
  <dataFields count="1">
    <dataField name="Suma de VENTA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26"/>
  <sheetViews>
    <sheetView topLeftCell="A6" workbookViewId="0">
      <selection activeCell="A6" sqref="A6:I26"/>
    </sheetView>
  </sheetViews>
  <sheetFormatPr baseColWidth="10" defaultRowHeight="14.4" x14ac:dyDescent="0.3"/>
  <cols>
    <col min="1" max="1" width="16.5546875" bestFit="1" customWidth="1"/>
    <col min="2" max="2" width="8.33203125" customWidth="1"/>
    <col min="3" max="3" width="3.21875" bestFit="1" customWidth="1"/>
    <col min="4" max="4" width="8" bestFit="1" customWidth="1"/>
    <col min="5" max="5" width="3.5546875" bestFit="1" customWidth="1"/>
    <col min="6" max="6" width="4.21875" bestFit="1" customWidth="1"/>
    <col min="7" max="7" width="8" bestFit="1" customWidth="1"/>
    <col min="8" max="8" width="4.33203125" bestFit="1" customWidth="1"/>
    <col min="9" max="9" width="3.5546875" bestFit="1" customWidth="1"/>
    <col min="10" max="10" width="5.33203125" customWidth="1"/>
  </cols>
  <sheetData>
    <row r="3" spans="1:10" x14ac:dyDescent="0.3">
      <c r="A3" s="2" t="s">
        <v>70</v>
      </c>
      <c r="B3" s="2" t="s">
        <v>56</v>
      </c>
    </row>
    <row r="4" spans="1:10" x14ac:dyDescent="0.3">
      <c r="B4" t="s">
        <v>57</v>
      </c>
      <c r="D4" t="s">
        <v>58</v>
      </c>
      <c r="J4" t="s">
        <v>55</v>
      </c>
    </row>
    <row r="5" spans="1:10" x14ac:dyDescent="0.3">
      <c r="B5" t="s">
        <v>59</v>
      </c>
      <c r="D5" t="s">
        <v>60</v>
      </c>
      <c r="G5" t="s">
        <v>61</v>
      </c>
    </row>
    <row r="6" spans="1:10" x14ac:dyDescent="0.3">
      <c r="A6" s="2" t="s">
        <v>54</v>
      </c>
      <c r="B6" s="4" t="s">
        <v>62</v>
      </c>
      <c r="C6" s="4" t="s">
        <v>63</v>
      </c>
      <c r="D6" s="4" t="s">
        <v>64</v>
      </c>
      <c r="E6" s="4" t="s">
        <v>65</v>
      </c>
      <c r="F6" s="4" t="s">
        <v>66</v>
      </c>
      <c r="G6" s="4" t="s">
        <v>67</v>
      </c>
      <c r="H6" s="4" t="s">
        <v>68</v>
      </c>
      <c r="I6" s="4" t="s">
        <v>69</v>
      </c>
    </row>
    <row r="7" spans="1:10" x14ac:dyDescent="0.3">
      <c r="A7" s="3" t="s">
        <v>23</v>
      </c>
      <c r="B7" s="5"/>
      <c r="C7" s="5">
        <v>2</v>
      </c>
      <c r="D7" s="5">
        <v>1</v>
      </c>
      <c r="E7" s="5">
        <v>7</v>
      </c>
      <c r="F7" s="5">
        <v>3</v>
      </c>
      <c r="G7" s="5">
        <v>1</v>
      </c>
      <c r="H7" s="5">
        <v>5</v>
      </c>
      <c r="I7" s="5">
        <v>10</v>
      </c>
      <c r="J7" s="5">
        <v>29</v>
      </c>
    </row>
    <row r="8" spans="1:10" x14ac:dyDescent="0.3">
      <c r="A8" s="3" t="s">
        <v>25</v>
      </c>
      <c r="B8" s="5"/>
      <c r="C8" s="5">
        <v>1</v>
      </c>
      <c r="D8" s="5">
        <v>1</v>
      </c>
      <c r="E8" s="5">
        <v>8</v>
      </c>
      <c r="F8" s="5">
        <v>4</v>
      </c>
      <c r="G8" s="5">
        <v>2</v>
      </c>
      <c r="H8" s="5">
        <v>4</v>
      </c>
      <c r="I8" s="5">
        <v>4</v>
      </c>
      <c r="J8" s="5">
        <v>24</v>
      </c>
    </row>
    <row r="9" spans="1:10" x14ac:dyDescent="0.3">
      <c r="A9" s="3" t="s">
        <v>31</v>
      </c>
      <c r="B9" s="5"/>
      <c r="C9" s="5"/>
      <c r="D9" s="5"/>
      <c r="E9" s="5">
        <v>5</v>
      </c>
      <c r="F9" s="5">
        <v>12</v>
      </c>
      <c r="G9" s="5">
        <v>7</v>
      </c>
      <c r="H9" s="5">
        <v>6</v>
      </c>
      <c r="I9" s="5">
        <v>2</v>
      </c>
      <c r="J9" s="5">
        <v>32</v>
      </c>
    </row>
    <row r="10" spans="1:10" x14ac:dyDescent="0.3">
      <c r="A10" s="3" t="s">
        <v>35</v>
      </c>
      <c r="B10" s="5"/>
      <c r="C10" s="5"/>
      <c r="D10" s="5"/>
      <c r="E10" s="5">
        <v>4</v>
      </c>
      <c r="F10" s="5">
        <v>3</v>
      </c>
      <c r="G10" s="5">
        <v>5</v>
      </c>
      <c r="H10" s="5">
        <v>1</v>
      </c>
      <c r="I10" s="5">
        <v>1</v>
      </c>
      <c r="J10" s="5">
        <v>14</v>
      </c>
    </row>
    <row r="11" spans="1:10" x14ac:dyDescent="0.3">
      <c r="A11" s="3" t="s">
        <v>48</v>
      </c>
      <c r="B11" s="5"/>
      <c r="C11" s="5"/>
      <c r="D11" s="5"/>
      <c r="E11" s="5"/>
      <c r="F11" s="5"/>
      <c r="G11" s="5"/>
      <c r="H11" s="5">
        <v>2</v>
      </c>
      <c r="I11" s="5">
        <v>3</v>
      </c>
      <c r="J11" s="5">
        <v>5</v>
      </c>
    </row>
    <row r="12" spans="1:10" x14ac:dyDescent="0.3">
      <c r="A12" s="3" t="s">
        <v>21</v>
      </c>
      <c r="B12" s="5"/>
      <c r="C12" s="5">
        <v>1</v>
      </c>
      <c r="D12" s="5">
        <v>1</v>
      </c>
      <c r="E12" s="5">
        <v>3</v>
      </c>
      <c r="F12" s="5">
        <v>3</v>
      </c>
      <c r="G12" s="5">
        <v>3</v>
      </c>
      <c r="H12" s="5">
        <v>1</v>
      </c>
      <c r="I12" s="5">
        <v>3</v>
      </c>
      <c r="J12" s="5">
        <v>15</v>
      </c>
    </row>
    <row r="13" spans="1:10" x14ac:dyDescent="0.3">
      <c r="A13" s="3" t="s">
        <v>14</v>
      </c>
      <c r="B13" s="5"/>
      <c r="C13" s="5">
        <v>1</v>
      </c>
      <c r="D13" s="5"/>
      <c r="E13" s="5">
        <v>1</v>
      </c>
      <c r="F13" s="5">
        <v>7</v>
      </c>
      <c r="G13" s="5">
        <v>4</v>
      </c>
      <c r="H13" s="5">
        <v>3</v>
      </c>
      <c r="I13" s="5">
        <v>2</v>
      </c>
      <c r="J13" s="5">
        <v>18</v>
      </c>
    </row>
    <row r="14" spans="1:10" x14ac:dyDescent="0.3">
      <c r="A14" s="3" t="s">
        <v>50</v>
      </c>
      <c r="B14" s="5"/>
      <c r="C14" s="5"/>
      <c r="D14" s="5"/>
      <c r="E14" s="5"/>
      <c r="F14" s="5"/>
      <c r="G14" s="5"/>
      <c r="H14" s="5">
        <v>1</v>
      </c>
      <c r="I14" s="5">
        <v>1</v>
      </c>
      <c r="J14" s="5">
        <v>2</v>
      </c>
    </row>
    <row r="15" spans="1:10" x14ac:dyDescent="0.3">
      <c r="A15" s="3" t="s">
        <v>39</v>
      </c>
      <c r="B15" s="5"/>
      <c r="C15" s="5"/>
      <c r="D15" s="5"/>
      <c r="E15" s="5">
        <v>5</v>
      </c>
      <c r="F15" s="5">
        <v>8</v>
      </c>
      <c r="G15" s="5">
        <v>6</v>
      </c>
      <c r="H15" s="5">
        <v>7</v>
      </c>
      <c r="I15" s="5">
        <v>3</v>
      </c>
      <c r="J15" s="5">
        <v>29</v>
      </c>
    </row>
    <row r="16" spans="1:10" x14ac:dyDescent="0.3">
      <c r="A16" s="3" t="s">
        <v>44</v>
      </c>
      <c r="B16" s="5"/>
      <c r="C16" s="5"/>
      <c r="D16" s="5"/>
      <c r="E16" s="5"/>
      <c r="F16" s="5">
        <v>7</v>
      </c>
      <c r="G16" s="5">
        <v>7</v>
      </c>
      <c r="H16" s="5"/>
      <c r="I16" s="5">
        <v>1</v>
      </c>
      <c r="J16" s="5">
        <v>15</v>
      </c>
    </row>
    <row r="17" spans="1:10" x14ac:dyDescent="0.3">
      <c r="A17" s="3" t="s">
        <v>37</v>
      </c>
      <c r="B17" s="5"/>
      <c r="C17" s="5"/>
      <c r="D17" s="5"/>
      <c r="E17" s="5">
        <v>4</v>
      </c>
      <c r="F17" s="5">
        <v>4</v>
      </c>
      <c r="G17" s="5">
        <v>5</v>
      </c>
      <c r="H17" s="5">
        <v>9</v>
      </c>
      <c r="I17" s="5">
        <v>8</v>
      </c>
      <c r="J17" s="5">
        <v>30</v>
      </c>
    </row>
    <row r="18" spans="1:10" x14ac:dyDescent="0.3">
      <c r="A18" s="3" t="s">
        <v>12</v>
      </c>
      <c r="B18" s="5">
        <v>2</v>
      </c>
      <c r="C18" s="5">
        <v>5</v>
      </c>
      <c r="D18" s="5">
        <v>2</v>
      </c>
      <c r="E18" s="5">
        <v>9</v>
      </c>
      <c r="F18" s="5">
        <v>8</v>
      </c>
      <c r="G18" s="5">
        <v>5</v>
      </c>
      <c r="H18" s="5">
        <v>4</v>
      </c>
      <c r="I18" s="5">
        <v>8</v>
      </c>
      <c r="J18" s="5">
        <v>43</v>
      </c>
    </row>
    <row r="19" spans="1:10" x14ac:dyDescent="0.3">
      <c r="A19" s="3" t="s">
        <v>33</v>
      </c>
      <c r="B19" s="5"/>
      <c r="C19" s="5"/>
      <c r="D19" s="5"/>
      <c r="E19" s="5">
        <v>3</v>
      </c>
      <c r="F19" s="5">
        <v>7</v>
      </c>
      <c r="G19" s="5">
        <v>1</v>
      </c>
      <c r="H19" s="5">
        <v>6</v>
      </c>
      <c r="I19" s="5">
        <v>1</v>
      </c>
      <c r="J19" s="5">
        <v>18</v>
      </c>
    </row>
    <row r="20" spans="1:10" x14ac:dyDescent="0.3">
      <c r="A20" s="3" t="s">
        <v>9</v>
      </c>
      <c r="B20" s="5">
        <v>1</v>
      </c>
      <c r="C20" s="5">
        <v>3</v>
      </c>
      <c r="D20" s="5"/>
      <c r="E20" s="5">
        <v>5</v>
      </c>
      <c r="F20" s="5">
        <v>3</v>
      </c>
      <c r="G20" s="5">
        <v>1</v>
      </c>
      <c r="H20" s="5">
        <v>4</v>
      </c>
      <c r="I20" s="5">
        <v>2</v>
      </c>
      <c r="J20" s="5">
        <v>19</v>
      </c>
    </row>
    <row r="21" spans="1:10" x14ac:dyDescent="0.3">
      <c r="A21" s="3" t="s">
        <v>17</v>
      </c>
      <c r="B21" s="5"/>
      <c r="C21" s="5">
        <v>4</v>
      </c>
      <c r="D21" s="5"/>
      <c r="E21" s="5">
        <v>4</v>
      </c>
      <c r="F21" s="5">
        <v>6</v>
      </c>
      <c r="G21" s="5">
        <v>3</v>
      </c>
      <c r="H21" s="5">
        <v>5</v>
      </c>
      <c r="I21" s="5">
        <v>3</v>
      </c>
      <c r="J21" s="5">
        <v>25</v>
      </c>
    </row>
    <row r="22" spans="1:10" x14ac:dyDescent="0.3">
      <c r="A22" s="3" t="s">
        <v>19</v>
      </c>
      <c r="B22" s="5"/>
      <c r="C22" s="5">
        <v>1</v>
      </c>
      <c r="D22" s="5">
        <v>2</v>
      </c>
      <c r="E22" s="5">
        <v>6</v>
      </c>
      <c r="F22" s="5">
        <v>3</v>
      </c>
      <c r="G22" s="5">
        <v>2</v>
      </c>
      <c r="H22" s="5">
        <v>1</v>
      </c>
      <c r="I22" s="5">
        <v>1</v>
      </c>
      <c r="J22" s="5">
        <v>16</v>
      </c>
    </row>
    <row r="23" spans="1:10" x14ac:dyDescent="0.3">
      <c r="A23" s="3" t="s">
        <v>52</v>
      </c>
      <c r="B23" s="5"/>
      <c r="C23" s="5"/>
      <c r="D23" s="5"/>
      <c r="E23" s="5"/>
      <c r="F23" s="5"/>
      <c r="G23" s="5"/>
      <c r="H23" s="5">
        <v>1</v>
      </c>
      <c r="I23" s="5"/>
      <c r="J23" s="5">
        <v>1</v>
      </c>
    </row>
    <row r="24" spans="1:10" x14ac:dyDescent="0.3">
      <c r="A24" s="3" t="s">
        <v>28</v>
      </c>
      <c r="B24" s="5"/>
      <c r="C24" s="5"/>
      <c r="D24" s="5">
        <v>1</v>
      </c>
      <c r="E24" s="5"/>
      <c r="F24" s="5">
        <v>3</v>
      </c>
      <c r="G24" s="5">
        <v>3</v>
      </c>
      <c r="H24" s="5">
        <v>6</v>
      </c>
      <c r="I24" s="5">
        <v>4</v>
      </c>
      <c r="J24" s="5">
        <v>17</v>
      </c>
    </row>
    <row r="25" spans="1:10" x14ac:dyDescent="0.3">
      <c r="A25" s="3" t="s">
        <v>42</v>
      </c>
      <c r="B25" s="5"/>
      <c r="C25" s="5"/>
      <c r="D25" s="5"/>
      <c r="E25" s="5"/>
      <c r="F25" s="5">
        <v>1</v>
      </c>
      <c r="G25" s="5"/>
      <c r="H25" s="5">
        <v>1</v>
      </c>
      <c r="I25" s="5">
        <v>4</v>
      </c>
      <c r="J25" s="5">
        <v>6</v>
      </c>
    </row>
    <row r="26" spans="1:10" x14ac:dyDescent="0.3">
      <c r="A26" s="3" t="s">
        <v>55</v>
      </c>
      <c r="B26" s="5">
        <v>3</v>
      </c>
      <c r="C26" s="5">
        <v>18</v>
      </c>
      <c r="D26" s="5">
        <v>8</v>
      </c>
      <c r="E26" s="5">
        <v>64</v>
      </c>
      <c r="F26" s="5">
        <v>82</v>
      </c>
      <c r="G26" s="5">
        <v>55</v>
      </c>
      <c r="H26" s="5">
        <v>67</v>
      </c>
      <c r="I26" s="5">
        <v>61</v>
      </c>
      <c r="J26" s="5">
        <v>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7"/>
  <sheetViews>
    <sheetView workbookViewId="0">
      <selection activeCell="A7" sqref="A7"/>
    </sheetView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45623</v>
      </c>
      <c r="B2" t="s">
        <v>8</v>
      </c>
      <c r="C2">
        <v>1</v>
      </c>
      <c r="D2" s="1">
        <v>45623</v>
      </c>
      <c r="E2" t="s">
        <v>9</v>
      </c>
      <c r="F2" s="1">
        <v>45597</v>
      </c>
      <c r="G2" t="s">
        <v>10</v>
      </c>
      <c r="H2">
        <v>27</v>
      </c>
    </row>
    <row r="3" spans="1:8" x14ac:dyDescent="0.3">
      <c r="A3" s="1">
        <v>45624</v>
      </c>
      <c r="B3" t="s">
        <v>11</v>
      </c>
      <c r="C3">
        <v>2</v>
      </c>
      <c r="D3" s="1">
        <v>45624</v>
      </c>
      <c r="E3" t="s">
        <v>12</v>
      </c>
      <c r="F3" s="1">
        <v>45597</v>
      </c>
      <c r="G3" t="s">
        <v>10</v>
      </c>
      <c r="H3">
        <v>28</v>
      </c>
    </row>
    <row r="4" spans="1:8" x14ac:dyDescent="0.3">
      <c r="A4" s="1">
        <v>45629</v>
      </c>
      <c r="B4" t="s">
        <v>13</v>
      </c>
      <c r="C4">
        <v>1</v>
      </c>
      <c r="D4" s="1">
        <v>45629</v>
      </c>
      <c r="E4" t="s">
        <v>14</v>
      </c>
      <c r="F4" s="1">
        <v>45627</v>
      </c>
      <c r="G4" t="s">
        <v>15</v>
      </c>
      <c r="H4">
        <v>3</v>
      </c>
    </row>
    <row r="5" spans="1:8" x14ac:dyDescent="0.3">
      <c r="A5" s="1">
        <v>45629</v>
      </c>
      <c r="B5" t="s">
        <v>8</v>
      </c>
      <c r="C5">
        <v>1</v>
      </c>
      <c r="D5" s="1">
        <v>45629</v>
      </c>
      <c r="E5" t="s">
        <v>9</v>
      </c>
      <c r="F5" s="1">
        <v>45627</v>
      </c>
      <c r="G5" t="s">
        <v>15</v>
      </c>
      <c r="H5">
        <v>3</v>
      </c>
    </row>
    <row r="6" spans="1:8" x14ac:dyDescent="0.3">
      <c r="A6" s="1">
        <v>45630</v>
      </c>
      <c r="B6" t="s">
        <v>16</v>
      </c>
      <c r="C6">
        <v>1</v>
      </c>
      <c r="D6" s="1">
        <v>45630</v>
      </c>
      <c r="E6" t="s">
        <v>17</v>
      </c>
      <c r="F6" s="1">
        <v>45627</v>
      </c>
      <c r="G6" t="s">
        <v>15</v>
      </c>
      <c r="H6">
        <v>4</v>
      </c>
    </row>
    <row r="7" spans="1:8" x14ac:dyDescent="0.3">
      <c r="A7" s="1">
        <v>45633</v>
      </c>
      <c r="B7" t="s">
        <v>16</v>
      </c>
      <c r="C7">
        <v>1</v>
      </c>
      <c r="D7" s="1">
        <v>45633</v>
      </c>
      <c r="E7" t="s">
        <v>17</v>
      </c>
      <c r="F7" s="1">
        <v>45627</v>
      </c>
      <c r="G7" t="s">
        <v>15</v>
      </c>
      <c r="H7">
        <v>7</v>
      </c>
    </row>
    <row r="8" spans="1:8" x14ac:dyDescent="0.3">
      <c r="A8" s="1">
        <v>45638</v>
      </c>
      <c r="B8" t="s">
        <v>16</v>
      </c>
      <c r="C8">
        <v>1</v>
      </c>
      <c r="D8" s="1">
        <v>45638</v>
      </c>
      <c r="E8" t="s">
        <v>17</v>
      </c>
      <c r="F8" s="1">
        <v>45627</v>
      </c>
      <c r="G8" t="s">
        <v>15</v>
      </c>
      <c r="H8">
        <v>12</v>
      </c>
    </row>
    <row r="9" spans="1:8" x14ac:dyDescent="0.3">
      <c r="A9" s="1">
        <v>45639</v>
      </c>
      <c r="B9" t="s">
        <v>11</v>
      </c>
      <c r="C9">
        <v>1</v>
      </c>
      <c r="D9" s="1">
        <v>45639</v>
      </c>
      <c r="E9" t="s">
        <v>12</v>
      </c>
      <c r="F9" s="1">
        <v>45627</v>
      </c>
      <c r="G9" t="s">
        <v>15</v>
      </c>
      <c r="H9">
        <v>13</v>
      </c>
    </row>
    <row r="10" spans="1:8" x14ac:dyDescent="0.3">
      <c r="A10" s="1">
        <v>45639</v>
      </c>
      <c r="B10" t="s">
        <v>18</v>
      </c>
      <c r="C10">
        <v>1</v>
      </c>
      <c r="D10" s="1">
        <v>45639</v>
      </c>
      <c r="E10" t="s">
        <v>19</v>
      </c>
      <c r="F10" s="1">
        <v>45627</v>
      </c>
      <c r="G10" t="s">
        <v>15</v>
      </c>
      <c r="H10">
        <v>13</v>
      </c>
    </row>
    <row r="11" spans="1:8" x14ac:dyDescent="0.3">
      <c r="A11" s="1">
        <v>45642</v>
      </c>
      <c r="B11" t="s">
        <v>11</v>
      </c>
      <c r="C11">
        <v>1</v>
      </c>
      <c r="D11" s="1">
        <v>45642</v>
      </c>
      <c r="E11" t="s">
        <v>12</v>
      </c>
      <c r="F11" s="1">
        <v>45627</v>
      </c>
      <c r="G11" t="s">
        <v>15</v>
      </c>
      <c r="H11">
        <v>16</v>
      </c>
    </row>
    <row r="12" spans="1:8" x14ac:dyDescent="0.3">
      <c r="A12" s="1">
        <v>45642</v>
      </c>
      <c r="B12" t="s">
        <v>8</v>
      </c>
      <c r="C12">
        <v>1</v>
      </c>
      <c r="D12" s="1">
        <v>45642</v>
      </c>
      <c r="E12" t="s">
        <v>9</v>
      </c>
      <c r="F12" s="1">
        <v>45627</v>
      </c>
      <c r="G12" t="s">
        <v>15</v>
      </c>
      <c r="H12">
        <v>16</v>
      </c>
    </row>
    <row r="13" spans="1:8" x14ac:dyDescent="0.3">
      <c r="A13" s="1">
        <v>45645</v>
      </c>
      <c r="B13" t="s">
        <v>20</v>
      </c>
      <c r="C13">
        <v>1</v>
      </c>
      <c r="D13" s="1">
        <v>45645</v>
      </c>
      <c r="E13" t="s">
        <v>21</v>
      </c>
      <c r="F13" s="1">
        <v>45627</v>
      </c>
      <c r="G13" t="s">
        <v>15</v>
      </c>
      <c r="H13">
        <v>19</v>
      </c>
    </row>
    <row r="14" spans="1:8" x14ac:dyDescent="0.3">
      <c r="A14" s="1">
        <v>45646</v>
      </c>
      <c r="B14" t="s">
        <v>22</v>
      </c>
      <c r="C14">
        <v>1</v>
      </c>
      <c r="D14" s="1">
        <v>45646</v>
      </c>
      <c r="E14" t="s">
        <v>23</v>
      </c>
      <c r="F14" s="1">
        <v>45627</v>
      </c>
      <c r="G14" t="s">
        <v>15</v>
      </c>
      <c r="H14">
        <v>20</v>
      </c>
    </row>
    <row r="15" spans="1:8" x14ac:dyDescent="0.3">
      <c r="A15" s="1">
        <v>45646</v>
      </c>
      <c r="B15" t="s">
        <v>11</v>
      </c>
      <c r="C15">
        <v>2</v>
      </c>
      <c r="D15" s="1">
        <v>45646</v>
      </c>
      <c r="E15" t="s">
        <v>12</v>
      </c>
      <c r="F15" s="1">
        <v>45627</v>
      </c>
      <c r="G15" t="s">
        <v>15</v>
      </c>
      <c r="H15">
        <v>20</v>
      </c>
    </row>
    <row r="16" spans="1:8" x14ac:dyDescent="0.3">
      <c r="A16" s="1">
        <v>45647</v>
      </c>
      <c r="B16" t="s">
        <v>24</v>
      </c>
      <c r="C16">
        <v>1</v>
      </c>
      <c r="D16" s="1">
        <v>45647</v>
      </c>
      <c r="E16" t="s">
        <v>25</v>
      </c>
      <c r="F16" s="1">
        <v>45627</v>
      </c>
      <c r="G16" t="s">
        <v>15</v>
      </c>
      <c r="H16">
        <v>21</v>
      </c>
    </row>
    <row r="17" spans="1:8" x14ac:dyDescent="0.3">
      <c r="A17" s="1">
        <v>45647</v>
      </c>
      <c r="B17" t="s">
        <v>8</v>
      </c>
      <c r="C17">
        <v>1</v>
      </c>
      <c r="D17" s="1">
        <v>45647</v>
      </c>
      <c r="E17" t="s">
        <v>9</v>
      </c>
      <c r="F17" s="1">
        <v>45627</v>
      </c>
      <c r="G17" t="s">
        <v>15</v>
      </c>
      <c r="H17">
        <v>21</v>
      </c>
    </row>
    <row r="18" spans="1:8" x14ac:dyDescent="0.3">
      <c r="A18" s="1">
        <v>45648</v>
      </c>
      <c r="B18" t="s">
        <v>16</v>
      </c>
      <c r="C18">
        <v>1</v>
      </c>
      <c r="D18" s="1">
        <v>45648</v>
      </c>
      <c r="E18" t="s">
        <v>17</v>
      </c>
      <c r="F18" s="1">
        <v>45627</v>
      </c>
      <c r="G18" t="s">
        <v>15</v>
      </c>
      <c r="H18">
        <v>22</v>
      </c>
    </row>
    <row r="19" spans="1:8" x14ac:dyDescent="0.3">
      <c r="A19" s="1">
        <v>45649</v>
      </c>
      <c r="B19" t="s">
        <v>11</v>
      </c>
      <c r="C19">
        <v>1</v>
      </c>
      <c r="D19" s="1">
        <v>45649</v>
      </c>
      <c r="E19" t="s">
        <v>12</v>
      </c>
      <c r="F19" s="1">
        <v>45627</v>
      </c>
      <c r="G19" t="s">
        <v>15</v>
      </c>
      <c r="H19">
        <v>23</v>
      </c>
    </row>
    <row r="20" spans="1:8" x14ac:dyDescent="0.3">
      <c r="A20" s="1">
        <v>45650</v>
      </c>
      <c r="B20" t="s">
        <v>22</v>
      </c>
      <c r="C20">
        <v>1</v>
      </c>
      <c r="D20" s="1">
        <v>45650</v>
      </c>
      <c r="E20" t="s">
        <v>23</v>
      </c>
      <c r="F20" s="1">
        <v>45627</v>
      </c>
      <c r="G20" t="s">
        <v>15</v>
      </c>
      <c r="H20">
        <v>24</v>
      </c>
    </row>
    <row r="21" spans="1:8" x14ac:dyDescent="0.3">
      <c r="A21" s="1">
        <v>45660</v>
      </c>
      <c r="B21" t="s">
        <v>24</v>
      </c>
      <c r="C21">
        <v>1</v>
      </c>
      <c r="D21" s="1">
        <v>45660</v>
      </c>
      <c r="E21" t="s">
        <v>25</v>
      </c>
      <c r="F21" s="1">
        <v>45658</v>
      </c>
      <c r="G21" t="s">
        <v>26</v>
      </c>
      <c r="H21">
        <v>3</v>
      </c>
    </row>
    <row r="22" spans="1:8" x14ac:dyDescent="0.3">
      <c r="A22" s="1">
        <v>45660</v>
      </c>
      <c r="B22" t="s">
        <v>11</v>
      </c>
      <c r="C22">
        <v>1</v>
      </c>
      <c r="D22" s="1">
        <v>45660</v>
      </c>
      <c r="E22" t="s">
        <v>12</v>
      </c>
      <c r="F22" s="1">
        <v>45658</v>
      </c>
      <c r="G22" t="s">
        <v>26</v>
      </c>
      <c r="H22">
        <v>3</v>
      </c>
    </row>
    <row r="23" spans="1:8" x14ac:dyDescent="0.3">
      <c r="A23" s="1">
        <v>45662</v>
      </c>
      <c r="B23" t="s">
        <v>22</v>
      </c>
      <c r="C23">
        <v>1</v>
      </c>
      <c r="D23" s="1">
        <v>45662</v>
      </c>
      <c r="E23" t="s">
        <v>23</v>
      </c>
      <c r="F23" s="1">
        <v>45658</v>
      </c>
      <c r="G23" t="s">
        <v>26</v>
      </c>
      <c r="H23">
        <v>5</v>
      </c>
    </row>
    <row r="24" spans="1:8" x14ac:dyDescent="0.3">
      <c r="A24" s="1">
        <v>45662</v>
      </c>
      <c r="B24" t="s">
        <v>18</v>
      </c>
      <c r="C24">
        <v>1</v>
      </c>
      <c r="D24" s="1">
        <v>45662</v>
      </c>
      <c r="E24" t="s">
        <v>19</v>
      </c>
      <c r="F24" s="1">
        <v>45658</v>
      </c>
      <c r="G24" t="s">
        <v>26</v>
      </c>
      <c r="H24">
        <v>5</v>
      </c>
    </row>
    <row r="25" spans="1:8" x14ac:dyDescent="0.3">
      <c r="A25" s="1">
        <v>45663</v>
      </c>
      <c r="B25" t="s">
        <v>11</v>
      </c>
      <c r="C25">
        <v>1</v>
      </c>
      <c r="D25" s="1">
        <v>45663</v>
      </c>
      <c r="E25" t="s">
        <v>12</v>
      </c>
      <c r="F25" s="1">
        <v>45658</v>
      </c>
      <c r="G25" t="s">
        <v>26</v>
      </c>
      <c r="H25">
        <v>6</v>
      </c>
    </row>
    <row r="26" spans="1:8" x14ac:dyDescent="0.3">
      <c r="A26" s="1">
        <v>45663</v>
      </c>
      <c r="B26" t="s">
        <v>27</v>
      </c>
      <c r="C26">
        <v>1</v>
      </c>
      <c r="D26" s="1">
        <v>45663</v>
      </c>
      <c r="E26" t="s">
        <v>28</v>
      </c>
      <c r="F26" s="1">
        <v>45658</v>
      </c>
      <c r="G26" t="s">
        <v>26</v>
      </c>
      <c r="H26">
        <v>6</v>
      </c>
    </row>
    <row r="27" spans="1:8" x14ac:dyDescent="0.3">
      <c r="A27" s="1">
        <v>45669</v>
      </c>
      <c r="B27" t="s">
        <v>18</v>
      </c>
      <c r="C27">
        <v>1</v>
      </c>
      <c r="D27" s="1">
        <v>45669</v>
      </c>
      <c r="E27" t="s">
        <v>19</v>
      </c>
      <c r="F27" s="1">
        <v>45658</v>
      </c>
      <c r="G27" t="s">
        <v>26</v>
      </c>
      <c r="H27">
        <v>12</v>
      </c>
    </row>
    <row r="28" spans="1:8" x14ac:dyDescent="0.3">
      <c r="A28" s="1">
        <v>45675</v>
      </c>
      <c r="B28" t="s">
        <v>20</v>
      </c>
      <c r="C28">
        <v>1</v>
      </c>
      <c r="D28" s="1">
        <v>45675</v>
      </c>
      <c r="E28" t="s">
        <v>21</v>
      </c>
      <c r="F28" s="1">
        <v>45658</v>
      </c>
      <c r="G28" t="s">
        <v>26</v>
      </c>
      <c r="H28">
        <v>18</v>
      </c>
    </row>
    <row r="29" spans="1:8" x14ac:dyDescent="0.3">
      <c r="A29" s="1">
        <v>45689</v>
      </c>
      <c r="B29" t="s">
        <v>22</v>
      </c>
      <c r="C29">
        <v>1</v>
      </c>
      <c r="D29" s="1">
        <v>45689</v>
      </c>
      <c r="E29" t="s">
        <v>23</v>
      </c>
      <c r="F29" s="1">
        <v>45689</v>
      </c>
      <c r="G29" t="s">
        <v>29</v>
      </c>
      <c r="H29">
        <v>1</v>
      </c>
    </row>
    <row r="30" spans="1:8" x14ac:dyDescent="0.3">
      <c r="A30" s="1">
        <v>45691</v>
      </c>
      <c r="B30" t="s">
        <v>22</v>
      </c>
      <c r="C30">
        <v>1</v>
      </c>
      <c r="D30" s="1">
        <v>45691</v>
      </c>
      <c r="E30" t="s">
        <v>23</v>
      </c>
      <c r="F30" s="1">
        <v>45689</v>
      </c>
      <c r="G30" t="s">
        <v>29</v>
      </c>
      <c r="H30">
        <v>3</v>
      </c>
    </row>
    <row r="31" spans="1:8" x14ac:dyDescent="0.3">
      <c r="A31" s="1">
        <v>45692</v>
      </c>
      <c r="B31" t="s">
        <v>22</v>
      </c>
      <c r="C31">
        <v>1</v>
      </c>
      <c r="D31" s="1">
        <v>45692</v>
      </c>
      <c r="E31" t="s">
        <v>23</v>
      </c>
      <c r="F31" s="1">
        <v>45689</v>
      </c>
      <c r="G31" t="s">
        <v>29</v>
      </c>
      <c r="H31">
        <v>4</v>
      </c>
    </row>
    <row r="32" spans="1:8" x14ac:dyDescent="0.3">
      <c r="A32" s="1">
        <v>45696</v>
      </c>
      <c r="B32" t="s">
        <v>8</v>
      </c>
      <c r="C32">
        <v>1</v>
      </c>
      <c r="D32" s="1">
        <v>45696</v>
      </c>
      <c r="E32" t="s">
        <v>9</v>
      </c>
      <c r="F32" s="1">
        <v>45689</v>
      </c>
      <c r="G32" t="s">
        <v>29</v>
      </c>
      <c r="H32">
        <v>8</v>
      </c>
    </row>
    <row r="33" spans="1:8" x14ac:dyDescent="0.3">
      <c r="A33" s="1">
        <v>45697</v>
      </c>
      <c r="B33" t="s">
        <v>22</v>
      </c>
      <c r="C33">
        <v>2</v>
      </c>
      <c r="D33" s="1">
        <v>45697</v>
      </c>
      <c r="E33" t="s">
        <v>23</v>
      </c>
      <c r="F33" s="1">
        <v>45689</v>
      </c>
      <c r="G33" t="s">
        <v>29</v>
      </c>
      <c r="H33">
        <v>9</v>
      </c>
    </row>
    <row r="34" spans="1:8" x14ac:dyDescent="0.3">
      <c r="A34" s="1">
        <v>45697</v>
      </c>
      <c r="B34" t="s">
        <v>11</v>
      </c>
      <c r="C34">
        <v>1</v>
      </c>
      <c r="D34" s="1">
        <v>45697</v>
      </c>
      <c r="E34" t="s">
        <v>12</v>
      </c>
      <c r="F34" s="1">
        <v>45689</v>
      </c>
      <c r="G34" t="s">
        <v>29</v>
      </c>
      <c r="H34">
        <v>9</v>
      </c>
    </row>
    <row r="35" spans="1:8" x14ac:dyDescent="0.3">
      <c r="A35" s="1">
        <v>45698</v>
      </c>
      <c r="B35" t="s">
        <v>24</v>
      </c>
      <c r="C35">
        <v>2</v>
      </c>
      <c r="D35" s="1">
        <v>45698</v>
      </c>
      <c r="E35" t="s">
        <v>25</v>
      </c>
      <c r="F35" s="1">
        <v>45689</v>
      </c>
      <c r="G35" t="s">
        <v>29</v>
      </c>
      <c r="H35">
        <v>10</v>
      </c>
    </row>
    <row r="36" spans="1:8" x14ac:dyDescent="0.3">
      <c r="A36" s="1">
        <v>45698</v>
      </c>
      <c r="B36" t="s">
        <v>18</v>
      </c>
      <c r="C36">
        <v>1</v>
      </c>
      <c r="D36" s="1">
        <v>45698</v>
      </c>
      <c r="E36" t="s">
        <v>19</v>
      </c>
      <c r="F36" s="1">
        <v>45689</v>
      </c>
      <c r="G36" t="s">
        <v>29</v>
      </c>
      <c r="H36">
        <v>10</v>
      </c>
    </row>
    <row r="37" spans="1:8" x14ac:dyDescent="0.3">
      <c r="A37" s="1">
        <v>45700</v>
      </c>
      <c r="B37" t="s">
        <v>30</v>
      </c>
      <c r="C37">
        <v>1</v>
      </c>
      <c r="D37" s="1">
        <v>45700</v>
      </c>
      <c r="E37" t="s">
        <v>31</v>
      </c>
      <c r="F37" s="1">
        <v>45689</v>
      </c>
      <c r="G37" t="s">
        <v>29</v>
      </c>
      <c r="H37">
        <v>12</v>
      </c>
    </row>
    <row r="38" spans="1:8" x14ac:dyDescent="0.3">
      <c r="A38" s="1">
        <v>45700</v>
      </c>
      <c r="B38" t="s">
        <v>11</v>
      </c>
      <c r="C38">
        <v>1</v>
      </c>
      <c r="D38" s="1">
        <v>45700</v>
      </c>
      <c r="E38" t="s">
        <v>12</v>
      </c>
      <c r="F38" s="1">
        <v>45689</v>
      </c>
      <c r="G38" t="s">
        <v>29</v>
      </c>
      <c r="H38">
        <v>12</v>
      </c>
    </row>
    <row r="39" spans="1:8" x14ac:dyDescent="0.3">
      <c r="A39" s="1">
        <v>45700</v>
      </c>
      <c r="B39" t="s">
        <v>32</v>
      </c>
      <c r="C39">
        <v>1</v>
      </c>
      <c r="D39" s="1">
        <v>45700</v>
      </c>
      <c r="E39" t="s">
        <v>33</v>
      </c>
      <c r="F39" s="1">
        <v>45689</v>
      </c>
      <c r="G39" t="s">
        <v>29</v>
      </c>
      <c r="H39">
        <v>12</v>
      </c>
    </row>
    <row r="40" spans="1:8" x14ac:dyDescent="0.3">
      <c r="A40" s="1">
        <v>45700</v>
      </c>
      <c r="B40" t="s">
        <v>16</v>
      </c>
      <c r="C40">
        <v>1</v>
      </c>
      <c r="D40" s="1">
        <v>45700</v>
      </c>
      <c r="E40" t="s">
        <v>17</v>
      </c>
      <c r="F40" s="1">
        <v>45689</v>
      </c>
      <c r="G40" t="s">
        <v>29</v>
      </c>
      <c r="H40">
        <v>12</v>
      </c>
    </row>
    <row r="41" spans="1:8" x14ac:dyDescent="0.3">
      <c r="A41" s="1">
        <v>45701</v>
      </c>
      <c r="B41" t="s">
        <v>34</v>
      </c>
      <c r="C41">
        <v>1</v>
      </c>
      <c r="D41" s="1">
        <v>45701</v>
      </c>
      <c r="E41" t="s">
        <v>35</v>
      </c>
      <c r="F41" s="1">
        <v>45689</v>
      </c>
      <c r="G41" t="s">
        <v>29</v>
      </c>
      <c r="H41">
        <v>13</v>
      </c>
    </row>
    <row r="42" spans="1:8" x14ac:dyDescent="0.3">
      <c r="A42" s="1">
        <v>45701</v>
      </c>
      <c r="B42" t="s">
        <v>36</v>
      </c>
      <c r="C42">
        <v>1</v>
      </c>
      <c r="D42" s="1">
        <v>45701</v>
      </c>
      <c r="E42" t="s">
        <v>37</v>
      </c>
      <c r="F42" s="1">
        <v>45689</v>
      </c>
      <c r="G42" t="s">
        <v>29</v>
      </c>
      <c r="H42">
        <v>13</v>
      </c>
    </row>
    <row r="43" spans="1:8" x14ac:dyDescent="0.3">
      <c r="A43" s="1">
        <v>45701</v>
      </c>
      <c r="B43" t="s">
        <v>11</v>
      </c>
      <c r="C43">
        <v>1</v>
      </c>
      <c r="D43" s="1">
        <v>45701</v>
      </c>
      <c r="E43" t="s">
        <v>12</v>
      </c>
      <c r="F43" s="1">
        <v>45689</v>
      </c>
      <c r="G43" t="s">
        <v>29</v>
      </c>
      <c r="H43">
        <v>13</v>
      </c>
    </row>
    <row r="44" spans="1:8" x14ac:dyDescent="0.3">
      <c r="A44" s="1">
        <v>45702</v>
      </c>
      <c r="B44" t="s">
        <v>18</v>
      </c>
      <c r="C44">
        <v>1</v>
      </c>
      <c r="D44" s="1">
        <v>45702</v>
      </c>
      <c r="E44" t="s">
        <v>19</v>
      </c>
      <c r="F44" s="1">
        <v>45689</v>
      </c>
      <c r="G44" t="s">
        <v>29</v>
      </c>
      <c r="H44">
        <v>14</v>
      </c>
    </row>
    <row r="45" spans="1:8" x14ac:dyDescent="0.3">
      <c r="A45" s="1">
        <v>45703</v>
      </c>
      <c r="B45" t="s">
        <v>38</v>
      </c>
      <c r="C45">
        <v>1</v>
      </c>
      <c r="D45" s="1">
        <v>45703</v>
      </c>
      <c r="E45" t="s">
        <v>39</v>
      </c>
      <c r="F45" s="1">
        <v>45689</v>
      </c>
      <c r="G45" t="s">
        <v>29</v>
      </c>
      <c r="H45">
        <v>15</v>
      </c>
    </row>
    <row r="46" spans="1:8" x14ac:dyDescent="0.3">
      <c r="A46" s="1">
        <v>45703</v>
      </c>
      <c r="B46" t="s">
        <v>11</v>
      </c>
      <c r="C46">
        <v>1</v>
      </c>
      <c r="D46" s="1">
        <v>45703</v>
      </c>
      <c r="E46" t="s">
        <v>12</v>
      </c>
      <c r="F46" s="1">
        <v>45689</v>
      </c>
      <c r="G46" t="s">
        <v>29</v>
      </c>
      <c r="H46">
        <v>15</v>
      </c>
    </row>
    <row r="47" spans="1:8" x14ac:dyDescent="0.3">
      <c r="A47" s="1">
        <v>45703</v>
      </c>
      <c r="B47" t="s">
        <v>8</v>
      </c>
      <c r="C47">
        <v>1</v>
      </c>
      <c r="D47" s="1">
        <v>45703</v>
      </c>
      <c r="E47" t="s">
        <v>9</v>
      </c>
      <c r="F47" s="1">
        <v>45689</v>
      </c>
      <c r="G47" t="s">
        <v>29</v>
      </c>
      <c r="H47">
        <v>15</v>
      </c>
    </row>
    <row r="48" spans="1:8" x14ac:dyDescent="0.3">
      <c r="A48" s="1">
        <v>45704</v>
      </c>
      <c r="B48" t="s">
        <v>22</v>
      </c>
      <c r="C48">
        <v>2</v>
      </c>
      <c r="D48" s="1">
        <v>45704</v>
      </c>
      <c r="E48" t="s">
        <v>23</v>
      </c>
      <c r="F48" s="1">
        <v>45689</v>
      </c>
      <c r="G48" t="s">
        <v>29</v>
      </c>
      <c r="H48">
        <v>16</v>
      </c>
    </row>
    <row r="49" spans="1:8" x14ac:dyDescent="0.3">
      <c r="A49" s="1">
        <v>45704</v>
      </c>
      <c r="B49" t="s">
        <v>24</v>
      </c>
      <c r="C49">
        <v>1</v>
      </c>
      <c r="D49" s="1">
        <v>45704</v>
      </c>
      <c r="E49" t="s">
        <v>25</v>
      </c>
      <c r="F49" s="1">
        <v>45689</v>
      </c>
      <c r="G49" t="s">
        <v>29</v>
      </c>
      <c r="H49">
        <v>16</v>
      </c>
    </row>
    <row r="50" spans="1:8" x14ac:dyDescent="0.3">
      <c r="A50" s="1">
        <v>45704</v>
      </c>
      <c r="B50" t="s">
        <v>30</v>
      </c>
      <c r="C50">
        <v>1</v>
      </c>
      <c r="D50" s="1">
        <v>45704</v>
      </c>
      <c r="E50" t="s">
        <v>31</v>
      </c>
      <c r="F50" s="1">
        <v>45689</v>
      </c>
      <c r="G50" t="s">
        <v>29</v>
      </c>
      <c r="H50">
        <v>16</v>
      </c>
    </row>
    <row r="51" spans="1:8" x14ac:dyDescent="0.3">
      <c r="A51" s="1">
        <v>45704</v>
      </c>
      <c r="B51" t="s">
        <v>34</v>
      </c>
      <c r="C51">
        <v>2</v>
      </c>
      <c r="D51" s="1">
        <v>45704</v>
      </c>
      <c r="E51" t="s">
        <v>35</v>
      </c>
      <c r="F51" s="1">
        <v>45689</v>
      </c>
      <c r="G51" t="s">
        <v>29</v>
      </c>
      <c r="H51">
        <v>16</v>
      </c>
    </row>
    <row r="52" spans="1:8" x14ac:dyDescent="0.3">
      <c r="A52" s="1">
        <v>45704</v>
      </c>
      <c r="B52" t="s">
        <v>38</v>
      </c>
      <c r="C52">
        <v>1</v>
      </c>
      <c r="D52" s="1">
        <v>45704</v>
      </c>
      <c r="E52" t="s">
        <v>39</v>
      </c>
      <c r="F52" s="1">
        <v>45689</v>
      </c>
      <c r="G52" t="s">
        <v>29</v>
      </c>
      <c r="H52">
        <v>16</v>
      </c>
    </row>
    <row r="53" spans="1:8" x14ac:dyDescent="0.3">
      <c r="A53" s="1">
        <v>45704</v>
      </c>
      <c r="B53" t="s">
        <v>36</v>
      </c>
      <c r="C53">
        <v>2</v>
      </c>
      <c r="D53" s="1">
        <v>45704</v>
      </c>
      <c r="E53" t="s">
        <v>37</v>
      </c>
      <c r="F53" s="1">
        <v>45689</v>
      </c>
      <c r="G53" t="s">
        <v>29</v>
      </c>
      <c r="H53">
        <v>16</v>
      </c>
    </row>
    <row r="54" spans="1:8" x14ac:dyDescent="0.3">
      <c r="A54" s="1">
        <v>45704</v>
      </c>
      <c r="B54" t="s">
        <v>11</v>
      </c>
      <c r="C54">
        <v>1</v>
      </c>
      <c r="D54" s="1">
        <v>45704</v>
      </c>
      <c r="E54" t="s">
        <v>12</v>
      </c>
      <c r="F54" s="1">
        <v>45689</v>
      </c>
      <c r="G54" t="s">
        <v>29</v>
      </c>
      <c r="H54">
        <v>16</v>
      </c>
    </row>
    <row r="55" spans="1:8" x14ac:dyDescent="0.3">
      <c r="A55" s="1">
        <v>45704</v>
      </c>
      <c r="B55" t="s">
        <v>8</v>
      </c>
      <c r="C55">
        <v>1</v>
      </c>
      <c r="D55" s="1">
        <v>45704</v>
      </c>
      <c r="E55" t="s">
        <v>9</v>
      </c>
      <c r="F55" s="1">
        <v>45689</v>
      </c>
      <c r="G55" t="s">
        <v>29</v>
      </c>
      <c r="H55">
        <v>16</v>
      </c>
    </row>
    <row r="56" spans="1:8" x14ac:dyDescent="0.3">
      <c r="A56" s="1">
        <v>45705</v>
      </c>
      <c r="B56" t="s">
        <v>24</v>
      </c>
      <c r="C56">
        <v>1</v>
      </c>
      <c r="D56" s="1">
        <v>45705</v>
      </c>
      <c r="E56" t="s">
        <v>25</v>
      </c>
      <c r="F56" s="1">
        <v>45689</v>
      </c>
      <c r="G56" t="s">
        <v>29</v>
      </c>
      <c r="H56">
        <v>17</v>
      </c>
    </row>
    <row r="57" spans="1:8" x14ac:dyDescent="0.3">
      <c r="A57" s="1">
        <v>45705</v>
      </c>
      <c r="B57" t="s">
        <v>18</v>
      </c>
      <c r="C57">
        <v>2</v>
      </c>
      <c r="D57" s="1">
        <v>45705</v>
      </c>
      <c r="E57" t="s">
        <v>19</v>
      </c>
      <c r="F57" s="1">
        <v>45689</v>
      </c>
      <c r="G57" t="s">
        <v>29</v>
      </c>
      <c r="H57">
        <v>17</v>
      </c>
    </row>
    <row r="58" spans="1:8" x14ac:dyDescent="0.3">
      <c r="A58" s="1">
        <v>45708</v>
      </c>
      <c r="B58" t="s">
        <v>24</v>
      </c>
      <c r="C58">
        <v>1</v>
      </c>
      <c r="D58" s="1">
        <v>45708</v>
      </c>
      <c r="E58" t="s">
        <v>25</v>
      </c>
      <c r="F58" s="1">
        <v>45689</v>
      </c>
      <c r="G58" t="s">
        <v>29</v>
      </c>
      <c r="H58">
        <v>20</v>
      </c>
    </row>
    <row r="59" spans="1:8" x14ac:dyDescent="0.3">
      <c r="A59" s="1">
        <v>45708</v>
      </c>
      <c r="B59" t="s">
        <v>20</v>
      </c>
      <c r="C59">
        <v>1</v>
      </c>
      <c r="D59" s="1">
        <v>45708</v>
      </c>
      <c r="E59" t="s">
        <v>21</v>
      </c>
      <c r="F59" s="1">
        <v>45689</v>
      </c>
      <c r="G59" t="s">
        <v>29</v>
      </c>
      <c r="H59">
        <v>20</v>
      </c>
    </row>
    <row r="60" spans="1:8" x14ac:dyDescent="0.3">
      <c r="A60" s="1">
        <v>45708</v>
      </c>
      <c r="B60" t="s">
        <v>32</v>
      </c>
      <c r="C60">
        <v>1</v>
      </c>
      <c r="D60" s="1">
        <v>45708</v>
      </c>
      <c r="E60" t="s">
        <v>33</v>
      </c>
      <c r="F60" s="1">
        <v>45689</v>
      </c>
      <c r="G60" t="s">
        <v>29</v>
      </c>
      <c r="H60">
        <v>20</v>
      </c>
    </row>
    <row r="61" spans="1:8" x14ac:dyDescent="0.3">
      <c r="A61" s="1">
        <v>45709</v>
      </c>
      <c r="B61" t="s">
        <v>13</v>
      </c>
      <c r="C61">
        <v>1</v>
      </c>
      <c r="D61" s="1">
        <v>45709</v>
      </c>
      <c r="E61" t="s">
        <v>14</v>
      </c>
      <c r="F61" s="1">
        <v>45689</v>
      </c>
      <c r="G61" t="s">
        <v>29</v>
      </c>
      <c r="H61">
        <v>21</v>
      </c>
    </row>
    <row r="62" spans="1:8" x14ac:dyDescent="0.3">
      <c r="A62" s="1">
        <v>45709</v>
      </c>
      <c r="B62" t="s">
        <v>38</v>
      </c>
      <c r="C62">
        <v>1</v>
      </c>
      <c r="D62" s="1">
        <v>45709</v>
      </c>
      <c r="E62" t="s">
        <v>39</v>
      </c>
      <c r="F62" s="1">
        <v>45689</v>
      </c>
      <c r="G62" t="s">
        <v>29</v>
      </c>
      <c r="H62">
        <v>21</v>
      </c>
    </row>
    <row r="63" spans="1:8" x14ac:dyDescent="0.3">
      <c r="A63" s="1">
        <v>45709</v>
      </c>
      <c r="B63" t="s">
        <v>32</v>
      </c>
      <c r="C63">
        <v>1</v>
      </c>
      <c r="D63" s="1">
        <v>45709</v>
      </c>
      <c r="E63" t="s">
        <v>33</v>
      </c>
      <c r="F63" s="1">
        <v>45689</v>
      </c>
      <c r="G63" t="s">
        <v>29</v>
      </c>
      <c r="H63">
        <v>21</v>
      </c>
    </row>
    <row r="64" spans="1:8" x14ac:dyDescent="0.3">
      <c r="A64" s="1">
        <v>45709</v>
      </c>
      <c r="B64" t="s">
        <v>8</v>
      </c>
      <c r="C64">
        <v>1</v>
      </c>
      <c r="D64" s="1">
        <v>45709</v>
      </c>
      <c r="E64" t="s">
        <v>9</v>
      </c>
      <c r="F64" s="1">
        <v>45689</v>
      </c>
      <c r="G64" t="s">
        <v>29</v>
      </c>
      <c r="H64">
        <v>21</v>
      </c>
    </row>
    <row r="65" spans="1:8" x14ac:dyDescent="0.3">
      <c r="A65" s="1">
        <v>45709</v>
      </c>
      <c r="B65" t="s">
        <v>18</v>
      </c>
      <c r="C65">
        <v>1</v>
      </c>
      <c r="D65" s="1">
        <v>45709</v>
      </c>
      <c r="E65" t="s">
        <v>19</v>
      </c>
      <c r="F65" s="1">
        <v>45689</v>
      </c>
      <c r="G65" t="s">
        <v>29</v>
      </c>
      <c r="H65">
        <v>21</v>
      </c>
    </row>
    <row r="66" spans="1:8" x14ac:dyDescent="0.3">
      <c r="A66" s="1">
        <v>45710</v>
      </c>
      <c r="B66" t="s">
        <v>11</v>
      </c>
      <c r="C66">
        <v>2</v>
      </c>
      <c r="D66" s="1">
        <v>45710</v>
      </c>
      <c r="E66" t="s">
        <v>12</v>
      </c>
      <c r="F66" s="1">
        <v>45689</v>
      </c>
      <c r="G66" t="s">
        <v>29</v>
      </c>
      <c r="H66">
        <v>22</v>
      </c>
    </row>
    <row r="67" spans="1:8" x14ac:dyDescent="0.3">
      <c r="A67" s="1">
        <v>45711</v>
      </c>
      <c r="B67" t="s">
        <v>24</v>
      </c>
      <c r="C67">
        <v>2</v>
      </c>
      <c r="D67" s="1">
        <v>45711</v>
      </c>
      <c r="E67" t="s">
        <v>25</v>
      </c>
      <c r="F67" s="1">
        <v>45689</v>
      </c>
      <c r="G67" t="s">
        <v>29</v>
      </c>
      <c r="H67">
        <v>23</v>
      </c>
    </row>
    <row r="68" spans="1:8" x14ac:dyDescent="0.3">
      <c r="A68" s="1">
        <v>45711</v>
      </c>
      <c r="B68" t="s">
        <v>30</v>
      </c>
      <c r="C68">
        <v>1</v>
      </c>
      <c r="D68" s="1">
        <v>45711</v>
      </c>
      <c r="E68" t="s">
        <v>31</v>
      </c>
      <c r="F68" s="1">
        <v>45689</v>
      </c>
      <c r="G68" t="s">
        <v>29</v>
      </c>
      <c r="H68">
        <v>23</v>
      </c>
    </row>
    <row r="69" spans="1:8" x14ac:dyDescent="0.3">
      <c r="A69" s="1">
        <v>45711</v>
      </c>
      <c r="B69" t="s">
        <v>20</v>
      </c>
      <c r="C69">
        <v>1</v>
      </c>
      <c r="D69" s="1">
        <v>45711</v>
      </c>
      <c r="E69" t="s">
        <v>21</v>
      </c>
      <c r="F69" s="1">
        <v>45689</v>
      </c>
      <c r="G69" t="s">
        <v>29</v>
      </c>
      <c r="H69">
        <v>23</v>
      </c>
    </row>
    <row r="70" spans="1:8" x14ac:dyDescent="0.3">
      <c r="A70" s="1">
        <v>45711</v>
      </c>
      <c r="B70" t="s">
        <v>11</v>
      </c>
      <c r="C70">
        <v>1</v>
      </c>
      <c r="D70" s="1">
        <v>45711</v>
      </c>
      <c r="E70" t="s">
        <v>12</v>
      </c>
      <c r="F70" s="1">
        <v>45689</v>
      </c>
      <c r="G70" t="s">
        <v>29</v>
      </c>
      <c r="H70">
        <v>23</v>
      </c>
    </row>
    <row r="71" spans="1:8" x14ac:dyDescent="0.3">
      <c r="A71" s="1">
        <v>45711</v>
      </c>
      <c r="B71" t="s">
        <v>16</v>
      </c>
      <c r="C71">
        <v>2</v>
      </c>
      <c r="D71" s="1">
        <v>45711</v>
      </c>
      <c r="E71" t="s">
        <v>17</v>
      </c>
      <c r="F71" s="1">
        <v>45689</v>
      </c>
      <c r="G71" t="s">
        <v>29</v>
      </c>
      <c r="H71">
        <v>23</v>
      </c>
    </row>
    <row r="72" spans="1:8" x14ac:dyDescent="0.3">
      <c r="A72" s="1">
        <v>45711</v>
      </c>
      <c r="B72" t="s">
        <v>18</v>
      </c>
      <c r="C72">
        <v>1</v>
      </c>
      <c r="D72" s="1">
        <v>45711</v>
      </c>
      <c r="E72" t="s">
        <v>19</v>
      </c>
      <c r="F72" s="1">
        <v>45689</v>
      </c>
      <c r="G72" t="s">
        <v>29</v>
      </c>
      <c r="H72">
        <v>23</v>
      </c>
    </row>
    <row r="73" spans="1:8" x14ac:dyDescent="0.3">
      <c r="A73" s="1">
        <v>45712</v>
      </c>
      <c r="B73" t="s">
        <v>30</v>
      </c>
      <c r="C73">
        <v>1</v>
      </c>
      <c r="D73" s="1">
        <v>45712</v>
      </c>
      <c r="E73" t="s">
        <v>31</v>
      </c>
      <c r="F73" s="1">
        <v>45689</v>
      </c>
      <c r="G73" t="s">
        <v>29</v>
      </c>
      <c r="H73">
        <v>24</v>
      </c>
    </row>
    <row r="74" spans="1:8" x14ac:dyDescent="0.3">
      <c r="A74" s="1">
        <v>45712</v>
      </c>
      <c r="B74" t="s">
        <v>20</v>
      </c>
      <c r="C74">
        <v>1</v>
      </c>
      <c r="D74" s="1">
        <v>45712</v>
      </c>
      <c r="E74" t="s">
        <v>21</v>
      </c>
      <c r="F74" s="1">
        <v>45689</v>
      </c>
      <c r="G74" t="s">
        <v>29</v>
      </c>
      <c r="H74">
        <v>24</v>
      </c>
    </row>
    <row r="75" spans="1:8" x14ac:dyDescent="0.3">
      <c r="A75" s="1">
        <v>45713</v>
      </c>
      <c r="B75" t="s">
        <v>24</v>
      </c>
      <c r="C75">
        <v>1</v>
      </c>
      <c r="D75" s="1">
        <v>45713</v>
      </c>
      <c r="E75" t="s">
        <v>25</v>
      </c>
      <c r="F75" s="1">
        <v>45689</v>
      </c>
      <c r="G75" t="s">
        <v>29</v>
      </c>
      <c r="H75">
        <v>25</v>
      </c>
    </row>
    <row r="76" spans="1:8" x14ac:dyDescent="0.3">
      <c r="A76" s="1">
        <v>45713</v>
      </c>
      <c r="B76" t="s">
        <v>34</v>
      </c>
      <c r="C76">
        <v>1</v>
      </c>
      <c r="D76" s="1">
        <v>45713</v>
      </c>
      <c r="E76" t="s">
        <v>35</v>
      </c>
      <c r="F76" s="1">
        <v>45689</v>
      </c>
      <c r="G76" t="s">
        <v>29</v>
      </c>
      <c r="H76">
        <v>25</v>
      </c>
    </row>
    <row r="77" spans="1:8" x14ac:dyDescent="0.3">
      <c r="A77" s="1">
        <v>45713</v>
      </c>
      <c r="B77" t="s">
        <v>36</v>
      </c>
      <c r="C77">
        <v>1</v>
      </c>
      <c r="D77" s="1">
        <v>45713</v>
      </c>
      <c r="E77" t="s">
        <v>37</v>
      </c>
      <c r="F77" s="1">
        <v>45689</v>
      </c>
      <c r="G77" t="s">
        <v>29</v>
      </c>
      <c r="H77">
        <v>25</v>
      </c>
    </row>
    <row r="78" spans="1:8" x14ac:dyDescent="0.3">
      <c r="A78" s="1">
        <v>45715</v>
      </c>
      <c r="B78" t="s">
        <v>30</v>
      </c>
      <c r="C78">
        <v>1</v>
      </c>
      <c r="D78" s="1">
        <v>45715</v>
      </c>
      <c r="E78" t="s">
        <v>31</v>
      </c>
      <c r="F78" s="1">
        <v>45689</v>
      </c>
      <c r="G78" t="s">
        <v>29</v>
      </c>
      <c r="H78">
        <v>27</v>
      </c>
    </row>
    <row r="79" spans="1:8" x14ac:dyDescent="0.3">
      <c r="A79" s="1">
        <v>45715</v>
      </c>
      <c r="B79" t="s">
        <v>38</v>
      </c>
      <c r="C79">
        <v>2</v>
      </c>
      <c r="D79" s="1">
        <v>45715</v>
      </c>
      <c r="E79" t="s">
        <v>39</v>
      </c>
      <c r="F79" s="1">
        <v>45689</v>
      </c>
      <c r="G79" t="s">
        <v>29</v>
      </c>
      <c r="H79">
        <v>27</v>
      </c>
    </row>
    <row r="80" spans="1:8" x14ac:dyDescent="0.3">
      <c r="A80" s="1">
        <v>45715</v>
      </c>
      <c r="B80" t="s">
        <v>11</v>
      </c>
      <c r="C80">
        <v>1</v>
      </c>
      <c r="D80" s="1">
        <v>45715</v>
      </c>
      <c r="E80" t="s">
        <v>12</v>
      </c>
      <c r="F80" s="1">
        <v>45689</v>
      </c>
      <c r="G80" t="s">
        <v>29</v>
      </c>
      <c r="H80">
        <v>27</v>
      </c>
    </row>
    <row r="81" spans="1:8" x14ac:dyDescent="0.3">
      <c r="A81" s="1">
        <v>45715</v>
      </c>
      <c r="B81" t="s">
        <v>8</v>
      </c>
      <c r="C81">
        <v>1</v>
      </c>
      <c r="D81" s="1">
        <v>45715</v>
      </c>
      <c r="E81" t="s">
        <v>9</v>
      </c>
      <c r="F81" s="1">
        <v>45689</v>
      </c>
      <c r="G81" t="s">
        <v>29</v>
      </c>
      <c r="H81">
        <v>27</v>
      </c>
    </row>
    <row r="82" spans="1:8" x14ac:dyDescent="0.3">
      <c r="A82" s="1">
        <v>45715</v>
      </c>
      <c r="B82" t="s">
        <v>16</v>
      </c>
      <c r="C82">
        <v>1</v>
      </c>
      <c r="D82" s="1">
        <v>45715</v>
      </c>
      <c r="E82" t="s">
        <v>17</v>
      </c>
      <c r="F82" s="1">
        <v>45689</v>
      </c>
      <c r="G82" t="s">
        <v>29</v>
      </c>
      <c r="H82">
        <v>27</v>
      </c>
    </row>
    <row r="83" spans="1:8" x14ac:dyDescent="0.3">
      <c r="A83" s="1">
        <v>45718</v>
      </c>
      <c r="B83" t="s">
        <v>8</v>
      </c>
      <c r="C83">
        <v>1</v>
      </c>
      <c r="D83" s="1">
        <v>45718</v>
      </c>
      <c r="E83" t="s">
        <v>9</v>
      </c>
      <c r="F83" s="1">
        <v>45717</v>
      </c>
      <c r="G83" t="s">
        <v>40</v>
      </c>
      <c r="H83">
        <v>2</v>
      </c>
    </row>
    <row r="84" spans="1:8" x14ac:dyDescent="0.3">
      <c r="A84" s="1">
        <v>45719</v>
      </c>
      <c r="B84" t="s">
        <v>36</v>
      </c>
      <c r="C84">
        <v>1</v>
      </c>
      <c r="D84" s="1">
        <v>45719</v>
      </c>
      <c r="E84" t="s">
        <v>37</v>
      </c>
      <c r="F84" s="1">
        <v>45717</v>
      </c>
      <c r="G84" t="s">
        <v>40</v>
      </c>
      <c r="H84">
        <v>3</v>
      </c>
    </row>
    <row r="85" spans="1:8" x14ac:dyDescent="0.3">
      <c r="A85" s="1">
        <v>45719</v>
      </c>
      <c r="B85" t="s">
        <v>32</v>
      </c>
      <c r="C85">
        <v>1</v>
      </c>
      <c r="D85" s="1">
        <v>45719</v>
      </c>
      <c r="E85" t="s">
        <v>33</v>
      </c>
      <c r="F85" s="1">
        <v>45717</v>
      </c>
      <c r="G85" t="s">
        <v>40</v>
      </c>
      <c r="H85">
        <v>3</v>
      </c>
    </row>
    <row r="86" spans="1:8" x14ac:dyDescent="0.3">
      <c r="A86" s="1">
        <v>45719</v>
      </c>
      <c r="B86" t="s">
        <v>16</v>
      </c>
      <c r="C86">
        <v>1</v>
      </c>
      <c r="D86" s="1">
        <v>45719</v>
      </c>
      <c r="E86" t="s">
        <v>17</v>
      </c>
      <c r="F86" s="1">
        <v>45717</v>
      </c>
      <c r="G86" t="s">
        <v>40</v>
      </c>
      <c r="H86">
        <v>3</v>
      </c>
    </row>
    <row r="87" spans="1:8" x14ac:dyDescent="0.3">
      <c r="A87" s="1">
        <v>45720</v>
      </c>
      <c r="B87" t="s">
        <v>24</v>
      </c>
      <c r="C87">
        <v>1</v>
      </c>
      <c r="D87" s="1">
        <v>45720</v>
      </c>
      <c r="E87" t="s">
        <v>25</v>
      </c>
      <c r="F87" s="1">
        <v>45717</v>
      </c>
      <c r="G87" t="s">
        <v>40</v>
      </c>
      <c r="H87">
        <v>4</v>
      </c>
    </row>
    <row r="88" spans="1:8" x14ac:dyDescent="0.3">
      <c r="A88" s="1">
        <v>45720</v>
      </c>
      <c r="B88" t="s">
        <v>13</v>
      </c>
      <c r="C88">
        <v>1</v>
      </c>
      <c r="D88" s="1">
        <v>45720</v>
      </c>
      <c r="E88" t="s">
        <v>14</v>
      </c>
      <c r="F88" s="1">
        <v>45717</v>
      </c>
      <c r="G88" t="s">
        <v>40</v>
      </c>
      <c r="H88">
        <v>4</v>
      </c>
    </row>
    <row r="89" spans="1:8" x14ac:dyDescent="0.3">
      <c r="A89" s="1">
        <v>45720</v>
      </c>
      <c r="B89" t="s">
        <v>38</v>
      </c>
      <c r="C89">
        <v>1</v>
      </c>
      <c r="D89" s="1">
        <v>45720</v>
      </c>
      <c r="E89" t="s">
        <v>39</v>
      </c>
      <c r="F89" s="1">
        <v>45717</v>
      </c>
      <c r="G89" t="s">
        <v>40</v>
      </c>
      <c r="H89">
        <v>4</v>
      </c>
    </row>
    <row r="90" spans="1:8" x14ac:dyDescent="0.3">
      <c r="A90" s="1">
        <v>45720</v>
      </c>
      <c r="B90" t="s">
        <v>8</v>
      </c>
      <c r="C90">
        <v>1</v>
      </c>
      <c r="D90" s="1">
        <v>45720</v>
      </c>
      <c r="E90" t="s">
        <v>9</v>
      </c>
      <c r="F90" s="1">
        <v>45717</v>
      </c>
      <c r="G90" t="s">
        <v>40</v>
      </c>
      <c r="H90">
        <v>4</v>
      </c>
    </row>
    <row r="91" spans="1:8" x14ac:dyDescent="0.3">
      <c r="A91" s="1">
        <v>45720</v>
      </c>
      <c r="B91" t="s">
        <v>16</v>
      </c>
      <c r="C91">
        <v>1</v>
      </c>
      <c r="D91" s="1">
        <v>45720</v>
      </c>
      <c r="E91" t="s">
        <v>17</v>
      </c>
      <c r="F91" s="1">
        <v>45717</v>
      </c>
      <c r="G91" t="s">
        <v>40</v>
      </c>
      <c r="H91">
        <v>4</v>
      </c>
    </row>
    <row r="92" spans="1:8" x14ac:dyDescent="0.3">
      <c r="A92" s="1">
        <v>45722</v>
      </c>
      <c r="B92" t="s">
        <v>11</v>
      </c>
      <c r="C92">
        <v>1</v>
      </c>
      <c r="D92" s="1">
        <v>45722</v>
      </c>
      <c r="E92" t="s">
        <v>12</v>
      </c>
      <c r="F92" s="1">
        <v>45717</v>
      </c>
      <c r="G92" t="s">
        <v>40</v>
      </c>
      <c r="H92">
        <v>6</v>
      </c>
    </row>
    <row r="93" spans="1:8" x14ac:dyDescent="0.3">
      <c r="A93" s="1">
        <v>45723</v>
      </c>
      <c r="B93" t="s">
        <v>24</v>
      </c>
      <c r="C93">
        <v>1</v>
      </c>
      <c r="D93" s="1">
        <v>45723</v>
      </c>
      <c r="E93" t="s">
        <v>25</v>
      </c>
      <c r="F93" s="1">
        <v>45717</v>
      </c>
      <c r="G93" t="s">
        <v>40</v>
      </c>
      <c r="H93">
        <v>7</v>
      </c>
    </row>
    <row r="94" spans="1:8" x14ac:dyDescent="0.3">
      <c r="A94" s="1">
        <v>45723</v>
      </c>
      <c r="B94" t="s">
        <v>13</v>
      </c>
      <c r="C94">
        <v>1</v>
      </c>
      <c r="D94" s="1">
        <v>45723</v>
      </c>
      <c r="E94" t="s">
        <v>14</v>
      </c>
      <c r="F94" s="1">
        <v>45717</v>
      </c>
      <c r="G94" t="s">
        <v>40</v>
      </c>
      <c r="H94">
        <v>7</v>
      </c>
    </row>
    <row r="95" spans="1:8" x14ac:dyDescent="0.3">
      <c r="A95" s="1">
        <v>45723</v>
      </c>
      <c r="B95" t="s">
        <v>41</v>
      </c>
      <c r="C95">
        <v>1</v>
      </c>
      <c r="D95" s="1">
        <v>45723</v>
      </c>
      <c r="E95" t="s">
        <v>42</v>
      </c>
      <c r="F95" s="1">
        <v>45717</v>
      </c>
      <c r="G95" t="s">
        <v>40</v>
      </c>
      <c r="H95">
        <v>7</v>
      </c>
    </row>
    <row r="96" spans="1:8" x14ac:dyDescent="0.3">
      <c r="A96" s="1">
        <v>45724</v>
      </c>
      <c r="B96" t="s">
        <v>30</v>
      </c>
      <c r="C96">
        <v>1</v>
      </c>
      <c r="D96" s="1">
        <v>45724</v>
      </c>
      <c r="E96" t="s">
        <v>31</v>
      </c>
      <c r="F96" s="1">
        <v>45717</v>
      </c>
      <c r="G96" t="s">
        <v>40</v>
      </c>
      <c r="H96">
        <v>8</v>
      </c>
    </row>
    <row r="97" spans="1:8" x14ac:dyDescent="0.3">
      <c r="A97" s="1">
        <v>45724</v>
      </c>
      <c r="B97" t="s">
        <v>11</v>
      </c>
      <c r="C97">
        <v>1</v>
      </c>
      <c r="D97" s="1">
        <v>45724</v>
      </c>
      <c r="E97" t="s">
        <v>12</v>
      </c>
      <c r="F97" s="1">
        <v>45717</v>
      </c>
      <c r="G97" t="s">
        <v>40</v>
      </c>
      <c r="H97">
        <v>8</v>
      </c>
    </row>
    <row r="98" spans="1:8" x14ac:dyDescent="0.3">
      <c r="A98" s="1">
        <v>45724</v>
      </c>
      <c r="B98" t="s">
        <v>27</v>
      </c>
      <c r="C98">
        <v>1</v>
      </c>
      <c r="D98" s="1">
        <v>45724</v>
      </c>
      <c r="E98" t="s">
        <v>28</v>
      </c>
      <c r="F98" s="1">
        <v>45717</v>
      </c>
      <c r="G98" t="s">
        <v>40</v>
      </c>
      <c r="H98">
        <v>8</v>
      </c>
    </row>
    <row r="99" spans="1:8" x14ac:dyDescent="0.3">
      <c r="A99" s="1">
        <v>45726</v>
      </c>
      <c r="B99" t="s">
        <v>30</v>
      </c>
      <c r="C99">
        <v>1</v>
      </c>
      <c r="D99" s="1">
        <v>45726</v>
      </c>
      <c r="E99" t="s">
        <v>31</v>
      </c>
      <c r="F99" s="1">
        <v>45717</v>
      </c>
      <c r="G99" t="s">
        <v>40</v>
      </c>
      <c r="H99">
        <v>10</v>
      </c>
    </row>
    <row r="100" spans="1:8" x14ac:dyDescent="0.3">
      <c r="A100" s="1">
        <v>45726</v>
      </c>
      <c r="B100" t="s">
        <v>38</v>
      </c>
      <c r="C100">
        <v>1</v>
      </c>
      <c r="D100" s="1">
        <v>45726</v>
      </c>
      <c r="E100" t="s">
        <v>39</v>
      </c>
      <c r="F100" s="1">
        <v>45717</v>
      </c>
      <c r="G100" t="s">
        <v>40</v>
      </c>
      <c r="H100">
        <v>10</v>
      </c>
    </row>
    <row r="101" spans="1:8" x14ac:dyDescent="0.3">
      <c r="A101" s="1">
        <v>45726</v>
      </c>
      <c r="B101" t="s">
        <v>36</v>
      </c>
      <c r="C101">
        <v>1</v>
      </c>
      <c r="D101" s="1">
        <v>45726</v>
      </c>
      <c r="E101" t="s">
        <v>37</v>
      </c>
      <c r="F101" s="1">
        <v>45717</v>
      </c>
      <c r="G101" t="s">
        <v>40</v>
      </c>
      <c r="H101">
        <v>10</v>
      </c>
    </row>
    <row r="102" spans="1:8" x14ac:dyDescent="0.3">
      <c r="A102" s="1">
        <v>45726</v>
      </c>
      <c r="B102" t="s">
        <v>11</v>
      </c>
      <c r="C102">
        <v>1</v>
      </c>
      <c r="D102" s="1">
        <v>45726</v>
      </c>
      <c r="E102" t="s">
        <v>12</v>
      </c>
      <c r="F102" s="1">
        <v>45717</v>
      </c>
      <c r="G102" t="s">
        <v>40</v>
      </c>
      <c r="H102">
        <v>10</v>
      </c>
    </row>
    <row r="103" spans="1:8" x14ac:dyDescent="0.3">
      <c r="A103" s="1">
        <v>45727</v>
      </c>
      <c r="B103" t="s">
        <v>38</v>
      </c>
      <c r="C103">
        <v>1</v>
      </c>
      <c r="D103" s="1">
        <v>45727</v>
      </c>
      <c r="E103" t="s">
        <v>39</v>
      </c>
      <c r="F103" s="1">
        <v>45717</v>
      </c>
      <c r="G103" t="s">
        <v>40</v>
      </c>
      <c r="H103">
        <v>11</v>
      </c>
    </row>
    <row r="104" spans="1:8" x14ac:dyDescent="0.3">
      <c r="A104" s="1">
        <v>45728</v>
      </c>
      <c r="B104" t="s">
        <v>38</v>
      </c>
      <c r="C104">
        <v>1</v>
      </c>
      <c r="D104" s="1">
        <v>45728</v>
      </c>
      <c r="E104" t="s">
        <v>39</v>
      </c>
      <c r="F104" s="1">
        <v>45717</v>
      </c>
      <c r="G104" t="s">
        <v>40</v>
      </c>
      <c r="H104">
        <v>12</v>
      </c>
    </row>
    <row r="105" spans="1:8" x14ac:dyDescent="0.3">
      <c r="A105" s="1">
        <v>45728</v>
      </c>
      <c r="B105" t="s">
        <v>16</v>
      </c>
      <c r="C105">
        <v>2</v>
      </c>
      <c r="D105" s="1">
        <v>45728</v>
      </c>
      <c r="E105" t="s">
        <v>17</v>
      </c>
      <c r="F105" s="1">
        <v>45717</v>
      </c>
      <c r="G105" t="s">
        <v>40</v>
      </c>
      <c r="H105">
        <v>12</v>
      </c>
    </row>
    <row r="106" spans="1:8" x14ac:dyDescent="0.3">
      <c r="A106" s="1">
        <v>45730</v>
      </c>
      <c r="B106" t="s">
        <v>24</v>
      </c>
      <c r="C106">
        <v>1</v>
      </c>
      <c r="D106" s="1">
        <v>45730</v>
      </c>
      <c r="E106" t="s">
        <v>25</v>
      </c>
      <c r="F106" s="1">
        <v>45717</v>
      </c>
      <c r="G106" t="s">
        <v>40</v>
      </c>
      <c r="H106">
        <v>14</v>
      </c>
    </row>
    <row r="107" spans="1:8" x14ac:dyDescent="0.3">
      <c r="A107" s="1">
        <v>45730</v>
      </c>
      <c r="B107" t="s">
        <v>13</v>
      </c>
      <c r="C107">
        <v>1</v>
      </c>
      <c r="D107" s="1">
        <v>45730</v>
      </c>
      <c r="E107" t="s">
        <v>14</v>
      </c>
      <c r="F107" s="1">
        <v>45717</v>
      </c>
      <c r="G107" t="s">
        <v>40</v>
      </c>
      <c r="H107">
        <v>14</v>
      </c>
    </row>
    <row r="108" spans="1:8" x14ac:dyDescent="0.3">
      <c r="A108" s="1">
        <v>45730</v>
      </c>
      <c r="B108" t="s">
        <v>36</v>
      </c>
      <c r="C108">
        <v>1</v>
      </c>
      <c r="D108" s="1">
        <v>45730</v>
      </c>
      <c r="E108" t="s">
        <v>37</v>
      </c>
      <c r="F108" s="1">
        <v>45717</v>
      </c>
      <c r="G108" t="s">
        <v>40</v>
      </c>
      <c r="H108">
        <v>14</v>
      </c>
    </row>
    <row r="109" spans="1:8" x14ac:dyDescent="0.3">
      <c r="A109" s="1">
        <v>45730</v>
      </c>
      <c r="B109" t="s">
        <v>11</v>
      </c>
      <c r="C109">
        <v>1</v>
      </c>
      <c r="D109" s="1">
        <v>45730</v>
      </c>
      <c r="E109" t="s">
        <v>12</v>
      </c>
      <c r="F109" s="1">
        <v>45717</v>
      </c>
      <c r="G109" t="s">
        <v>40</v>
      </c>
      <c r="H109">
        <v>14</v>
      </c>
    </row>
    <row r="110" spans="1:8" x14ac:dyDescent="0.3">
      <c r="A110" s="1">
        <v>45730</v>
      </c>
      <c r="B110" t="s">
        <v>32</v>
      </c>
      <c r="C110">
        <v>1</v>
      </c>
      <c r="D110" s="1">
        <v>45730</v>
      </c>
      <c r="E110" t="s">
        <v>33</v>
      </c>
      <c r="F110" s="1">
        <v>45717</v>
      </c>
      <c r="G110" t="s">
        <v>40</v>
      </c>
      <c r="H110">
        <v>14</v>
      </c>
    </row>
    <row r="111" spans="1:8" x14ac:dyDescent="0.3">
      <c r="A111" s="1">
        <v>45730</v>
      </c>
      <c r="B111" t="s">
        <v>16</v>
      </c>
      <c r="C111">
        <v>1</v>
      </c>
      <c r="D111" s="1">
        <v>45730</v>
      </c>
      <c r="E111" t="s">
        <v>17</v>
      </c>
      <c r="F111" s="1">
        <v>45717</v>
      </c>
      <c r="G111" t="s">
        <v>40</v>
      </c>
      <c r="H111">
        <v>14</v>
      </c>
    </row>
    <row r="112" spans="1:8" x14ac:dyDescent="0.3">
      <c r="A112" s="1">
        <v>45731</v>
      </c>
      <c r="B112" t="s">
        <v>30</v>
      </c>
      <c r="C112">
        <v>1</v>
      </c>
      <c r="D112" s="1">
        <v>45731</v>
      </c>
      <c r="E112" t="s">
        <v>31</v>
      </c>
      <c r="F112" s="1">
        <v>45717</v>
      </c>
      <c r="G112" t="s">
        <v>40</v>
      </c>
      <c r="H112">
        <v>15</v>
      </c>
    </row>
    <row r="113" spans="1:8" x14ac:dyDescent="0.3">
      <c r="A113" s="1">
        <v>45731</v>
      </c>
      <c r="B113" t="s">
        <v>11</v>
      </c>
      <c r="C113">
        <v>1</v>
      </c>
      <c r="D113" s="1">
        <v>45731</v>
      </c>
      <c r="E113" t="s">
        <v>12</v>
      </c>
      <c r="F113" s="1">
        <v>45717</v>
      </c>
      <c r="G113" t="s">
        <v>40</v>
      </c>
      <c r="H113">
        <v>15</v>
      </c>
    </row>
    <row r="114" spans="1:8" x14ac:dyDescent="0.3">
      <c r="A114" s="1">
        <v>45732</v>
      </c>
      <c r="B114" t="s">
        <v>43</v>
      </c>
      <c r="C114">
        <v>2</v>
      </c>
      <c r="D114" s="1">
        <v>45732</v>
      </c>
      <c r="E114" t="s">
        <v>44</v>
      </c>
      <c r="F114" s="1">
        <v>45717</v>
      </c>
      <c r="G114" t="s">
        <v>40</v>
      </c>
      <c r="H114">
        <v>16</v>
      </c>
    </row>
    <row r="115" spans="1:8" x14ac:dyDescent="0.3">
      <c r="A115" s="1">
        <v>45736</v>
      </c>
      <c r="B115" t="s">
        <v>30</v>
      </c>
      <c r="C115">
        <v>1</v>
      </c>
      <c r="D115" s="1">
        <v>45736</v>
      </c>
      <c r="E115" t="s">
        <v>31</v>
      </c>
      <c r="F115" s="1">
        <v>45717</v>
      </c>
      <c r="G115" t="s">
        <v>40</v>
      </c>
      <c r="H115">
        <v>20</v>
      </c>
    </row>
    <row r="116" spans="1:8" x14ac:dyDescent="0.3">
      <c r="A116" s="1">
        <v>45736</v>
      </c>
      <c r="B116" t="s">
        <v>20</v>
      </c>
      <c r="C116">
        <v>1</v>
      </c>
      <c r="D116" s="1">
        <v>45736</v>
      </c>
      <c r="E116" t="s">
        <v>21</v>
      </c>
      <c r="F116" s="1">
        <v>45717</v>
      </c>
      <c r="G116" t="s">
        <v>40</v>
      </c>
      <c r="H116">
        <v>20</v>
      </c>
    </row>
    <row r="117" spans="1:8" x14ac:dyDescent="0.3">
      <c r="A117" s="1">
        <v>45736</v>
      </c>
      <c r="B117" t="s">
        <v>43</v>
      </c>
      <c r="C117">
        <v>1</v>
      </c>
      <c r="D117" s="1">
        <v>45736</v>
      </c>
      <c r="E117" t="s">
        <v>44</v>
      </c>
      <c r="F117" s="1">
        <v>45717</v>
      </c>
      <c r="G117" t="s">
        <v>40</v>
      </c>
      <c r="H117">
        <v>20</v>
      </c>
    </row>
    <row r="118" spans="1:8" x14ac:dyDescent="0.3">
      <c r="A118" s="1">
        <v>45736</v>
      </c>
      <c r="B118" t="s">
        <v>11</v>
      </c>
      <c r="C118">
        <v>1</v>
      </c>
      <c r="D118" s="1">
        <v>45736</v>
      </c>
      <c r="E118" t="s">
        <v>12</v>
      </c>
      <c r="F118" s="1">
        <v>45717</v>
      </c>
      <c r="G118" t="s">
        <v>40</v>
      </c>
      <c r="H118">
        <v>20</v>
      </c>
    </row>
    <row r="119" spans="1:8" x14ac:dyDescent="0.3">
      <c r="A119" s="1">
        <v>45737</v>
      </c>
      <c r="B119" t="s">
        <v>16</v>
      </c>
      <c r="C119">
        <v>1</v>
      </c>
      <c r="D119" s="1">
        <v>45737</v>
      </c>
      <c r="E119" t="s">
        <v>17</v>
      </c>
      <c r="F119" s="1">
        <v>45717</v>
      </c>
      <c r="G119" t="s">
        <v>40</v>
      </c>
      <c r="H119">
        <v>21</v>
      </c>
    </row>
    <row r="120" spans="1:8" x14ac:dyDescent="0.3">
      <c r="A120" s="1">
        <v>45738</v>
      </c>
      <c r="B120" t="s">
        <v>22</v>
      </c>
      <c r="C120">
        <v>1</v>
      </c>
      <c r="D120" s="1">
        <v>45738</v>
      </c>
      <c r="E120" t="s">
        <v>23</v>
      </c>
      <c r="F120" s="1">
        <v>45717</v>
      </c>
      <c r="G120" t="s">
        <v>40</v>
      </c>
      <c r="H120">
        <v>22</v>
      </c>
    </row>
    <row r="121" spans="1:8" x14ac:dyDescent="0.3">
      <c r="A121" s="1">
        <v>45738</v>
      </c>
      <c r="B121" t="s">
        <v>30</v>
      </c>
      <c r="C121">
        <v>2</v>
      </c>
      <c r="D121" s="1">
        <v>45738</v>
      </c>
      <c r="E121" t="s">
        <v>31</v>
      </c>
      <c r="F121" s="1">
        <v>45717</v>
      </c>
      <c r="G121" t="s">
        <v>40</v>
      </c>
      <c r="H121">
        <v>22</v>
      </c>
    </row>
    <row r="122" spans="1:8" x14ac:dyDescent="0.3">
      <c r="A122" s="1">
        <v>45738</v>
      </c>
      <c r="B122" t="s">
        <v>43</v>
      </c>
      <c r="C122">
        <v>1</v>
      </c>
      <c r="D122" s="1">
        <v>45738</v>
      </c>
      <c r="E122" t="s">
        <v>44</v>
      </c>
      <c r="F122" s="1">
        <v>45717</v>
      </c>
      <c r="G122" t="s">
        <v>40</v>
      </c>
      <c r="H122">
        <v>22</v>
      </c>
    </row>
    <row r="123" spans="1:8" x14ac:dyDescent="0.3">
      <c r="A123" s="1">
        <v>45738</v>
      </c>
      <c r="B123" t="s">
        <v>36</v>
      </c>
      <c r="C123">
        <v>1</v>
      </c>
      <c r="D123" s="1">
        <v>45738</v>
      </c>
      <c r="E123" t="s">
        <v>37</v>
      </c>
      <c r="F123" s="1">
        <v>45717</v>
      </c>
      <c r="G123" t="s">
        <v>40</v>
      </c>
      <c r="H123">
        <v>22</v>
      </c>
    </row>
    <row r="124" spans="1:8" x14ac:dyDescent="0.3">
      <c r="A124" s="1">
        <v>45738</v>
      </c>
      <c r="B124" t="s">
        <v>11</v>
      </c>
      <c r="C124">
        <v>1</v>
      </c>
      <c r="D124" s="1">
        <v>45738</v>
      </c>
      <c r="E124" t="s">
        <v>12</v>
      </c>
      <c r="F124" s="1">
        <v>45717</v>
      </c>
      <c r="G124" t="s">
        <v>40</v>
      </c>
      <c r="H124">
        <v>22</v>
      </c>
    </row>
    <row r="125" spans="1:8" x14ac:dyDescent="0.3">
      <c r="A125" s="1">
        <v>45738</v>
      </c>
      <c r="B125" t="s">
        <v>32</v>
      </c>
      <c r="C125">
        <v>1</v>
      </c>
      <c r="D125" s="1">
        <v>45738</v>
      </c>
      <c r="E125" t="s">
        <v>33</v>
      </c>
      <c r="F125" s="1">
        <v>45717</v>
      </c>
      <c r="G125" t="s">
        <v>40</v>
      </c>
      <c r="H125">
        <v>22</v>
      </c>
    </row>
    <row r="126" spans="1:8" x14ac:dyDescent="0.3">
      <c r="A126" s="1">
        <v>45739</v>
      </c>
      <c r="B126" t="s">
        <v>22</v>
      </c>
      <c r="C126">
        <v>1</v>
      </c>
      <c r="D126" s="1">
        <v>45739</v>
      </c>
      <c r="E126" t="s">
        <v>23</v>
      </c>
      <c r="F126" s="1">
        <v>45717</v>
      </c>
      <c r="G126" t="s">
        <v>40</v>
      </c>
      <c r="H126">
        <v>23</v>
      </c>
    </row>
    <row r="127" spans="1:8" x14ac:dyDescent="0.3">
      <c r="A127" s="1">
        <v>45739</v>
      </c>
      <c r="B127" t="s">
        <v>30</v>
      </c>
      <c r="C127">
        <v>1</v>
      </c>
      <c r="D127" s="1">
        <v>45739</v>
      </c>
      <c r="E127" t="s">
        <v>31</v>
      </c>
      <c r="F127" s="1">
        <v>45717</v>
      </c>
      <c r="G127" t="s">
        <v>40</v>
      </c>
      <c r="H127">
        <v>23</v>
      </c>
    </row>
    <row r="128" spans="1:8" x14ac:dyDescent="0.3">
      <c r="A128" s="1">
        <v>45739</v>
      </c>
      <c r="B128" t="s">
        <v>20</v>
      </c>
      <c r="C128">
        <v>1</v>
      </c>
      <c r="D128" s="1">
        <v>45739</v>
      </c>
      <c r="E128" t="s">
        <v>21</v>
      </c>
      <c r="F128" s="1">
        <v>45717</v>
      </c>
      <c r="G128" t="s">
        <v>40</v>
      </c>
      <c r="H128">
        <v>23</v>
      </c>
    </row>
    <row r="129" spans="1:8" x14ac:dyDescent="0.3">
      <c r="A129" s="1">
        <v>45739</v>
      </c>
      <c r="B129" t="s">
        <v>43</v>
      </c>
      <c r="C129">
        <v>1</v>
      </c>
      <c r="D129" s="1">
        <v>45739</v>
      </c>
      <c r="E129" t="s">
        <v>44</v>
      </c>
      <c r="F129" s="1">
        <v>45717</v>
      </c>
      <c r="G129" t="s">
        <v>40</v>
      </c>
      <c r="H129">
        <v>23</v>
      </c>
    </row>
    <row r="130" spans="1:8" x14ac:dyDescent="0.3">
      <c r="A130" s="1">
        <v>45739</v>
      </c>
      <c r="B130" t="s">
        <v>32</v>
      </c>
      <c r="C130">
        <v>2</v>
      </c>
      <c r="D130" s="1">
        <v>45739</v>
      </c>
      <c r="E130" t="s">
        <v>33</v>
      </c>
      <c r="F130" s="1">
        <v>45717</v>
      </c>
      <c r="G130" t="s">
        <v>40</v>
      </c>
      <c r="H130">
        <v>23</v>
      </c>
    </row>
    <row r="131" spans="1:8" x14ac:dyDescent="0.3">
      <c r="A131" s="1">
        <v>45740</v>
      </c>
      <c r="B131" t="s">
        <v>43</v>
      </c>
      <c r="C131">
        <v>1</v>
      </c>
      <c r="D131" s="1">
        <v>45740</v>
      </c>
      <c r="E131" t="s">
        <v>44</v>
      </c>
      <c r="F131" s="1">
        <v>45717</v>
      </c>
      <c r="G131" t="s">
        <v>40</v>
      </c>
      <c r="H131">
        <v>24</v>
      </c>
    </row>
    <row r="132" spans="1:8" x14ac:dyDescent="0.3">
      <c r="A132" s="1">
        <v>45740</v>
      </c>
      <c r="B132" t="s">
        <v>32</v>
      </c>
      <c r="C132">
        <v>1</v>
      </c>
      <c r="D132" s="1">
        <v>45740</v>
      </c>
      <c r="E132" t="s">
        <v>33</v>
      </c>
      <c r="F132" s="1">
        <v>45717</v>
      </c>
      <c r="G132" t="s">
        <v>40</v>
      </c>
      <c r="H132">
        <v>24</v>
      </c>
    </row>
    <row r="133" spans="1:8" x14ac:dyDescent="0.3">
      <c r="A133" s="1">
        <v>45741</v>
      </c>
      <c r="B133" t="s">
        <v>22</v>
      </c>
      <c r="C133">
        <v>1</v>
      </c>
      <c r="D133" s="1">
        <v>45741</v>
      </c>
      <c r="E133" t="s">
        <v>23</v>
      </c>
      <c r="F133" s="1">
        <v>45717</v>
      </c>
      <c r="G133" t="s">
        <v>40</v>
      </c>
      <c r="H133">
        <v>25</v>
      </c>
    </row>
    <row r="134" spans="1:8" x14ac:dyDescent="0.3">
      <c r="A134" s="1">
        <v>45741</v>
      </c>
      <c r="B134" t="s">
        <v>34</v>
      </c>
      <c r="C134">
        <v>1</v>
      </c>
      <c r="D134" s="1">
        <v>45741</v>
      </c>
      <c r="E134" t="s">
        <v>35</v>
      </c>
      <c r="F134" s="1">
        <v>45717</v>
      </c>
      <c r="G134" t="s">
        <v>40</v>
      </c>
      <c r="H134">
        <v>25</v>
      </c>
    </row>
    <row r="135" spans="1:8" x14ac:dyDescent="0.3">
      <c r="A135" s="1">
        <v>45741</v>
      </c>
      <c r="B135" t="s">
        <v>20</v>
      </c>
      <c r="C135">
        <v>1</v>
      </c>
      <c r="D135" s="1">
        <v>45741</v>
      </c>
      <c r="E135" t="s">
        <v>21</v>
      </c>
      <c r="F135" s="1">
        <v>45717</v>
      </c>
      <c r="G135" t="s">
        <v>40</v>
      </c>
      <c r="H135">
        <v>25</v>
      </c>
    </row>
    <row r="136" spans="1:8" x14ac:dyDescent="0.3">
      <c r="A136" s="1">
        <v>45741</v>
      </c>
      <c r="B136" t="s">
        <v>13</v>
      </c>
      <c r="C136">
        <v>2</v>
      </c>
      <c r="D136" s="1">
        <v>45741</v>
      </c>
      <c r="E136" t="s">
        <v>14</v>
      </c>
      <c r="F136" s="1">
        <v>45717</v>
      </c>
      <c r="G136" t="s">
        <v>40</v>
      </c>
      <c r="H136">
        <v>25</v>
      </c>
    </row>
    <row r="137" spans="1:8" x14ac:dyDescent="0.3">
      <c r="A137" s="1">
        <v>45741</v>
      </c>
      <c r="B137" t="s">
        <v>38</v>
      </c>
      <c r="C137">
        <v>1</v>
      </c>
      <c r="D137" s="1">
        <v>45741</v>
      </c>
      <c r="E137" t="s">
        <v>39</v>
      </c>
      <c r="F137" s="1">
        <v>45717</v>
      </c>
      <c r="G137" t="s">
        <v>40</v>
      </c>
      <c r="H137">
        <v>25</v>
      </c>
    </row>
    <row r="138" spans="1:8" x14ac:dyDescent="0.3">
      <c r="A138" s="1">
        <v>45741</v>
      </c>
      <c r="B138" t="s">
        <v>11</v>
      </c>
      <c r="C138">
        <v>1</v>
      </c>
      <c r="D138" s="1">
        <v>45741</v>
      </c>
      <c r="E138" t="s">
        <v>12</v>
      </c>
      <c r="F138" s="1">
        <v>45717</v>
      </c>
      <c r="G138" t="s">
        <v>40</v>
      </c>
      <c r="H138">
        <v>25</v>
      </c>
    </row>
    <row r="139" spans="1:8" x14ac:dyDescent="0.3">
      <c r="A139" s="1">
        <v>45742</v>
      </c>
      <c r="B139" t="s">
        <v>24</v>
      </c>
      <c r="C139">
        <v>1</v>
      </c>
      <c r="D139" s="1">
        <v>45742</v>
      </c>
      <c r="E139" t="s">
        <v>25</v>
      </c>
      <c r="F139" s="1">
        <v>45717</v>
      </c>
      <c r="G139" t="s">
        <v>40</v>
      </c>
      <c r="H139">
        <v>26</v>
      </c>
    </row>
    <row r="140" spans="1:8" x14ac:dyDescent="0.3">
      <c r="A140" s="1">
        <v>45742</v>
      </c>
      <c r="B140" t="s">
        <v>30</v>
      </c>
      <c r="C140">
        <v>2</v>
      </c>
      <c r="D140" s="1">
        <v>45742</v>
      </c>
      <c r="E140" t="s">
        <v>31</v>
      </c>
      <c r="F140" s="1">
        <v>45717</v>
      </c>
      <c r="G140" t="s">
        <v>40</v>
      </c>
      <c r="H140">
        <v>26</v>
      </c>
    </row>
    <row r="141" spans="1:8" x14ac:dyDescent="0.3">
      <c r="A141" s="1">
        <v>45742</v>
      </c>
      <c r="B141" t="s">
        <v>13</v>
      </c>
      <c r="C141">
        <v>1</v>
      </c>
      <c r="D141" s="1">
        <v>45742</v>
      </c>
      <c r="E141" t="s">
        <v>14</v>
      </c>
      <c r="F141" s="1">
        <v>45717</v>
      </c>
      <c r="G141" t="s">
        <v>40</v>
      </c>
      <c r="H141">
        <v>26</v>
      </c>
    </row>
    <row r="142" spans="1:8" x14ac:dyDescent="0.3">
      <c r="A142" s="1">
        <v>45742</v>
      </c>
      <c r="B142" t="s">
        <v>38</v>
      </c>
      <c r="C142">
        <v>2</v>
      </c>
      <c r="D142" s="1">
        <v>45742</v>
      </c>
      <c r="E142" t="s">
        <v>39</v>
      </c>
      <c r="F142" s="1">
        <v>45717</v>
      </c>
      <c r="G142" t="s">
        <v>40</v>
      </c>
      <c r="H142">
        <v>26</v>
      </c>
    </row>
    <row r="143" spans="1:8" x14ac:dyDescent="0.3">
      <c r="A143" s="1">
        <v>45742</v>
      </c>
      <c r="B143" t="s">
        <v>32</v>
      </c>
      <c r="C143">
        <v>1</v>
      </c>
      <c r="D143" s="1">
        <v>45742</v>
      </c>
      <c r="E143" t="s">
        <v>33</v>
      </c>
      <c r="F143" s="1">
        <v>45717</v>
      </c>
      <c r="G143" t="s">
        <v>40</v>
      </c>
      <c r="H143">
        <v>26</v>
      </c>
    </row>
    <row r="144" spans="1:8" x14ac:dyDescent="0.3">
      <c r="A144" s="1">
        <v>45742</v>
      </c>
      <c r="B144" t="s">
        <v>18</v>
      </c>
      <c r="C144">
        <v>1</v>
      </c>
      <c r="D144" s="1">
        <v>45742</v>
      </c>
      <c r="E144" t="s">
        <v>19</v>
      </c>
      <c r="F144" s="1">
        <v>45717</v>
      </c>
      <c r="G144" t="s">
        <v>40</v>
      </c>
      <c r="H144">
        <v>26</v>
      </c>
    </row>
    <row r="145" spans="1:8" x14ac:dyDescent="0.3">
      <c r="A145" s="1">
        <v>45742</v>
      </c>
      <c r="B145" t="s">
        <v>27</v>
      </c>
      <c r="C145">
        <v>1</v>
      </c>
      <c r="D145" s="1">
        <v>45742</v>
      </c>
      <c r="E145" t="s">
        <v>28</v>
      </c>
      <c r="F145" s="1">
        <v>45717</v>
      </c>
      <c r="G145" t="s">
        <v>40</v>
      </c>
      <c r="H145">
        <v>26</v>
      </c>
    </row>
    <row r="146" spans="1:8" x14ac:dyDescent="0.3">
      <c r="A146" s="1">
        <v>45743</v>
      </c>
      <c r="B146" t="s">
        <v>30</v>
      </c>
      <c r="C146">
        <v>1</v>
      </c>
      <c r="D146" s="1">
        <v>45743</v>
      </c>
      <c r="E146" t="s">
        <v>31</v>
      </c>
      <c r="F146" s="1">
        <v>45717</v>
      </c>
      <c r="G146" t="s">
        <v>40</v>
      </c>
      <c r="H146">
        <v>27</v>
      </c>
    </row>
    <row r="147" spans="1:8" x14ac:dyDescent="0.3">
      <c r="A147" s="1">
        <v>45743</v>
      </c>
      <c r="B147" t="s">
        <v>38</v>
      </c>
      <c r="C147">
        <v>1</v>
      </c>
      <c r="D147" s="1">
        <v>45743</v>
      </c>
      <c r="E147" t="s">
        <v>39</v>
      </c>
      <c r="F147" s="1">
        <v>45717</v>
      </c>
      <c r="G147" t="s">
        <v>40</v>
      </c>
      <c r="H147">
        <v>27</v>
      </c>
    </row>
    <row r="148" spans="1:8" x14ac:dyDescent="0.3">
      <c r="A148" s="1">
        <v>45744</v>
      </c>
      <c r="B148" t="s">
        <v>34</v>
      </c>
      <c r="C148">
        <v>1</v>
      </c>
      <c r="D148" s="1">
        <v>45744</v>
      </c>
      <c r="E148" t="s">
        <v>35</v>
      </c>
      <c r="F148" s="1">
        <v>45717</v>
      </c>
      <c r="G148" t="s">
        <v>40</v>
      </c>
      <c r="H148">
        <v>28</v>
      </c>
    </row>
    <row r="149" spans="1:8" x14ac:dyDescent="0.3">
      <c r="A149" s="1">
        <v>45745</v>
      </c>
      <c r="B149" t="s">
        <v>30</v>
      </c>
      <c r="C149">
        <v>1</v>
      </c>
      <c r="D149" s="1">
        <v>45745</v>
      </c>
      <c r="E149" t="s">
        <v>31</v>
      </c>
      <c r="F149" s="1">
        <v>45717</v>
      </c>
      <c r="G149" t="s">
        <v>40</v>
      </c>
      <c r="H149">
        <v>29</v>
      </c>
    </row>
    <row r="150" spans="1:8" x14ac:dyDescent="0.3">
      <c r="A150" s="1">
        <v>45745</v>
      </c>
      <c r="B150" t="s">
        <v>34</v>
      </c>
      <c r="C150">
        <v>1</v>
      </c>
      <c r="D150" s="1">
        <v>45745</v>
      </c>
      <c r="E150" t="s">
        <v>35</v>
      </c>
      <c r="F150" s="1">
        <v>45717</v>
      </c>
      <c r="G150" t="s">
        <v>40</v>
      </c>
      <c r="H150">
        <v>29</v>
      </c>
    </row>
    <row r="151" spans="1:8" x14ac:dyDescent="0.3">
      <c r="A151" s="1">
        <v>45745</v>
      </c>
      <c r="B151" t="s">
        <v>43</v>
      </c>
      <c r="C151">
        <v>1</v>
      </c>
      <c r="D151" s="1">
        <v>45745</v>
      </c>
      <c r="E151" t="s">
        <v>44</v>
      </c>
      <c r="F151" s="1">
        <v>45717</v>
      </c>
      <c r="G151" t="s">
        <v>40</v>
      </c>
      <c r="H151">
        <v>29</v>
      </c>
    </row>
    <row r="152" spans="1:8" x14ac:dyDescent="0.3">
      <c r="A152" s="1">
        <v>45745</v>
      </c>
      <c r="B152" t="s">
        <v>8</v>
      </c>
      <c r="C152">
        <v>1</v>
      </c>
      <c r="D152" s="1">
        <v>45745</v>
      </c>
      <c r="E152" t="s">
        <v>9</v>
      </c>
      <c r="F152" s="1">
        <v>45717</v>
      </c>
      <c r="G152" t="s">
        <v>40</v>
      </c>
      <c r="H152">
        <v>29</v>
      </c>
    </row>
    <row r="153" spans="1:8" x14ac:dyDescent="0.3">
      <c r="A153" s="1">
        <v>45745</v>
      </c>
      <c r="B153" t="s">
        <v>18</v>
      </c>
      <c r="C153">
        <v>1</v>
      </c>
      <c r="D153" s="1">
        <v>45745</v>
      </c>
      <c r="E153" t="s">
        <v>19</v>
      </c>
      <c r="F153" s="1">
        <v>45717</v>
      </c>
      <c r="G153" t="s">
        <v>40</v>
      </c>
      <c r="H153">
        <v>29</v>
      </c>
    </row>
    <row r="154" spans="1:8" x14ac:dyDescent="0.3">
      <c r="A154" s="1">
        <v>45745</v>
      </c>
      <c r="B154" t="s">
        <v>27</v>
      </c>
      <c r="C154">
        <v>1</v>
      </c>
      <c r="D154" s="1">
        <v>45745</v>
      </c>
      <c r="E154" t="s">
        <v>28</v>
      </c>
      <c r="F154" s="1">
        <v>45717</v>
      </c>
      <c r="G154" t="s">
        <v>40</v>
      </c>
      <c r="H154">
        <v>29</v>
      </c>
    </row>
    <row r="155" spans="1:8" x14ac:dyDescent="0.3">
      <c r="A155" s="1">
        <v>45747</v>
      </c>
      <c r="B155" t="s">
        <v>30</v>
      </c>
      <c r="C155">
        <v>1</v>
      </c>
      <c r="D155" s="1">
        <v>45747</v>
      </c>
      <c r="E155" t="s">
        <v>31</v>
      </c>
      <c r="F155" s="1">
        <v>45717</v>
      </c>
      <c r="G155" t="s">
        <v>40</v>
      </c>
      <c r="H155">
        <v>31</v>
      </c>
    </row>
    <row r="156" spans="1:8" x14ac:dyDescent="0.3">
      <c r="A156" s="1">
        <v>45747</v>
      </c>
      <c r="B156" t="s">
        <v>13</v>
      </c>
      <c r="C156">
        <v>1</v>
      </c>
      <c r="D156" s="1">
        <v>45747</v>
      </c>
      <c r="E156" t="s">
        <v>14</v>
      </c>
      <c r="F156" s="1">
        <v>45717</v>
      </c>
      <c r="G156" t="s">
        <v>40</v>
      </c>
      <c r="H156">
        <v>31</v>
      </c>
    </row>
    <row r="157" spans="1:8" x14ac:dyDescent="0.3">
      <c r="A157" s="1">
        <v>45747</v>
      </c>
      <c r="B157" t="s">
        <v>18</v>
      </c>
      <c r="C157">
        <v>1</v>
      </c>
      <c r="D157" s="1">
        <v>45747</v>
      </c>
      <c r="E157" t="s">
        <v>19</v>
      </c>
      <c r="F157" s="1">
        <v>45717</v>
      </c>
      <c r="G157" t="s">
        <v>40</v>
      </c>
      <c r="H157">
        <v>31</v>
      </c>
    </row>
    <row r="158" spans="1:8" x14ac:dyDescent="0.3">
      <c r="A158" s="1">
        <v>45748</v>
      </c>
      <c r="B158" t="s">
        <v>32</v>
      </c>
      <c r="C158">
        <v>1</v>
      </c>
      <c r="D158" s="1">
        <v>45748</v>
      </c>
      <c r="E158" t="s">
        <v>33</v>
      </c>
      <c r="F158" s="1">
        <v>45748</v>
      </c>
      <c r="G158" t="s">
        <v>45</v>
      </c>
      <c r="H158">
        <v>1</v>
      </c>
    </row>
    <row r="159" spans="1:8" x14ac:dyDescent="0.3">
      <c r="A159" s="1">
        <v>45751</v>
      </c>
      <c r="B159" t="s">
        <v>34</v>
      </c>
      <c r="C159">
        <v>1</v>
      </c>
      <c r="D159" s="1">
        <v>45751</v>
      </c>
      <c r="E159" t="s">
        <v>35</v>
      </c>
      <c r="F159" s="1">
        <v>45748</v>
      </c>
      <c r="G159" t="s">
        <v>45</v>
      </c>
      <c r="H159">
        <v>4</v>
      </c>
    </row>
    <row r="160" spans="1:8" x14ac:dyDescent="0.3">
      <c r="A160" s="1">
        <v>45751</v>
      </c>
      <c r="B160" t="s">
        <v>11</v>
      </c>
      <c r="C160">
        <v>1</v>
      </c>
      <c r="D160" s="1">
        <v>45751</v>
      </c>
      <c r="E160" t="s">
        <v>12</v>
      </c>
      <c r="F160" s="1">
        <v>45748</v>
      </c>
      <c r="G160" t="s">
        <v>45</v>
      </c>
      <c r="H160">
        <v>4</v>
      </c>
    </row>
    <row r="161" spans="1:8" x14ac:dyDescent="0.3">
      <c r="A161" s="1">
        <v>45751</v>
      </c>
      <c r="B161" t="s">
        <v>27</v>
      </c>
      <c r="C161">
        <v>1</v>
      </c>
      <c r="D161" s="1">
        <v>45751</v>
      </c>
      <c r="E161" t="s">
        <v>28</v>
      </c>
      <c r="F161" s="1">
        <v>45748</v>
      </c>
      <c r="G161" t="s">
        <v>45</v>
      </c>
      <c r="H161">
        <v>4</v>
      </c>
    </row>
    <row r="162" spans="1:8" x14ac:dyDescent="0.3">
      <c r="A162" s="1">
        <v>45752</v>
      </c>
      <c r="B162" t="s">
        <v>24</v>
      </c>
      <c r="C162">
        <v>1</v>
      </c>
      <c r="D162" s="1">
        <v>45752</v>
      </c>
      <c r="E162" t="s">
        <v>25</v>
      </c>
      <c r="F162" s="1">
        <v>45748</v>
      </c>
      <c r="G162" t="s">
        <v>45</v>
      </c>
      <c r="H162">
        <v>5</v>
      </c>
    </row>
    <row r="163" spans="1:8" x14ac:dyDescent="0.3">
      <c r="A163" s="1">
        <v>45752</v>
      </c>
      <c r="B163" t="s">
        <v>20</v>
      </c>
      <c r="C163">
        <v>1</v>
      </c>
      <c r="D163" s="1">
        <v>45752</v>
      </c>
      <c r="E163" t="s">
        <v>21</v>
      </c>
      <c r="F163" s="1">
        <v>45748</v>
      </c>
      <c r="G163" t="s">
        <v>45</v>
      </c>
      <c r="H163">
        <v>5</v>
      </c>
    </row>
    <row r="164" spans="1:8" x14ac:dyDescent="0.3">
      <c r="A164" s="1">
        <v>45753</v>
      </c>
      <c r="B164" t="s">
        <v>13</v>
      </c>
      <c r="C164">
        <v>1</v>
      </c>
      <c r="D164" s="1">
        <v>45753</v>
      </c>
      <c r="E164" t="s">
        <v>14</v>
      </c>
      <c r="F164" s="1">
        <v>45748</v>
      </c>
      <c r="G164" t="s">
        <v>45</v>
      </c>
      <c r="H164">
        <v>6</v>
      </c>
    </row>
    <row r="165" spans="1:8" x14ac:dyDescent="0.3">
      <c r="A165" s="1">
        <v>45753</v>
      </c>
      <c r="B165" t="s">
        <v>36</v>
      </c>
      <c r="C165">
        <v>1</v>
      </c>
      <c r="D165" s="1">
        <v>45753</v>
      </c>
      <c r="E165" t="s">
        <v>37</v>
      </c>
      <c r="F165" s="1">
        <v>45748</v>
      </c>
      <c r="G165" t="s">
        <v>45</v>
      </c>
      <c r="H165">
        <v>6</v>
      </c>
    </row>
    <row r="166" spans="1:8" x14ac:dyDescent="0.3">
      <c r="A166" s="1">
        <v>45753</v>
      </c>
      <c r="B166" t="s">
        <v>11</v>
      </c>
      <c r="C166">
        <v>1</v>
      </c>
      <c r="D166" s="1">
        <v>45753</v>
      </c>
      <c r="E166" t="s">
        <v>12</v>
      </c>
      <c r="F166" s="1">
        <v>45748</v>
      </c>
      <c r="G166" t="s">
        <v>45</v>
      </c>
      <c r="H166">
        <v>6</v>
      </c>
    </row>
    <row r="167" spans="1:8" x14ac:dyDescent="0.3">
      <c r="A167" s="1">
        <v>45754</v>
      </c>
      <c r="B167" t="s">
        <v>34</v>
      </c>
      <c r="C167">
        <v>1</v>
      </c>
      <c r="D167" s="1">
        <v>45754</v>
      </c>
      <c r="E167" t="s">
        <v>35</v>
      </c>
      <c r="F167" s="1">
        <v>45748</v>
      </c>
      <c r="G167" t="s">
        <v>45</v>
      </c>
      <c r="H167">
        <v>7</v>
      </c>
    </row>
    <row r="168" spans="1:8" x14ac:dyDescent="0.3">
      <c r="A168" s="1">
        <v>45755</v>
      </c>
      <c r="B168" t="s">
        <v>30</v>
      </c>
      <c r="C168">
        <v>1</v>
      </c>
      <c r="D168" s="1">
        <v>45755</v>
      </c>
      <c r="E168" t="s">
        <v>31</v>
      </c>
      <c r="F168" s="1">
        <v>45748</v>
      </c>
      <c r="G168" t="s">
        <v>45</v>
      </c>
      <c r="H168">
        <v>8</v>
      </c>
    </row>
    <row r="169" spans="1:8" x14ac:dyDescent="0.3">
      <c r="A169" s="1">
        <v>45755</v>
      </c>
      <c r="B169" t="s">
        <v>34</v>
      </c>
      <c r="C169">
        <v>1</v>
      </c>
      <c r="D169" s="1">
        <v>45755</v>
      </c>
      <c r="E169" t="s">
        <v>35</v>
      </c>
      <c r="F169" s="1">
        <v>45748</v>
      </c>
      <c r="G169" t="s">
        <v>45</v>
      </c>
      <c r="H169">
        <v>8</v>
      </c>
    </row>
    <row r="170" spans="1:8" x14ac:dyDescent="0.3">
      <c r="A170" s="1">
        <v>45755</v>
      </c>
      <c r="B170" t="s">
        <v>38</v>
      </c>
      <c r="C170">
        <v>1</v>
      </c>
      <c r="D170" s="1">
        <v>45755</v>
      </c>
      <c r="E170" t="s">
        <v>39</v>
      </c>
      <c r="F170" s="1">
        <v>45748</v>
      </c>
      <c r="G170" t="s">
        <v>45</v>
      </c>
      <c r="H170">
        <v>8</v>
      </c>
    </row>
    <row r="171" spans="1:8" x14ac:dyDescent="0.3">
      <c r="A171" s="1">
        <v>45755</v>
      </c>
      <c r="B171" t="s">
        <v>43</v>
      </c>
      <c r="C171">
        <v>1</v>
      </c>
      <c r="D171" s="1">
        <v>45755</v>
      </c>
      <c r="E171" t="s">
        <v>44</v>
      </c>
      <c r="F171" s="1">
        <v>45748</v>
      </c>
      <c r="G171" t="s">
        <v>45</v>
      </c>
      <c r="H171">
        <v>8</v>
      </c>
    </row>
    <row r="172" spans="1:8" x14ac:dyDescent="0.3">
      <c r="A172" s="1">
        <v>45756</v>
      </c>
      <c r="B172" t="s">
        <v>30</v>
      </c>
      <c r="C172">
        <v>1</v>
      </c>
      <c r="D172" s="1">
        <v>45756</v>
      </c>
      <c r="E172" t="s">
        <v>31</v>
      </c>
      <c r="F172" s="1">
        <v>45748</v>
      </c>
      <c r="G172" t="s">
        <v>45</v>
      </c>
      <c r="H172">
        <v>9</v>
      </c>
    </row>
    <row r="173" spans="1:8" x14ac:dyDescent="0.3">
      <c r="A173" s="1">
        <v>45759</v>
      </c>
      <c r="B173" t="s">
        <v>11</v>
      </c>
      <c r="C173">
        <v>1</v>
      </c>
      <c r="D173" s="1">
        <v>45759</v>
      </c>
      <c r="E173" t="s">
        <v>12</v>
      </c>
      <c r="F173" s="1">
        <v>45748</v>
      </c>
      <c r="G173" t="s">
        <v>45</v>
      </c>
      <c r="H173">
        <v>12</v>
      </c>
    </row>
    <row r="174" spans="1:8" x14ac:dyDescent="0.3">
      <c r="A174" s="1">
        <v>45760</v>
      </c>
      <c r="B174" t="s">
        <v>34</v>
      </c>
      <c r="C174">
        <v>1</v>
      </c>
      <c r="D174" s="1">
        <v>45760</v>
      </c>
      <c r="E174" t="s">
        <v>35</v>
      </c>
      <c r="F174" s="1">
        <v>45748</v>
      </c>
      <c r="G174" t="s">
        <v>45</v>
      </c>
      <c r="H174">
        <v>13</v>
      </c>
    </row>
    <row r="175" spans="1:8" x14ac:dyDescent="0.3">
      <c r="A175" s="1">
        <v>45760</v>
      </c>
      <c r="B175" t="s">
        <v>13</v>
      </c>
      <c r="C175">
        <v>2</v>
      </c>
      <c r="D175" s="1">
        <v>45760</v>
      </c>
      <c r="E175" t="s">
        <v>14</v>
      </c>
      <c r="F175" s="1">
        <v>45748</v>
      </c>
      <c r="G175" t="s">
        <v>45</v>
      </c>
      <c r="H175">
        <v>13</v>
      </c>
    </row>
    <row r="176" spans="1:8" x14ac:dyDescent="0.3">
      <c r="A176" s="1">
        <v>45760</v>
      </c>
      <c r="B176" t="s">
        <v>38</v>
      </c>
      <c r="C176">
        <v>1</v>
      </c>
      <c r="D176" s="1">
        <v>45760</v>
      </c>
      <c r="E176" t="s">
        <v>39</v>
      </c>
      <c r="F176" s="1">
        <v>45748</v>
      </c>
      <c r="G176" t="s">
        <v>45</v>
      </c>
      <c r="H176">
        <v>13</v>
      </c>
    </row>
    <row r="177" spans="1:8" x14ac:dyDescent="0.3">
      <c r="A177" s="1">
        <v>45760</v>
      </c>
      <c r="B177" t="s">
        <v>43</v>
      </c>
      <c r="C177">
        <v>1</v>
      </c>
      <c r="D177" s="1">
        <v>45760</v>
      </c>
      <c r="E177" t="s">
        <v>44</v>
      </c>
      <c r="F177" s="1">
        <v>45748</v>
      </c>
      <c r="G177" t="s">
        <v>45</v>
      </c>
      <c r="H177">
        <v>13</v>
      </c>
    </row>
    <row r="178" spans="1:8" x14ac:dyDescent="0.3">
      <c r="A178" s="1">
        <v>45760</v>
      </c>
      <c r="B178" t="s">
        <v>36</v>
      </c>
      <c r="C178">
        <v>1</v>
      </c>
      <c r="D178" s="1">
        <v>45760</v>
      </c>
      <c r="E178" t="s">
        <v>37</v>
      </c>
      <c r="F178" s="1">
        <v>45748</v>
      </c>
      <c r="G178" t="s">
        <v>45</v>
      </c>
      <c r="H178">
        <v>13</v>
      </c>
    </row>
    <row r="179" spans="1:8" x14ac:dyDescent="0.3">
      <c r="A179" s="1">
        <v>45760</v>
      </c>
      <c r="B179" t="s">
        <v>11</v>
      </c>
      <c r="C179">
        <v>1</v>
      </c>
      <c r="D179" s="1">
        <v>45760</v>
      </c>
      <c r="E179" t="s">
        <v>12</v>
      </c>
      <c r="F179" s="1">
        <v>45748</v>
      </c>
      <c r="G179" t="s">
        <v>45</v>
      </c>
      <c r="H179">
        <v>13</v>
      </c>
    </row>
    <row r="180" spans="1:8" x14ac:dyDescent="0.3">
      <c r="A180" s="1">
        <v>45761</v>
      </c>
      <c r="B180" t="s">
        <v>30</v>
      </c>
      <c r="C180">
        <v>1</v>
      </c>
      <c r="D180" s="1">
        <v>45761</v>
      </c>
      <c r="E180" t="s">
        <v>31</v>
      </c>
      <c r="F180" s="1">
        <v>45748</v>
      </c>
      <c r="G180" t="s">
        <v>45</v>
      </c>
      <c r="H180">
        <v>14</v>
      </c>
    </row>
    <row r="181" spans="1:8" x14ac:dyDescent="0.3">
      <c r="A181" s="1">
        <v>45761</v>
      </c>
      <c r="B181" t="s">
        <v>16</v>
      </c>
      <c r="C181">
        <v>1</v>
      </c>
      <c r="D181" s="1">
        <v>45761</v>
      </c>
      <c r="E181" t="s">
        <v>17</v>
      </c>
      <c r="F181" s="1">
        <v>45748</v>
      </c>
      <c r="G181" t="s">
        <v>45</v>
      </c>
      <c r="H181">
        <v>14</v>
      </c>
    </row>
    <row r="182" spans="1:8" x14ac:dyDescent="0.3">
      <c r="A182" s="1">
        <v>45763</v>
      </c>
      <c r="B182" t="s">
        <v>38</v>
      </c>
      <c r="C182">
        <v>1</v>
      </c>
      <c r="D182" s="1">
        <v>45763</v>
      </c>
      <c r="E182" t="s">
        <v>39</v>
      </c>
      <c r="F182" s="1">
        <v>45748</v>
      </c>
      <c r="G182" t="s">
        <v>45</v>
      </c>
      <c r="H182">
        <v>16</v>
      </c>
    </row>
    <row r="183" spans="1:8" x14ac:dyDescent="0.3">
      <c r="A183" s="1">
        <v>45763</v>
      </c>
      <c r="B183" t="s">
        <v>43</v>
      </c>
      <c r="C183">
        <v>1</v>
      </c>
      <c r="D183" s="1">
        <v>45763</v>
      </c>
      <c r="E183" t="s">
        <v>44</v>
      </c>
      <c r="F183" s="1">
        <v>45748</v>
      </c>
      <c r="G183" t="s">
        <v>45</v>
      </c>
      <c r="H183">
        <v>16</v>
      </c>
    </row>
    <row r="184" spans="1:8" x14ac:dyDescent="0.3">
      <c r="A184" s="1">
        <v>45763</v>
      </c>
      <c r="B184" t="s">
        <v>27</v>
      </c>
      <c r="C184">
        <v>1</v>
      </c>
      <c r="D184" s="1">
        <v>45763</v>
      </c>
      <c r="E184" t="s">
        <v>28</v>
      </c>
      <c r="F184" s="1">
        <v>45748</v>
      </c>
      <c r="G184" t="s">
        <v>45</v>
      </c>
      <c r="H184">
        <v>16</v>
      </c>
    </row>
    <row r="185" spans="1:8" x14ac:dyDescent="0.3">
      <c r="A185" s="1">
        <v>45764</v>
      </c>
      <c r="B185" t="s">
        <v>43</v>
      </c>
      <c r="C185">
        <v>3</v>
      </c>
      <c r="D185" s="1">
        <v>45764</v>
      </c>
      <c r="E185" t="s">
        <v>44</v>
      </c>
      <c r="F185" s="1">
        <v>45748</v>
      </c>
      <c r="G185" t="s">
        <v>45</v>
      </c>
      <c r="H185">
        <v>17</v>
      </c>
    </row>
    <row r="186" spans="1:8" x14ac:dyDescent="0.3">
      <c r="A186" s="1">
        <v>45764</v>
      </c>
      <c r="B186" t="s">
        <v>36</v>
      </c>
      <c r="C186">
        <v>2</v>
      </c>
      <c r="D186" s="1">
        <v>45764</v>
      </c>
      <c r="E186" t="s">
        <v>37</v>
      </c>
      <c r="F186" s="1">
        <v>45748</v>
      </c>
      <c r="G186" t="s">
        <v>45</v>
      </c>
      <c r="H186">
        <v>17</v>
      </c>
    </row>
    <row r="187" spans="1:8" x14ac:dyDescent="0.3">
      <c r="A187" s="1">
        <v>45765</v>
      </c>
      <c r="B187" t="s">
        <v>8</v>
      </c>
      <c r="C187">
        <v>1</v>
      </c>
      <c r="D187" s="1">
        <v>45765</v>
      </c>
      <c r="E187" t="s">
        <v>9</v>
      </c>
      <c r="F187" s="1">
        <v>45748</v>
      </c>
      <c r="G187" t="s">
        <v>45</v>
      </c>
      <c r="H187">
        <v>18</v>
      </c>
    </row>
    <row r="188" spans="1:8" x14ac:dyDescent="0.3">
      <c r="A188" s="1">
        <v>45766</v>
      </c>
      <c r="B188" t="s">
        <v>24</v>
      </c>
      <c r="C188">
        <v>1</v>
      </c>
      <c r="D188" s="1">
        <v>45766</v>
      </c>
      <c r="E188" t="s">
        <v>25</v>
      </c>
      <c r="F188" s="1">
        <v>45748</v>
      </c>
      <c r="G188" t="s">
        <v>45</v>
      </c>
      <c r="H188">
        <v>19</v>
      </c>
    </row>
    <row r="189" spans="1:8" x14ac:dyDescent="0.3">
      <c r="A189" s="1">
        <v>45766</v>
      </c>
      <c r="B189" t="s">
        <v>30</v>
      </c>
      <c r="C189">
        <v>1</v>
      </c>
      <c r="D189" s="1">
        <v>45766</v>
      </c>
      <c r="E189" t="s">
        <v>31</v>
      </c>
      <c r="F189" s="1">
        <v>45748</v>
      </c>
      <c r="G189" t="s">
        <v>45</v>
      </c>
      <c r="H189">
        <v>19</v>
      </c>
    </row>
    <row r="190" spans="1:8" x14ac:dyDescent="0.3">
      <c r="A190" s="1">
        <v>45766</v>
      </c>
      <c r="B190" t="s">
        <v>38</v>
      </c>
      <c r="C190">
        <v>1</v>
      </c>
      <c r="D190" s="1">
        <v>45766</v>
      </c>
      <c r="E190" t="s">
        <v>39</v>
      </c>
      <c r="F190" s="1">
        <v>45748</v>
      </c>
      <c r="G190" t="s">
        <v>45</v>
      </c>
      <c r="H190">
        <v>19</v>
      </c>
    </row>
    <row r="191" spans="1:8" x14ac:dyDescent="0.3">
      <c r="A191" s="1">
        <v>45767</v>
      </c>
      <c r="B191" t="s">
        <v>38</v>
      </c>
      <c r="C191">
        <v>1</v>
      </c>
      <c r="D191" s="1">
        <v>45767</v>
      </c>
      <c r="E191" t="s">
        <v>39</v>
      </c>
      <c r="F191" s="1">
        <v>45748</v>
      </c>
      <c r="G191" t="s">
        <v>45</v>
      </c>
      <c r="H191">
        <v>20</v>
      </c>
    </row>
    <row r="192" spans="1:8" x14ac:dyDescent="0.3">
      <c r="A192" s="1">
        <v>45769</v>
      </c>
      <c r="B192" t="s">
        <v>30</v>
      </c>
      <c r="C192">
        <v>1</v>
      </c>
      <c r="D192" s="1">
        <v>45769</v>
      </c>
      <c r="E192" t="s">
        <v>31</v>
      </c>
      <c r="F192" s="1">
        <v>45748</v>
      </c>
      <c r="G192" t="s">
        <v>45</v>
      </c>
      <c r="H192">
        <v>22</v>
      </c>
    </row>
    <row r="193" spans="1:8" x14ac:dyDescent="0.3">
      <c r="A193" s="1">
        <v>45769</v>
      </c>
      <c r="B193" t="s">
        <v>13</v>
      </c>
      <c r="C193">
        <v>1</v>
      </c>
      <c r="D193" s="1">
        <v>45769</v>
      </c>
      <c r="E193" t="s">
        <v>14</v>
      </c>
      <c r="F193" s="1">
        <v>45748</v>
      </c>
      <c r="G193" t="s">
        <v>45</v>
      </c>
      <c r="H193">
        <v>22</v>
      </c>
    </row>
    <row r="194" spans="1:8" x14ac:dyDescent="0.3">
      <c r="A194" s="1">
        <v>45770</v>
      </c>
      <c r="B194" t="s">
        <v>18</v>
      </c>
      <c r="C194">
        <v>2</v>
      </c>
      <c r="D194" s="1">
        <v>45770</v>
      </c>
      <c r="E194" t="s">
        <v>19</v>
      </c>
      <c r="F194" s="1">
        <v>45748</v>
      </c>
      <c r="G194" t="s">
        <v>45</v>
      </c>
      <c r="H194">
        <v>23</v>
      </c>
    </row>
    <row r="195" spans="1:8" x14ac:dyDescent="0.3">
      <c r="A195" s="1">
        <v>45771</v>
      </c>
      <c r="B195" t="s">
        <v>30</v>
      </c>
      <c r="C195">
        <v>1</v>
      </c>
      <c r="D195" s="1">
        <v>45771</v>
      </c>
      <c r="E195" t="s">
        <v>31</v>
      </c>
      <c r="F195" s="1">
        <v>45748</v>
      </c>
      <c r="G195" t="s">
        <v>45</v>
      </c>
      <c r="H195">
        <v>24</v>
      </c>
    </row>
    <row r="196" spans="1:8" x14ac:dyDescent="0.3">
      <c r="A196" s="1">
        <v>45771</v>
      </c>
      <c r="B196" t="s">
        <v>34</v>
      </c>
      <c r="C196">
        <v>1</v>
      </c>
      <c r="D196" s="1">
        <v>45771</v>
      </c>
      <c r="E196" t="s">
        <v>35</v>
      </c>
      <c r="F196" s="1">
        <v>45748</v>
      </c>
      <c r="G196" t="s">
        <v>45</v>
      </c>
      <c r="H196">
        <v>24</v>
      </c>
    </row>
    <row r="197" spans="1:8" x14ac:dyDescent="0.3">
      <c r="A197" s="1">
        <v>45773</v>
      </c>
      <c r="B197" t="s">
        <v>30</v>
      </c>
      <c r="C197">
        <v>1</v>
      </c>
      <c r="D197" s="1">
        <v>45773</v>
      </c>
      <c r="E197" t="s">
        <v>31</v>
      </c>
      <c r="F197" s="1">
        <v>45748</v>
      </c>
      <c r="G197" t="s">
        <v>45</v>
      </c>
      <c r="H197">
        <v>26</v>
      </c>
    </row>
    <row r="198" spans="1:8" x14ac:dyDescent="0.3">
      <c r="A198" s="1">
        <v>45773</v>
      </c>
      <c r="B198" t="s">
        <v>20</v>
      </c>
      <c r="C198">
        <v>1</v>
      </c>
      <c r="D198" s="1">
        <v>45773</v>
      </c>
      <c r="E198" t="s">
        <v>21</v>
      </c>
      <c r="F198" s="1">
        <v>45748</v>
      </c>
      <c r="G198" t="s">
        <v>45</v>
      </c>
      <c r="H198">
        <v>26</v>
      </c>
    </row>
    <row r="199" spans="1:8" x14ac:dyDescent="0.3">
      <c r="A199" s="1">
        <v>45773</v>
      </c>
      <c r="B199" t="s">
        <v>38</v>
      </c>
      <c r="C199">
        <v>1</v>
      </c>
      <c r="D199" s="1">
        <v>45773</v>
      </c>
      <c r="E199" t="s">
        <v>39</v>
      </c>
      <c r="F199" s="1">
        <v>45748</v>
      </c>
      <c r="G199" t="s">
        <v>45</v>
      </c>
      <c r="H199">
        <v>26</v>
      </c>
    </row>
    <row r="200" spans="1:8" x14ac:dyDescent="0.3">
      <c r="A200" s="1">
        <v>45773</v>
      </c>
      <c r="B200" t="s">
        <v>11</v>
      </c>
      <c r="C200">
        <v>1</v>
      </c>
      <c r="D200" s="1">
        <v>45773</v>
      </c>
      <c r="E200" t="s">
        <v>12</v>
      </c>
      <c r="F200" s="1">
        <v>45748</v>
      </c>
      <c r="G200" t="s">
        <v>45</v>
      </c>
      <c r="H200">
        <v>26</v>
      </c>
    </row>
    <row r="201" spans="1:8" x14ac:dyDescent="0.3">
      <c r="A201" s="1">
        <v>45773</v>
      </c>
      <c r="B201" t="s">
        <v>27</v>
      </c>
      <c r="C201">
        <v>1</v>
      </c>
      <c r="D201" s="1">
        <v>45773</v>
      </c>
      <c r="E201" t="s">
        <v>28</v>
      </c>
      <c r="F201" s="1">
        <v>45748</v>
      </c>
      <c r="G201" t="s">
        <v>45</v>
      </c>
      <c r="H201">
        <v>26</v>
      </c>
    </row>
    <row r="202" spans="1:8" x14ac:dyDescent="0.3">
      <c r="A202" s="1">
        <v>45774</v>
      </c>
      <c r="B202" t="s">
        <v>43</v>
      </c>
      <c r="C202">
        <v>1</v>
      </c>
      <c r="D202" s="1">
        <v>45774</v>
      </c>
      <c r="E202" t="s">
        <v>44</v>
      </c>
      <c r="F202" s="1">
        <v>45748</v>
      </c>
      <c r="G202" t="s">
        <v>45</v>
      </c>
      <c r="H202">
        <v>27</v>
      </c>
    </row>
    <row r="203" spans="1:8" x14ac:dyDescent="0.3">
      <c r="A203" s="1">
        <v>45774</v>
      </c>
      <c r="B203" t="s">
        <v>16</v>
      </c>
      <c r="C203">
        <v>2</v>
      </c>
      <c r="D203" s="1">
        <v>45774</v>
      </c>
      <c r="E203" t="s">
        <v>17</v>
      </c>
      <c r="F203" s="1">
        <v>45748</v>
      </c>
      <c r="G203" t="s">
        <v>45</v>
      </c>
      <c r="H203">
        <v>27</v>
      </c>
    </row>
    <row r="204" spans="1:8" x14ac:dyDescent="0.3">
      <c r="A204" s="1">
        <v>45775</v>
      </c>
      <c r="B204" t="s">
        <v>22</v>
      </c>
      <c r="C204">
        <v>1</v>
      </c>
      <c r="D204" s="1">
        <v>45775</v>
      </c>
      <c r="E204" t="s">
        <v>23</v>
      </c>
      <c r="F204" s="1">
        <v>45748</v>
      </c>
      <c r="G204" t="s">
        <v>45</v>
      </c>
      <c r="H204">
        <v>28</v>
      </c>
    </row>
    <row r="205" spans="1:8" x14ac:dyDescent="0.3">
      <c r="A205" s="1">
        <v>45777</v>
      </c>
      <c r="B205" t="s">
        <v>20</v>
      </c>
      <c r="C205">
        <v>1</v>
      </c>
      <c r="D205" s="1">
        <v>45777</v>
      </c>
      <c r="E205" t="s">
        <v>21</v>
      </c>
      <c r="F205" s="1">
        <v>45748</v>
      </c>
      <c r="G205" t="s">
        <v>45</v>
      </c>
      <c r="H205">
        <v>30</v>
      </c>
    </row>
    <row r="206" spans="1:8" x14ac:dyDescent="0.3">
      <c r="A206" s="1">
        <v>45777</v>
      </c>
      <c r="B206" t="s">
        <v>36</v>
      </c>
      <c r="C206">
        <v>1</v>
      </c>
      <c r="D206" s="1">
        <v>45777</v>
      </c>
      <c r="E206" t="s">
        <v>37</v>
      </c>
      <c r="F206" s="1">
        <v>45748</v>
      </c>
      <c r="G206" t="s">
        <v>45</v>
      </c>
      <c r="H206">
        <v>30</v>
      </c>
    </row>
    <row r="207" spans="1:8" x14ac:dyDescent="0.3">
      <c r="A207" s="1">
        <v>45779</v>
      </c>
      <c r="B207" t="s">
        <v>30</v>
      </c>
      <c r="C207">
        <v>1</v>
      </c>
      <c r="D207" s="1">
        <v>45779</v>
      </c>
      <c r="E207" t="s">
        <v>31</v>
      </c>
      <c r="F207" s="1">
        <v>45778</v>
      </c>
      <c r="G207" t="s">
        <v>46</v>
      </c>
      <c r="H207">
        <v>2</v>
      </c>
    </row>
    <row r="208" spans="1:8" x14ac:dyDescent="0.3">
      <c r="A208" s="1">
        <v>45779</v>
      </c>
      <c r="B208" t="s">
        <v>20</v>
      </c>
      <c r="C208">
        <v>1</v>
      </c>
      <c r="D208" s="1">
        <v>45779</v>
      </c>
      <c r="E208" t="s">
        <v>21</v>
      </c>
      <c r="F208" s="1">
        <v>45778</v>
      </c>
      <c r="G208" t="s">
        <v>46</v>
      </c>
      <c r="H208">
        <v>2</v>
      </c>
    </row>
    <row r="209" spans="1:8" x14ac:dyDescent="0.3">
      <c r="A209" s="1">
        <v>45779</v>
      </c>
      <c r="B209" t="s">
        <v>36</v>
      </c>
      <c r="C209">
        <v>1</v>
      </c>
      <c r="D209" s="1">
        <v>45779</v>
      </c>
      <c r="E209" t="s">
        <v>37</v>
      </c>
      <c r="F209" s="1">
        <v>45778</v>
      </c>
      <c r="G209" t="s">
        <v>46</v>
      </c>
      <c r="H209">
        <v>2</v>
      </c>
    </row>
    <row r="210" spans="1:8" x14ac:dyDescent="0.3">
      <c r="A210" s="1">
        <v>45780</v>
      </c>
      <c r="B210" t="s">
        <v>36</v>
      </c>
      <c r="C210">
        <v>1</v>
      </c>
      <c r="D210" s="1">
        <v>45780</v>
      </c>
      <c r="E210" t="s">
        <v>37</v>
      </c>
      <c r="F210" s="1">
        <v>45778</v>
      </c>
      <c r="G210" t="s">
        <v>46</v>
      </c>
      <c r="H210">
        <v>3</v>
      </c>
    </row>
    <row r="211" spans="1:8" x14ac:dyDescent="0.3">
      <c r="A211" s="1">
        <v>45780</v>
      </c>
      <c r="B211" t="s">
        <v>32</v>
      </c>
      <c r="C211">
        <v>3</v>
      </c>
      <c r="D211" s="1">
        <v>45780</v>
      </c>
      <c r="E211" t="s">
        <v>33</v>
      </c>
      <c r="F211" s="1">
        <v>45778</v>
      </c>
      <c r="G211" t="s">
        <v>46</v>
      </c>
      <c r="H211">
        <v>3</v>
      </c>
    </row>
    <row r="212" spans="1:8" x14ac:dyDescent="0.3">
      <c r="A212" s="1">
        <v>45780</v>
      </c>
      <c r="B212" t="s">
        <v>16</v>
      </c>
      <c r="C212">
        <v>1</v>
      </c>
      <c r="D212" s="1">
        <v>45780</v>
      </c>
      <c r="E212" t="s">
        <v>17</v>
      </c>
      <c r="F212" s="1">
        <v>45778</v>
      </c>
      <c r="G212" t="s">
        <v>46</v>
      </c>
      <c r="H212">
        <v>3</v>
      </c>
    </row>
    <row r="213" spans="1:8" x14ac:dyDescent="0.3">
      <c r="A213" s="1">
        <v>45781</v>
      </c>
      <c r="B213" t="s">
        <v>24</v>
      </c>
      <c r="C213">
        <v>1</v>
      </c>
      <c r="D213" s="1">
        <v>45781</v>
      </c>
      <c r="E213" t="s">
        <v>25</v>
      </c>
      <c r="F213" s="1">
        <v>45778</v>
      </c>
      <c r="G213" t="s">
        <v>46</v>
      </c>
      <c r="H213">
        <v>4</v>
      </c>
    </row>
    <row r="214" spans="1:8" x14ac:dyDescent="0.3">
      <c r="A214" s="1">
        <v>45781</v>
      </c>
      <c r="B214" t="s">
        <v>38</v>
      </c>
      <c r="C214">
        <v>1</v>
      </c>
      <c r="D214" s="1">
        <v>45781</v>
      </c>
      <c r="E214" t="s">
        <v>39</v>
      </c>
      <c r="F214" s="1">
        <v>45778</v>
      </c>
      <c r="G214" t="s">
        <v>46</v>
      </c>
      <c r="H214">
        <v>4</v>
      </c>
    </row>
    <row r="215" spans="1:8" x14ac:dyDescent="0.3">
      <c r="A215" s="1">
        <v>45781</v>
      </c>
      <c r="B215" t="s">
        <v>16</v>
      </c>
      <c r="C215">
        <v>1</v>
      </c>
      <c r="D215" s="1">
        <v>45781</v>
      </c>
      <c r="E215" t="s">
        <v>17</v>
      </c>
      <c r="F215" s="1">
        <v>45778</v>
      </c>
      <c r="G215" t="s">
        <v>46</v>
      </c>
      <c r="H215">
        <v>4</v>
      </c>
    </row>
    <row r="216" spans="1:8" x14ac:dyDescent="0.3">
      <c r="A216" s="1">
        <v>45782</v>
      </c>
      <c r="B216" t="s">
        <v>30</v>
      </c>
      <c r="C216">
        <v>1</v>
      </c>
      <c r="D216" s="1">
        <v>45782</v>
      </c>
      <c r="E216" t="s">
        <v>31</v>
      </c>
      <c r="F216" s="1">
        <v>45778</v>
      </c>
      <c r="G216" t="s">
        <v>46</v>
      </c>
      <c r="H216">
        <v>5</v>
      </c>
    </row>
    <row r="217" spans="1:8" x14ac:dyDescent="0.3">
      <c r="A217" s="1">
        <v>45783</v>
      </c>
      <c r="B217" t="s">
        <v>30</v>
      </c>
      <c r="C217">
        <v>1</v>
      </c>
      <c r="D217" s="1">
        <v>45783</v>
      </c>
      <c r="E217" t="s">
        <v>31</v>
      </c>
      <c r="F217" s="1">
        <v>45778</v>
      </c>
      <c r="G217" t="s">
        <v>46</v>
      </c>
      <c r="H217">
        <v>6</v>
      </c>
    </row>
    <row r="218" spans="1:8" x14ac:dyDescent="0.3">
      <c r="A218" s="1">
        <v>45783</v>
      </c>
      <c r="B218" t="s">
        <v>47</v>
      </c>
      <c r="C218">
        <v>1</v>
      </c>
      <c r="D218" s="1">
        <v>45783</v>
      </c>
      <c r="E218" t="s">
        <v>48</v>
      </c>
      <c r="F218" s="1">
        <v>45778</v>
      </c>
      <c r="G218" t="s">
        <v>46</v>
      </c>
      <c r="H218">
        <v>6</v>
      </c>
    </row>
    <row r="219" spans="1:8" x14ac:dyDescent="0.3">
      <c r="A219" s="1">
        <v>45783</v>
      </c>
      <c r="B219" t="s">
        <v>36</v>
      </c>
      <c r="C219">
        <v>1</v>
      </c>
      <c r="D219" s="1">
        <v>45783</v>
      </c>
      <c r="E219" t="s">
        <v>37</v>
      </c>
      <c r="F219" s="1">
        <v>45778</v>
      </c>
      <c r="G219" t="s">
        <v>46</v>
      </c>
      <c r="H219">
        <v>6</v>
      </c>
    </row>
    <row r="220" spans="1:8" x14ac:dyDescent="0.3">
      <c r="A220" s="1">
        <v>45785</v>
      </c>
      <c r="B220" t="s">
        <v>22</v>
      </c>
      <c r="C220">
        <v>1</v>
      </c>
      <c r="D220" s="1">
        <v>45785</v>
      </c>
      <c r="E220" t="s">
        <v>23</v>
      </c>
      <c r="F220" s="1">
        <v>45778</v>
      </c>
      <c r="G220" t="s">
        <v>46</v>
      </c>
      <c r="H220">
        <v>8</v>
      </c>
    </row>
    <row r="221" spans="1:8" x14ac:dyDescent="0.3">
      <c r="A221" s="1">
        <v>45787</v>
      </c>
      <c r="B221" t="s">
        <v>27</v>
      </c>
      <c r="C221">
        <v>2</v>
      </c>
      <c r="D221" s="1">
        <v>45787</v>
      </c>
      <c r="E221" t="s">
        <v>28</v>
      </c>
      <c r="F221" s="1">
        <v>45778</v>
      </c>
      <c r="G221" t="s">
        <v>46</v>
      </c>
      <c r="H221">
        <v>10</v>
      </c>
    </row>
    <row r="222" spans="1:8" x14ac:dyDescent="0.3">
      <c r="A222" s="1">
        <v>45788</v>
      </c>
      <c r="B222" t="s">
        <v>8</v>
      </c>
      <c r="C222">
        <v>1</v>
      </c>
      <c r="D222" s="1">
        <v>45788</v>
      </c>
      <c r="E222" t="s">
        <v>9</v>
      </c>
      <c r="F222" s="1">
        <v>45778</v>
      </c>
      <c r="G222" t="s">
        <v>46</v>
      </c>
      <c r="H222">
        <v>11</v>
      </c>
    </row>
    <row r="223" spans="1:8" x14ac:dyDescent="0.3">
      <c r="A223" s="1">
        <v>45789</v>
      </c>
      <c r="B223" t="s">
        <v>30</v>
      </c>
      <c r="C223">
        <v>1</v>
      </c>
      <c r="D223" s="1">
        <v>45789</v>
      </c>
      <c r="E223" t="s">
        <v>31</v>
      </c>
      <c r="F223" s="1">
        <v>45778</v>
      </c>
      <c r="G223" t="s">
        <v>46</v>
      </c>
      <c r="H223">
        <v>12</v>
      </c>
    </row>
    <row r="224" spans="1:8" x14ac:dyDescent="0.3">
      <c r="A224" s="1">
        <v>45790</v>
      </c>
      <c r="B224" t="s">
        <v>13</v>
      </c>
      <c r="C224">
        <v>1</v>
      </c>
      <c r="D224" s="1">
        <v>45790</v>
      </c>
      <c r="E224" t="s">
        <v>14</v>
      </c>
      <c r="F224" s="1">
        <v>45778</v>
      </c>
      <c r="G224" t="s">
        <v>46</v>
      </c>
      <c r="H224">
        <v>13</v>
      </c>
    </row>
    <row r="225" spans="1:8" x14ac:dyDescent="0.3">
      <c r="A225" s="1">
        <v>45790</v>
      </c>
      <c r="B225" t="s">
        <v>49</v>
      </c>
      <c r="C225">
        <v>1</v>
      </c>
      <c r="D225" s="1">
        <v>45790</v>
      </c>
      <c r="E225" t="s">
        <v>50</v>
      </c>
      <c r="F225" s="1">
        <v>45778</v>
      </c>
      <c r="G225" t="s">
        <v>46</v>
      </c>
      <c r="H225">
        <v>13</v>
      </c>
    </row>
    <row r="226" spans="1:8" x14ac:dyDescent="0.3">
      <c r="A226" s="1">
        <v>45790</v>
      </c>
      <c r="B226" t="s">
        <v>18</v>
      </c>
      <c r="C226">
        <v>1</v>
      </c>
      <c r="D226" s="1">
        <v>45790</v>
      </c>
      <c r="E226" t="s">
        <v>19</v>
      </c>
      <c r="F226" s="1">
        <v>45778</v>
      </c>
      <c r="G226" t="s">
        <v>46</v>
      </c>
      <c r="H226">
        <v>13</v>
      </c>
    </row>
    <row r="227" spans="1:8" x14ac:dyDescent="0.3">
      <c r="A227" s="1">
        <v>45790</v>
      </c>
      <c r="B227" t="s">
        <v>51</v>
      </c>
      <c r="C227">
        <v>1</v>
      </c>
      <c r="D227" s="1">
        <v>45790</v>
      </c>
      <c r="E227" t="s">
        <v>52</v>
      </c>
      <c r="F227" s="1">
        <v>45778</v>
      </c>
      <c r="G227" t="s">
        <v>46</v>
      </c>
      <c r="H227">
        <v>13</v>
      </c>
    </row>
    <row r="228" spans="1:8" x14ac:dyDescent="0.3">
      <c r="A228" s="1">
        <v>45791</v>
      </c>
      <c r="B228" t="s">
        <v>11</v>
      </c>
      <c r="C228">
        <v>1</v>
      </c>
      <c r="D228" s="1">
        <v>45791</v>
      </c>
      <c r="E228" t="s">
        <v>12</v>
      </c>
      <c r="F228" s="1">
        <v>45778</v>
      </c>
      <c r="G228" t="s">
        <v>46</v>
      </c>
      <c r="H228">
        <v>14</v>
      </c>
    </row>
    <row r="229" spans="1:8" x14ac:dyDescent="0.3">
      <c r="A229" s="1">
        <v>45792</v>
      </c>
      <c r="B229" t="s">
        <v>47</v>
      </c>
      <c r="C229">
        <v>1</v>
      </c>
      <c r="D229" s="1">
        <v>45792</v>
      </c>
      <c r="E229" t="s">
        <v>48</v>
      </c>
      <c r="F229" s="1">
        <v>45778</v>
      </c>
      <c r="G229" t="s">
        <v>46</v>
      </c>
      <c r="H229">
        <v>15</v>
      </c>
    </row>
    <row r="230" spans="1:8" x14ac:dyDescent="0.3">
      <c r="A230" s="1">
        <v>45792</v>
      </c>
      <c r="B230" t="s">
        <v>27</v>
      </c>
      <c r="C230">
        <v>1</v>
      </c>
      <c r="D230" s="1">
        <v>45792</v>
      </c>
      <c r="E230" t="s">
        <v>28</v>
      </c>
      <c r="F230" s="1">
        <v>45778</v>
      </c>
      <c r="G230" t="s">
        <v>46</v>
      </c>
      <c r="H230">
        <v>15</v>
      </c>
    </row>
    <row r="231" spans="1:8" x14ac:dyDescent="0.3">
      <c r="A231" s="1">
        <v>45793</v>
      </c>
      <c r="B231" t="s">
        <v>30</v>
      </c>
      <c r="C231">
        <v>1</v>
      </c>
      <c r="D231" s="1">
        <v>45793</v>
      </c>
      <c r="E231" t="s">
        <v>31</v>
      </c>
      <c r="F231" s="1">
        <v>45778</v>
      </c>
      <c r="G231" t="s">
        <v>46</v>
      </c>
      <c r="H231">
        <v>16</v>
      </c>
    </row>
    <row r="232" spans="1:8" x14ac:dyDescent="0.3">
      <c r="A232" s="1">
        <v>45793</v>
      </c>
      <c r="B232" t="s">
        <v>38</v>
      </c>
      <c r="C232">
        <v>1</v>
      </c>
      <c r="D232" s="1">
        <v>45793</v>
      </c>
      <c r="E232" t="s">
        <v>39</v>
      </c>
      <c r="F232" s="1">
        <v>45778</v>
      </c>
      <c r="G232" t="s">
        <v>46</v>
      </c>
      <c r="H232">
        <v>16</v>
      </c>
    </row>
    <row r="233" spans="1:8" x14ac:dyDescent="0.3">
      <c r="A233" s="1">
        <v>45793</v>
      </c>
      <c r="B233" t="s">
        <v>41</v>
      </c>
      <c r="C233">
        <v>1</v>
      </c>
      <c r="D233" s="1">
        <v>45793</v>
      </c>
      <c r="E233" t="s">
        <v>42</v>
      </c>
      <c r="F233" s="1">
        <v>45778</v>
      </c>
      <c r="G233" t="s">
        <v>46</v>
      </c>
      <c r="H233">
        <v>16</v>
      </c>
    </row>
    <row r="234" spans="1:8" x14ac:dyDescent="0.3">
      <c r="A234" s="1">
        <v>45795</v>
      </c>
      <c r="B234" t="s">
        <v>22</v>
      </c>
      <c r="C234">
        <v>1</v>
      </c>
      <c r="D234" s="1">
        <v>45795</v>
      </c>
      <c r="E234" t="s">
        <v>23</v>
      </c>
      <c r="F234" s="1">
        <v>45778</v>
      </c>
      <c r="G234" t="s">
        <v>46</v>
      </c>
      <c r="H234">
        <v>18</v>
      </c>
    </row>
    <row r="235" spans="1:8" x14ac:dyDescent="0.3">
      <c r="A235" s="1">
        <v>45795</v>
      </c>
      <c r="B235" t="s">
        <v>30</v>
      </c>
      <c r="C235">
        <v>1</v>
      </c>
      <c r="D235" s="1">
        <v>45795</v>
      </c>
      <c r="E235" t="s">
        <v>31</v>
      </c>
      <c r="F235" s="1">
        <v>45778</v>
      </c>
      <c r="G235" t="s">
        <v>46</v>
      </c>
      <c r="H235">
        <v>18</v>
      </c>
    </row>
    <row r="236" spans="1:8" x14ac:dyDescent="0.3">
      <c r="A236" s="1">
        <v>45795</v>
      </c>
      <c r="B236" t="s">
        <v>36</v>
      </c>
      <c r="C236">
        <v>2</v>
      </c>
      <c r="D236" s="1">
        <v>45795</v>
      </c>
      <c r="E236" t="s">
        <v>37</v>
      </c>
      <c r="F236" s="1">
        <v>45778</v>
      </c>
      <c r="G236" t="s">
        <v>46</v>
      </c>
      <c r="H236">
        <v>18</v>
      </c>
    </row>
    <row r="237" spans="1:8" x14ac:dyDescent="0.3">
      <c r="A237" s="1">
        <v>45795</v>
      </c>
      <c r="B237" t="s">
        <v>16</v>
      </c>
      <c r="C237">
        <v>3</v>
      </c>
      <c r="D237" s="1">
        <v>45795</v>
      </c>
      <c r="E237" t="s">
        <v>17</v>
      </c>
      <c r="F237" s="1">
        <v>45778</v>
      </c>
      <c r="G237" t="s">
        <v>46</v>
      </c>
      <c r="H237">
        <v>18</v>
      </c>
    </row>
    <row r="238" spans="1:8" x14ac:dyDescent="0.3">
      <c r="A238" s="1">
        <v>45796</v>
      </c>
      <c r="B238" t="s">
        <v>22</v>
      </c>
      <c r="C238">
        <v>1</v>
      </c>
      <c r="D238" s="1">
        <v>45796</v>
      </c>
      <c r="E238" t="s">
        <v>23</v>
      </c>
      <c r="F238" s="1">
        <v>45778</v>
      </c>
      <c r="G238" t="s">
        <v>46</v>
      </c>
      <c r="H238">
        <v>19</v>
      </c>
    </row>
    <row r="239" spans="1:8" x14ac:dyDescent="0.3">
      <c r="A239" s="1">
        <v>45796</v>
      </c>
      <c r="B239" t="s">
        <v>24</v>
      </c>
      <c r="C239">
        <v>2</v>
      </c>
      <c r="D239" s="1">
        <v>45796</v>
      </c>
      <c r="E239" t="s">
        <v>25</v>
      </c>
      <c r="F239" s="1">
        <v>45778</v>
      </c>
      <c r="G239" t="s">
        <v>46</v>
      </c>
      <c r="H239">
        <v>19</v>
      </c>
    </row>
    <row r="240" spans="1:8" x14ac:dyDescent="0.3">
      <c r="A240" s="1">
        <v>45796</v>
      </c>
      <c r="B240" t="s">
        <v>13</v>
      </c>
      <c r="C240">
        <v>1</v>
      </c>
      <c r="D240" s="1">
        <v>45796</v>
      </c>
      <c r="E240" t="s">
        <v>14</v>
      </c>
      <c r="F240" s="1">
        <v>45778</v>
      </c>
      <c r="G240" t="s">
        <v>46</v>
      </c>
      <c r="H240">
        <v>19</v>
      </c>
    </row>
    <row r="241" spans="1:8" x14ac:dyDescent="0.3">
      <c r="A241" s="1">
        <v>45796</v>
      </c>
      <c r="B241" t="s">
        <v>38</v>
      </c>
      <c r="C241">
        <v>1</v>
      </c>
      <c r="D241" s="1">
        <v>45796</v>
      </c>
      <c r="E241" t="s">
        <v>39</v>
      </c>
      <c r="F241" s="1">
        <v>45778</v>
      </c>
      <c r="G241" t="s">
        <v>46</v>
      </c>
      <c r="H241">
        <v>19</v>
      </c>
    </row>
    <row r="242" spans="1:8" x14ac:dyDescent="0.3">
      <c r="A242" s="1">
        <v>45796</v>
      </c>
      <c r="B242" t="s">
        <v>36</v>
      </c>
      <c r="C242">
        <v>1</v>
      </c>
      <c r="D242" s="1">
        <v>45796</v>
      </c>
      <c r="E242" t="s">
        <v>37</v>
      </c>
      <c r="F242" s="1">
        <v>45778</v>
      </c>
      <c r="G242" t="s">
        <v>46</v>
      </c>
      <c r="H242">
        <v>19</v>
      </c>
    </row>
    <row r="243" spans="1:8" x14ac:dyDescent="0.3">
      <c r="A243" s="1">
        <v>45797</v>
      </c>
      <c r="B243" t="s">
        <v>38</v>
      </c>
      <c r="C243">
        <v>1</v>
      </c>
      <c r="D243" s="1">
        <v>45797</v>
      </c>
      <c r="E243" t="s">
        <v>39</v>
      </c>
      <c r="F243" s="1">
        <v>45778</v>
      </c>
      <c r="G243" t="s">
        <v>46</v>
      </c>
      <c r="H243">
        <v>20</v>
      </c>
    </row>
    <row r="244" spans="1:8" x14ac:dyDescent="0.3">
      <c r="A244" s="1">
        <v>45797</v>
      </c>
      <c r="B244" t="s">
        <v>36</v>
      </c>
      <c r="C244">
        <v>1</v>
      </c>
      <c r="D244" s="1">
        <v>45797</v>
      </c>
      <c r="E244" t="s">
        <v>37</v>
      </c>
      <c r="F244" s="1">
        <v>45778</v>
      </c>
      <c r="G244" t="s">
        <v>46</v>
      </c>
      <c r="H244">
        <v>20</v>
      </c>
    </row>
    <row r="245" spans="1:8" x14ac:dyDescent="0.3">
      <c r="A245" s="1">
        <v>45798</v>
      </c>
      <c r="B245" t="s">
        <v>11</v>
      </c>
      <c r="C245">
        <v>1</v>
      </c>
      <c r="D245" s="1">
        <v>45798</v>
      </c>
      <c r="E245" t="s">
        <v>12</v>
      </c>
      <c r="F245" s="1">
        <v>45778</v>
      </c>
      <c r="G245" t="s">
        <v>46</v>
      </c>
      <c r="H245">
        <v>21</v>
      </c>
    </row>
    <row r="246" spans="1:8" x14ac:dyDescent="0.3">
      <c r="A246" s="1">
        <v>45798</v>
      </c>
      <c r="B246" t="s">
        <v>8</v>
      </c>
      <c r="C246">
        <v>1</v>
      </c>
      <c r="D246" s="1">
        <v>45798</v>
      </c>
      <c r="E246" t="s">
        <v>9</v>
      </c>
      <c r="F246" s="1">
        <v>45778</v>
      </c>
      <c r="G246" t="s">
        <v>46</v>
      </c>
      <c r="H246">
        <v>21</v>
      </c>
    </row>
    <row r="247" spans="1:8" x14ac:dyDescent="0.3">
      <c r="A247" s="1">
        <v>45799</v>
      </c>
      <c r="B247" t="s">
        <v>22</v>
      </c>
      <c r="C247">
        <v>1</v>
      </c>
      <c r="D247" s="1">
        <v>45799</v>
      </c>
      <c r="E247" t="s">
        <v>23</v>
      </c>
      <c r="F247" s="1">
        <v>45778</v>
      </c>
      <c r="G247" t="s">
        <v>46</v>
      </c>
      <c r="H247">
        <v>22</v>
      </c>
    </row>
    <row r="248" spans="1:8" x14ac:dyDescent="0.3">
      <c r="A248" s="1">
        <v>45800</v>
      </c>
      <c r="B248" t="s">
        <v>22</v>
      </c>
      <c r="C248">
        <v>1</v>
      </c>
      <c r="D248" s="1">
        <v>45800</v>
      </c>
      <c r="E248" t="s">
        <v>23</v>
      </c>
      <c r="F248" s="1">
        <v>45778</v>
      </c>
      <c r="G248" t="s">
        <v>46</v>
      </c>
      <c r="H248">
        <v>23</v>
      </c>
    </row>
    <row r="249" spans="1:8" x14ac:dyDescent="0.3">
      <c r="A249" s="1">
        <v>45800</v>
      </c>
      <c r="B249" t="s">
        <v>32</v>
      </c>
      <c r="C249">
        <v>1</v>
      </c>
      <c r="D249" s="1">
        <v>45800</v>
      </c>
      <c r="E249" t="s">
        <v>33</v>
      </c>
      <c r="F249" s="1">
        <v>45778</v>
      </c>
      <c r="G249" t="s">
        <v>46</v>
      </c>
      <c r="H249">
        <v>23</v>
      </c>
    </row>
    <row r="250" spans="1:8" x14ac:dyDescent="0.3">
      <c r="A250" s="1">
        <v>45801</v>
      </c>
      <c r="B250" t="s">
        <v>38</v>
      </c>
      <c r="C250">
        <v>1</v>
      </c>
      <c r="D250" s="1">
        <v>45801</v>
      </c>
      <c r="E250" t="s">
        <v>39</v>
      </c>
      <c r="F250" s="1">
        <v>45778</v>
      </c>
      <c r="G250" t="s">
        <v>46</v>
      </c>
      <c r="H250">
        <v>24</v>
      </c>
    </row>
    <row r="251" spans="1:8" x14ac:dyDescent="0.3">
      <c r="A251" s="1">
        <v>45802</v>
      </c>
      <c r="B251" t="s">
        <v>24</v>
      </c>
      <c r="C251">
        <v>1</v>
      </c>
      <c r="D251" s="1">
        <v>45802</v>
      </c>
      <c r="E251" t="s">
        <v>25</v>
      </c>
      <c r="F251" s="1">
        <v>45778</v>
      </c>
      <c r="G251" t="s">
        <v>46</v>
      </c>
      <c r="H251">
        <v>25</v>
      </c>
    </row>
    <row r="252" spans="1:8" x14ac:dyDescent="0.3">
      <c r="A252" s="1">
        <v>45802</v>
      </c>
      <c r="B252" t="s">
        <v>36</v>
      </c>
      <c r="C252">
        <v>1</v>
      </c>
      <c r="D252" s="1">
        <v>45802</v>
      </c>
      <c r="E252" t="s">
        <v>37</v>
      </c>
      <c r="F252" s="1">
        <v>45778</v>
      </c>
      <c r="G252" t="s">
        <v>46</v>
      </c>
      <c r="H252">
        <v>25</v>
      </c>
    </row>
    <row r="253" spans="1:8" x14ac:dyDescent="0.3">
      <c r="A253" s="1">
        <v>45802</v>
      </c>
      <c r="B253" t="s">
        <v>8</v>
      </c>
      <c r="C253">
        <v>1</v>
      </c>
      <c r="D253" s="1">
        <v>45802</v>
      </c>
      <c r="E253" t="s">
        <v>9</v>
      </c>
      <c r="F253" s="1">
        <v>45778</v>
      </c>
      <c r="G253" t="s">
        <v>46</v>
      </c>
      <c r="H253">
        <v>25</v>
      </c>
    </row>
    <row r="254" spans="1:8" x14ac:dyDescent="0.3">
      <c r="A254" s="1">
        <v>45802</v>
      </c>
      <c r="B254" t="s">
        <v>27</v>
      </c>
      <c r="C254">
        <v>1</v>
      </c>
      <c r="D254" s="1">
        <v>45802</v>
      </c>
      <c r="E254" t="s">
        <v>28</v>
      </c>
      <c r="F254" s="1">
        <v>45778</v>
      </c>
      <c r="G254" t="s">
        <v>46</v>
      </c>
      <c r="H254">
        <v>25</v>
      </c>
    </row>
    <row r="255" spans="1:8" x14ac:dyDescent="0.3">
      <c r="A255" s="1">
        <v>45803</v>
      </c>
      <c r="B255" t="s">
        <v>13</v>
      </c>
      <c r="C255">
        <v>1</v>
      </c>
      <c r="D255" s="1">
        <v>45803</v>
      </c>
      <c r="E255" t="s">
        <v>14</v>
      </c>
      <c r="F255" s="1">
        <v>45778</v>
      </c>
      <c r="G255" t="s">
        <v>46</v>
      </c>
      <c r="H255">
        <v>26</v>
      </c>
    </row>
    <row r="256" spans="1:8" x14ac:dyDescent="0.3">
      <c r="A256" s="1">
        <v>45804</v>
      </c>
      <c r="B256" t="s">
        <v>11</v>
      </c>
      <c r="C256">
        <v>1</v>
      </c>
      <c r="D256" s="1">
        <v>45804</v>
      </c>
      <c r="E256" t="s">
        <v>12</v>
      </c>
      <c r="F256" s="1">
        <v>45778</v>
      </c>
      <c r="G256" t="s">
        <v>46</v>
      </c>
      <c r="H256">
        <v>27</v>
      </c>
    </row>
    <row r="257" spans="1:8" x14ac:dyDescent="0.3">
      <c r="A257" s="1">
        <v>45805</v>
      </c>
      <c r="B257" t="s">
        <v>34</v>
      </c>
      <c r="C257">
        <v>1</v>
      </c>
      <c r="D257" s="1">
        <v>45805</v>
      </c>
      <c r="E257" t="s">
        <v>35</v>
      </c>
      <c r="F257" s="1">
        <v>45778</v>
      </c>
      <c r="G257" t="s">
        <v>46</v>
      </c>
      <c r="H257">
        <v>28</v>
      </c>
    </row>
    <row r="258" spans="1:8" x14ac:dyDescent="0.3">
      <c r="A258" s="1">
        <v>45805</v>
      </c>
      <c r="B258" t="s">
        <v>38</v>
      </c>
      <c r="C258">
        <v>2</v>
      </c>
      <c r="D258" s="1">
        <v>45805</v>
      </c>
      <c r="E258" t="s">
        <v>39</v>
      </c>
      <c r="F258" s="1">
        <v>45778</v>
      </c>
      <c r="G258" t="s">
        <v>46</v>
      </c>
      <c r="H258">
        <v>28</v>
      </c>
    </row>
    <row r="259" spans="1:8" x14ac:dyDescent="0.3">
      <c r="A259" s="1">
        <v>45805</v>
      </c>
      <c r="B259" t="s">
        <v>36</v>
      </c>
      <c r="C259">
        <v>1</v>
      </c>
      <c r="D259" s="1">
        <v>45805</v>
      </c>
      <c r="E259" t="s">
        <v>37</v>
      </c>
      <c r="F259" s="1">
        <v>45778</v>
      </c>
      <c r="G259" t="s">
        <v>46</v>
      </c>
      <c r="H259">
        <v>28</v>
      </c>
    </row>
    <row r="260" spans="1:8" x14ac:dyDescent="0.3">
      <c r="A260" s="1">
        <v>45805</v>
      </c>
      <c r="B260" t="s">
        <v>32</v>
      </c>
      <c r="C260">
        <v>2</v>
      </c>
      <c r="D260" s="1">
        <v>45805</v>
      </c>
      <c r="E260" t="s">
        <v>33</v>
      </c>
      <c r="F260" s="1">
        <v>45778</v>
      </c>
      <c r="G260" t="s">
        <v>46</v>
      </c>
      <c r="H260">
        <v>28</v>
      </c>
    </row>
    <row r="261" spans="1:8" x14ac:dyDescent="0.3">
      <c r="A261" s="1">
        <v>45805</v>
      </c>
      <c r="B261" t="s">
        <v>27</v>
      </c>
      <c r="C261">
        <v>1</v>
      </c>
      <c r="D261" s="1">
        <v>45805</v>
      </c>
      <c r="E261" t="s">
        <v>28</v>
      </c>
      <c r="F261" s="1">
        <v>45778</v>
      </c>
      <c r="G261" t="s">
        <v>46</v>
      </c>
      <c r="H261">
        <v>28</v>
      </c>
    </row>
    <row r="262" spans="1:8" x14ac:dyDescent="0.3">
      <c r="A262" s="1">
        <v>45808</v>
      </c>
      <c r="B262" t="s">
        <v>11</v>
      </c>
      <c r="C262">
        <v>1</v>
      </c>
      <c r="D262" s="1">
        <v>45808</v>
      </c>
      <c r="E262" t="s">
        <v>12</v>
      </c>
      <c r="F262" s="1">
        <v>45778</v>
      </c>
      <c r="G262" t="s">
        <v>46</v>
      </c>
      <c r="H262">
        <v>31</v>
      </c>
    </row>
    <row r="263" spans="1:8" x14ac:dyDescent="0.3">
      <c r="A263" s="1">
        <v>45808</v>
      </c>
      <c r="B263" t="s">
        <v>8</v>
      </c>
      <c r="C263">
        <v>1</v>
      </c>
      <c r="D263" s="1">
        <v>45808</v>
      </c>
      <c r="E263" t="s">
        <v>9</v>
      </c>
      <c r="F263" s="1">
        <v>45778</v>
      </c>
      <c r="G263" t="s">
        <v>46</v>
      </c>
      <c r="H263">
        <v>31</v>
      </c>
    </row>
    <row r="264" spans="1:8" x14ac:dyDescent="0.3">
      <c r="A264" s="1">
        <v>45808</v>
      </c>
      <c r="B264" t="s">
        <v>27</v>
      </c>
      <c r="C264">
        <v>1</v>
      </c>
      <c r="D264" s="1">
        <v>45808</v>
      </c>
      <c r="E264" t="s">
        <v>28</v>
      </c>
      <c r="F264" s="1">
        <v>45778</v>
      </c>
      <c r="G264" t="s">
        <v>46</v>
      </c>
      <c r="H264">
        <v>31</v>
      </c>
    </row>
    <row r="265" spans="1:8" x14ac:dyDescent="0.3">
      <c r="A265" s="1">
        <v>45809</v>
      </c>
      <c r="B265" t="s">
        <v>22</v>
      </c>
      <c r="C265">
        <v>1</v>
      </c>
      <c r="D265" s="1">
        <v>45809</v>
      </c>
      <c r="E265" t="s">
        <v>23</v>
      </c>
      <c r="F265" s="1">
        <v>45809</v>
      </c>
      <c r="G265" t="s">
        <v>53</v>
      </c>
      <c r="H265">
        <v>1</v>
      </c>
    </row>
    <row r="266" spans="1:8" x14ac:dyDescent="0.3">
      <c r="A266" s="1">
        <v>45809</v>
      </c>
      <c r="B266" t="s">
        <v>47</v>
      </c>
      <c r="C266">
        <v>1</v>
      </c>
      <c r="D266" s="1">
        <v>45809</v>
      </c>
      <c r="E266" t="s">
        <v>48</v>
      </c>
      <c r="F266" s="1">
        <v>45809</v>
      </c>
      <c r="G266" t="s">
        <v>53</v>
      </c>
      <c r="H266">
        <v>1</v>
      </c>
    </row>
    <row r="267" spans="1:8" x14ac:dyDescent="0.3">
      <c r="A267" s="1">
        <v>45809</v>
      </c>
      <c r="B267" t="s">
        <v>11</v>
      </c>
      <c r="C267">
        <v>1</v>
      </c>
      <c r="D267" s="1">
        <v>45809</v>
      </c>
      <c r="E267" t="s">
        <v>12</v>
      </c>
      <c r="F267" s="1">
        <v>45809</v>
      </c>
      <c r="G267" t="s">
        <v>53</v>
      </c>
      <c r="H267">
        <v>1</v>
      </c>
    </row>
    <row r="268" spans="1:8" x14ac:dyDescent="0.3">
      <c r="A268" s="1">
        <v>45809</v>
      </c>
      <c r="B268" t="s">
        <v>16</v>
      </c>
      <c r="C268">
        <v>1</v>
      </c>
      <c r="D268" s="1">
        <v>45809</v>
      </c>
      <c r="E268" t="s">
        <v>17</v>
      </c>
      <c r="F268" s="1">
        <v>45809</v>
      </c>
      <c r="G268" t="s">
        <v>53</v>
      </c>
      <c r="H268">
        <v>1</v>
      </c>
    </row>
    <row r="269" spans="1:8" x14ac:dyDescent="0.3">
      <c r="A269" s="1">
        <v>45809</v>
      </c>
      <c r="B269" t="s">
        <v>41</v>
      </c>
      <c r="C269">
        <v>1</v>
      </c>
      <c r="D269" s="1">
        <v>45809</v>
      </c>
      <c r="E269" t="s">
        <v>42</v>
      </c>
      <c r="F269" s="1">
        <v>45809</v>
      </c>
      <c r="G269" t="s">
        <v>53</v>
      </c>
      <c r="H269">
        <v>1</v>
      </c>
    </row>
    <row r="270" spans="1:8" x14ac:dyDescent="0.3">
      <c r="A270" s="1">
        <v>45810</v>
      </c>
      <c r="B270" t="s">
        <v>22</v>
      </c>
      <c r="C270">
        <v>2</v>
      </c>
      <c r="D270" s="1">
        <v>45810</v>
      </c>
      <c r="E270" t="s">
        <v>23</v>
      </c>
      <c r="F270" s="1">
        <v>45809</v>
      </c>
      <c r="G270" t="s">
        <v>53</v>
      </c>
      <c r="H270">
        <v>2</v>
      </c>
    </row>
    <row r="271" spans="1:8" x14ac:dyDescent="0.3">
      <c r="A271" s="1">
        <v>45811</v>
      </c>
      <c r="B271" t="s">
        <v>22</v>
      </c>
      <c r="C271">
        <v>1</v>
      </c>
      <c r="D271" s="1">
        <v>45811</v>
      </c>
      <c r="E271" t="s">
        <v>23</v>
      </c>
      <c r="F271" s="1">
        <v>45809</v>
      </c>
      <c r="G271" t="s">
        <v>53</v>
      </c>
      <c r="H271">
        <v>3</v>
      </c>
    </row>
    <row r="272" spans="1:8" x14ac:dyDescent="0.3">
      <c r="A272" s="1">
        <v>45811</v>
      </c>
      <c r="B272" t="s">
        <v>11</v>
      </c>
      <c r="C272">
        <v>1</v>
      </c>
      <c r="D272" s="1">
        <v>45811</v>
      </c>
      <c r="E272" t="s">
        <v>12</v>
      </c>
      <c r="F272" s="1">
        <v>45809</v>
      </c>
      <c r="G272" t="s">
        <v>53</v>
      </c>
      <c r="H272">
        <v>3</v>
      </c>
    </row>
    <row r="273" spans="1:8" x14ac:dyDescent="0.3">
      <c r="A273" s="1">
        <v>45811</v>
      </c>
      <c r="B273" t="s">
        <v>18</v>
      </c>
      <c r="C273">
        <v>1</v>
      </c>
      <c r="D273" s="1">
        <v>45811</v>
      </c>
      <c r="E273" t="s">
        <v>19</v>
      </c>
      <c r="F273" s="1">
        <v>45809</v>
      </c>
      <c r="G273" t="s">
        <v>53</v>
      </c>
      <c r="H273">
        <v>3</v>
      </c>
    </row>
    <row r="274" spans="1:8" x14ac:dyDescent="0.3">
      <c r="A274" s="1">
        <v>45811</v>
      </c>
      <c r="B274" t="s">
        <v>41</v>
      </c>
      <c r="C274">
        <v>1</v>
      </c>
      <c r="D274" s="1">
        <v>45811</v>
      </c>
      <c r="E274" t="s">
        <v>42</v>
      </c>
      <c r="F274" s="1">
        <v>45809</v>
      </c>
      <c r="G274" t="s">
        <v>53</v>
      </c>
      <c r="H274">
        <v>3</v>
      </c>
    </row>
    <row r="275" spans="1:8" x14ac:dyDescent="0.3">
      <c r="A275" s="1">
        <v>45812</v>
      </c>
      <c r="B275" t="s">
        <v>13</v>
      </c>
      <c r="C275">
        <v>1</v>
      </c>
      <c r="D275" s="1">
        <v>45812</v>
      </c>
      <c r="E275" t="s">
        <v>14</v>
      </c>
      <c r="F275" s="1">
        <v>45809</v>
      </c>
      <c r="G275" t="s">
        <v>53</v>
      </c>
      <c r="H275">
        <v>4</v>
      </c>
    </row>
    <row r="276" spans="1:8" x14ac:dyDescent="0.3">
      <c r="A276" s="1">
        <v>45812</v>
      </c>
      <c r="B276" t="s">
        <v>27</v>
      </c>
      <c r="C276">
        <v>1</v>
      </c>
      <c r="D276" s="1">
        <v>45812</v>
      </c>
      <c r="E276" t="s">
        <v>28</v>
      </c>
      <c r="F276" s="1">
        <v>45809</v>
      </c>
      <c r="G276" t="s">
        <v>53</v>
      </c>
      <c r="H276">
        <v>4</v>
      </c>
    </row>
    <row r="277" spans="1:8" x14ac:dyDescent="0.3">
      <c r="A277" s="1">
        <v>45814</v>
      </c>
      <c r="B277" t="s">
        <v>24</v>
      </c>
      <c r="C277">
        <v>1</v>
      </c>
      <c r="D277" s="1">
        <v>45814</v>
      </c>
      <c r="E277" t="s">
        <v>25</v>
      </c>
      <c r="F277" s="1">
        <v>45809</v>
      </c>
      <c r="G277" t="s">
        <v>53</v>
      </c>
      <c r="H277">
        <v>6</v>
      </c>
    </row>
    <row r="278" spans="1:8" x14ac:dyDescent="0.3">
      <c r="A278" s="1">
        <v>45815</v>
      </c>
      <c r="B278" t="s">
        <v>20</v>
      </c>
      <c r="C278">
        <v>1</v>
      </c>
      <c r="D278" s="1">
        <v>45815</v>
      </c>
      <c r="E278" t="s">
        <v>21</v>
      </c>
      <c r="F278" s="1">
        <v>45809</v>
      </c>
      <c r="G278" t="s">
        <v>53</v>
      </c>
      <c r="H278">
        <v>7</v>
      </c>
    </row>
    <row r="279" spans="1:8" x14ac:dyDescent="0.3">
      <c r="A279" s="1">
        <v>45815</v>
      </c>
      <c r="B279" t="s">
        <v>49</v>
      </c>
      <c r="C279">
        <v>1</v>
      </c>
      <c r="D279" s="1">
        <v>45815</v>
      </c>
      <c r="E279" t="s">
        <v>50</v>
      </c>
      <c r="F279" s="1">
        <v>45809</v>
      </c>
      <c r="G279" t="s">
        <v>53</v>
      </c>
      <c r="H279">
        <v>7</v>
      </c>
    </row>
    <row r="280" spans="1:8" x14ac:dyDescent="0.3">
      <c r="A280" s="1">
        <v>45815</v>
      </c>
      <c r="B280" t="s">
        <v>38</v>
      </c>
      <c r="C280">
        <v>1</v>
      </c>
      <c r="D280" s="1">
        <v>45815</v>
      </c>
      <c r="E280" t="s">
        <v>39</v>
      </c>
      <c r="F280" s="1">
        <v>45809</v>
      </c>
      <c r="G280" t="s">
        <v>53</v>
      </c>
      <c r="H280">
        <v>7</v>
      </c>
    </row>
    <row r="281" spans="1:8" x14ac:dyDescent="0.3">
      <c r="A281" s="1">
        <v>45815</v>
      </c>
      <c r="B281" t="s">
        <v>11</v>
      </c>
      <c r="C281">
        <v>1</v>
      </c>
      <c r="D281" s="1">
        <v>45815</v>
      </c>
      <c r="E281" t="s">
        <v>12</v>
      </c>
      <c r="F281" s="1">
        <v>45809</v>
      </c>
      <c r="G281" t="s">
        <v>53</v>
      </c>
      <c r="H281">
        <v>7</v>
      </c>
    </row>
    <row r="282" spans="1:8" x14ac:dyDescent="0.3">
      <c r="A282" s="1">
        <v>45818</v>
      </c>
      <c r="B282" t="s">
        <v>22</v>
      </c>
      <c r="C282">
        <v>1</v>
      </c>
      <c r="D282" s="1">
        <v>45818</v>
      </c>
      <c r="E282" t="s">
        <v>23</v>
      </c>
      <c r="F282" s="1">
        <v>45809</v>
      </c>
      <c r="G282" t="s">
        <v>53</v>
      </c>
      <c r="H282">
        <v>10</v>
      </c>
    </row>
    <row r="283" spans="1:8" x14ac:dyDescent="0.3">
      <c r="A283" s="1">
        <v>45818</v>
      </c>
      <c r="B283" t="s">
        <v>24</v>
      </c>
      <c r="C283">
        <v>1</v>
      </c>
      <c r="D283" s="1">
        <v>45818</v>
      </c>
      <c r="E283" t="s">
        <v>25</v>
      </c>
      <c r="F283" s="1">
        <v>45809</v>
      </c>
      <c r="G283" t="s">
        <v>53</v>
      </c>
      <c r="H283">
        <v>10</v>
      </c>
    </row>
    <row r="284" spans="1:8" x14ac:dyDescent="0.3">
      <c r="A284" s="1">
        <v>45818</v>
      </c>
      <c r="B284" t="s">
        <v>20</v>
      </c>
      <c r="C284">
        <v>1</v>
      </c>
      <c r="D284" s="1">
        <v>45818</v>
      </c>
      <c r="E284" t="s">
        <v>21</v>
      </c>
      <c r="F284" s="1">
        <v>45809</v>
      </c>
      <c r="G284" t="s">
        <v>53</v>
      </c>
      <c r="H284">
        <v>10</v>
      </c>
    </row>
    <row r="285" spans="1:8" x14ac:dyDescent="0.3">
      <c r="A285" s="1">
        <v>45818</v>
      </c>
      <c r="B285" t="s">
        <v>36</v>
      </c>
      <c r="C285">
        <v>3</v>
      </c>
      <c r="D285" s="1">
        <v>45818</v>
      </c>
      <c r="E285" t="s">
        <v>37</v>
      </c>
      <c r="F285" s="1">
        <v>45809</v>
      </c>
      <c r="G285" t="s">
        <v>53</v>
      </c>
      <c r="H285">
        <v>10</v>
      </c>
    </row>
    <row r="286" spans="1:8" x14ac:dyDescent="0.3">
      <c r="A286" s="1">
        <v>45818</v>
      </c>
      <c r="B286" t="s">
        <v>32</v>
      </c>
      <c r="C286">
        <v>1</v>
      </c>
      <c r="D286" s="1">
        <v>45818</v>
      </c>
      <c r="E286" t="s">
        <v>33</v>
      </c>
      <c r="F286" s="1">
        <v>45809</v>
      </c>
      <c r="G286" t="s">
        <v>53</v>
      </c>
      <c r="H286">
        <v>10</v>
      </c>
    </row>
    <row r="287" spans="1:8" x14ac:dyDescent="0.3">
      <c r="A287" s="1">
        <v>45818</v>
      </c>
      <c r="B287" t="s">
        <v>27</v>
      </c>
      <c r="C287">
        <v>1</v>
      </c>
      <c r="D287" s="1">
        <v>45818</v>
      </c>
      <c r="E287" t="s">
        <v>28</v>
      </c>
      <c r="F287" s="1">
        <v>45809</v>
      </c>
      <c r="G287" t="s">
        <v>53</v>
      </c>
      <c r="H287">
        <v>10</v>
      </c>
    </row>
    <row r="288" spans="1:8" x14ac:dyDescent="0.3">
      <c r="A288" s="1">
        <v>45820</v>
      </c>
      <c r="B288" t="s">
        <v>36</v>
      </c>
      <c r="C288">
        <v>1</v>
      </c>
      <c r="D288" s="1">
        <v>45820</v>
      </c>
      <c r="E288" t="s">
        <v>37</v>
      </c>
      <c r="F288" s="1">
        <v>45809</v>
      </c>
      <c r="G288" t="s">
        <v>53</v>
      </c>
      <c r="H288">
        <v>12</v>
      </c>
    </row>
    <row r="289" spans="1:8" x14ac:dyDescent="0.3">
      <c r="A289" s="1">
        <v>45820</v>
      </c>
      <c r="B289" t="s">
        <v>11</v>
      </c>
      <c r="C289">
        <v>1</v>
      </c>
      <c r="D289" s="1">
        <v>45820</v>
      </c>
      <c r="E289" t="s">
        <v>12</v>
      </c>
      <c r="F289" s="1">
        <v>45809</v>
      </c>
      <c r="G289" t="s">
        <v>53</v>
      </c>
      <c r="H289">
        <v>12</v>
      </c>
    </row>
    <row r="290" spans="1:8" x14ac:dyDescent="0.3">
      <c r="A290" s="1">
        <v>45820</v>
      </c>
      <c r="B290" t="s">
        <v>27</v>
      </c>
      <c r="C290">
        <v>1</v>
      </c>
      <c r="D290" s="1">
        <v>45820</v>
      </c>
      <c r="E290" t="s">
        <v>28</v>
      </c>
      <c r="F290" s="1">
        <v>45809</v>
      </c>
      <c r="G290" t="s">
        <v>53</v>
      </c>
      <c r="H290">
        <v>12</v>
      </c>
    </row>
    <row r="291" spans="1:8" x14ac:dyDescent="0.3">
      <c r="A291" s="1">
        <v>45822</v>
      </c>
      <c r="B291" t="s">
        <v>22</v>
      </c>
      <c r="C291">
        <v>1</v>
      </c>
      <c r="D291" s="1">
        <v>45822</v>
      </c>
      <c r="E291" t="s">
        <v>23</v>
      </c>
      <c r="F291" s="1">
        <v>45809</v>
      </c>
      <c r="G291" t="s">
        <v>53</v>
      </c>
      <c r="H291">
        <v>14</v>
      </c>
    </row>
    <row r="292" spans="1:8" x14ac:dyDescent="0.3">
      <c r="A292" s="1">
        <v>45822</v>
      </c>
      <c r="B292" t="s">
        <v>30</v>
      </c>
      <c r="C292">
        <v>1</v>
      </c>
      <c r="D292" s="1">
        <v>45822</v>
      </c>
      <c r="E292" t="s">
        <v>31</v>
      </c>
      <c r="F292" s="1">
        <v>45809</v>
      </c>
      <c r="G292" t="s">
        <v>53</v>
      </c>
      <c r="H292">
        <v>14</v>
      </c>
    </row>
    <row r="293" spans="1:8" x14ac:dyDescent="0.3">
      <c r="A293" s="1">
        <v>45822</v>
      </c>
      <c r="B293" t="s">
        <v>34</v>
      </c>
      <c r="C293">
        <v>1</v>
      </c>
      <c r="D293" s="1">
        <v>45822</v>
      </c>
      <c r="E293" t="s">
        <v>35</v>
      </c>
      <c r="F293" s="1">
        <v>45809</v>
      </c>
      <c r="G293" t="s">
        <v>53</v>
      </c>
      <c r="H293">
        <v>14</v>
      </c>
    </row>
    <row r="294" spans="1:8" x14ac:dyDescent="0.3">
      <c r="A294" s="1">
        <v>45822</v>
      </c>
      <c r="B294" t="s">
        <v>38</v>
      </c>
      <c r="C294">
        <v>1</v>
      </c>
      <c r="D294" s="1">
        <v>45822</v>
      </c>
      <c r="E294" t="s">
        <v>39</v>
      </c>
      <c r="F294" s="1">
        <v>45809</v>
      </c>
      <c r="G294" t="s">
        <v>53</v>
      </c>
      <c r="H294">
        <v>14</v>
      </c>
    </row>
    <row r="295" spans="1:8" x14ac:dyDescent="0.3">
      <c r="A295" s="1">
        <v>45822</v>
      </c>
      <c r="B295" t="s">
        <v>36</v>
      </c>
      <c r="C295">
        <v>2</v>
      </c>
      <c r="D295" s="1">
        <v>45822</v>
      </c>
      <c r="E295" t="s">
        <v>37</v>
      </c>
      <c r="F295" s="1">
        <v>45809</v>
      </c>
      <c r="G295" t="s">
        <v>53</v>
      </c>
      <c r="H295">
        <v>14</v>
      </c>
    </row>
    <row r="296" spans="1:8" x14ac:dyDescent="0.3">
      <c r="A296" s="1">
        <v>45822</v>
      </c>
      <c r="B296" t="s">
        <v>16</v>
      </c>
      <c r="C296">
        <v>2</v>
      </c>
      <c r="D296" s="1">
        <v>45822</v>
      </c>
      <c r="E296" t="s">
        <v>17</v>
      </c>
      <c r="F296" s="1">
        <v>45809</v>
      </c>
      <c r="G296" t="s">
        <v>53</v>
      </c>
      <c r="H296">
        <v>14</v>
      </c>
    </row>
    <row r="297" spans="1:8" x14ac:dyDescent="0.3">
      <c r="A297" s="1">
        <v>45822</v>
      </c>
      <c r="B297" t="s">
        <v>27</v>
      </c>
      <c r="C297">
        <v>1</v>
      </c>
      <c r="D297" s="1">
        <v>45822</v>
      </c>
      <c r="E297" t="s">
        <v>28</v>
      </c>
      <c r="F297" s="1">
        <v>45809</v>
      </c>
      <c r="G297" t="s">
        <v>53</v>
      </c>
      <c r="H297">
        <v>14</v>
      </c>
    </row>
    <row r="298" spans="1:8" x14ac:dyDescent="0.3">
      <c r="A298" s="1">
        <v>45822</v>
      </c>
      <c r="B298" t="s">
        <v>41</v>
      </c>
      <c r="C298">
        <v>1</v>
      </c>
      <c r="D298" s="1">
        <v>45822</v>
      </c>
      <c r="E298" t="s">
        <v>42</v>
      </c>
      <c r="F298" s="1">
        <v>45809</v>
      </c>
      <c r="G298" t="s">
        <v>53</v>
      </c>
      <c r="H298">
        <v>14</v>
      </c>
    </row>
    <row r="299" spans="1:8" x14ac:dyDescent="0.3">
      <c r="A299" s="1">
        <v>45823</v>
      </c>
      <c r="B299" t="s">
        <v>20</v>
      </c>
      <c r="C299">
        <v>1</v>
      </c>
      <c r="D299" s="1">
        <v>45823</v>
      </c>
      <c r="E299" t="s">
        <v>21</v>
      </c>
      <c r="F299" s="1">
        <v>45809</v>
      </c>
      <c r="G299" t="s">
        <v>53</v>
      </c>
      <c r="H299">
        <v>15</v>
      </c>
    </row>
    <row r="300" spans="1:8" x14ac:dyDescent="0.3">
      <c r="A300" s="1">
        <v>45823</v>
      </c>
      <c r="B300" t="s">
        <v>11</v>
      </c>
      <c r="C300">
        <v>1</v>
      </c>
      <c r="D300" s="1">
        <v>45823</v>
      </c>
      <c r="E300" t="s">
        <v>12</v>
      </c>
      <c r="F300" s="1">
        <v>45809</v>
      </c>
      <c r="G300" t="s">
        <v>53</v>
      </c>
      <c r="H300">
        <v>15</v>
      </c>
    </row>
    <row r="301" spans="1:8" x14ac:dyDescent="0.3">
      <c r="A301" s="1">
        <v>45823</v>
      </c>
      <c r="B301" t="s">
        <v>8</v>
      </c>
      <c r="C301">
        <v>1</v>
      </c>
      <c r="D301" s="1">
        <v>45823</v>
      </c>
      <c r="E301" t="s">
        <v>9</v>
      </c>
      <c r="F301" s="1">
        <v>45809</v>
      </c>
      <c r="G301" t="s">
        <v>53</v>
      </c>
      <c r="H301">
        <v>15</v>
      </c>
    </row>
    <row r="302" spans="1:8" x14ac:dyDescent="0.3">
      <c r="A302" s="1">
        <v>45824</v>
      </c>
      <c r="B302" t="s">
        <v>47</v>
      </c>
      <c r="C302">
        <v>1</v>
      </c>
      <c r="D302" s="1">
        <v>45824</v>
      </c>
      <c r="E302" t="s">
        <v>48</v>
      </c>
      <c r="F302" s="1">
        <v>45809</v>
      </c>
      <c r="G302" t="s">
        <v>53</v>
      </c>
      <c r="H302">
        <v>16</v>
      </c>
    </row>
    <row r="303" spans="1:8" x14ac:dyDescent="0.3">
      <c r="A303" s="1">
        <v>45824</v>
      </c>
      <c r="B303" t="s">
        <v>36</v>
      </c>
      <c r="C303">
        <v>1</v>
      </c>
      <c r="D303" s="1">
        <v>45824</v>
      </c>
      <c r="E303" t="s">
        <v>37</v>
      </c>
      <c r="F303" s="1">
        <v>45809</v>
      </c>
      <c r="G303" t="s">
        <v>53</v>
      </c>
      <c r="H303">
        <v>16</v>
      </c>
    </row>
    <row r="304" spans="1:8" x14ac:dyDescent="0.3">
      <c r="A304" s="1">
        <v>45824</v>
      </c>
      <c r="B304" t="s">
        <v>11</v>
      </c>
      <c r="C304">
        <v>2</v>
      </c>
      <c r="D304" s="1">
        <v>45824</v>
      </c>
      <c r="E304" t="s">
        <v>12</v>
      </c>
      <c r="F304" s="1">
        <v>45809</v>
      </c>
      <c r="G304" t="s">
        <v>53</v>
      </c>
      <c r="H304">
        <v>16</v>
      </c>
    </row>
    <row r="305" spans="1:8" x14ac:dyDescent="0.3">
      <c r="A305" s="1">
        <v>45825</v>
      </c>
      <c r="B305" t="s">
        <v>43</v>
      </c>
      <c r="C305">
        <v>1</v>
      </c>
      <c r="D305" s="1">
        <v>45825</v>
      </c>
      <c r="E305" t="s">
        <v>44</v>
      </c>
      <c r="F305" s="1">
        <v>45809</v>
      </c>
      <c r="G305" t="s">
        <v>53</v>
      </c>
      <c r="H305">
        <v>17</v>
      </c>
    </row>
    <row r="306" spans="1:8" x14ac:dyDescent="0.3">
      <c r="A306" s="1">
        <v>45826</v>
      </c>
      <c r="B306" t="s">
        <v>24</v>
      </c>
      <c r="C306">
        <v>1</v>
      </c>
      <c r="D306" s="1">
        <v>45826</v>
      </c>
      <c r="E306" t="s">
        <v>25</v>
      </c>
      <c r="F306" s="1">
        <v>45809</v>
      </c>
      <c r="G306" t="s">
        <v>53</v>
      </c>
      <c r="H306">
        <v>18</v>
      </c>
    </row>
    <row r="307" spans="1:8" x14ac:dyDescent="0.3">
      <c r="A307" s="1">
        <v>45826</v>
      </c>
      <c r="B307" t="s">
        <v>30</v>
      </c>
      <c r="C307">
        <v>1</v>
      </c>
      <c r="D307" s="1">
        <v>45826</v>
      </c>
      <c r="E307" t="s">
        <v>31</v>
      </c>
      <c r="F307" s="1">
        <v>45809</v>
      </c>
      <c r="G307" t="s">
        <v>53</v>
      </c>
      <c r="H307">
        <v>18</v>
      </c>
    </row>
    <row r="308" spans="1:8" x14ac:dyDescent="0.3">
      <c r="A308" s="1">
        <v>45827</v>
      </c>
      <c r="B308" t="s">
        <v>24</v>
      </c>
      <c r="C308">
        <v>1</v>
      </c>
      <c r="D308" s="1">
        <v>45827</v>
      </c>
      <c r="E308" t="s">
        <v>25</v>
      </c>
      <c r="F308" s="1">
        <v>45809</v>
      </c>
      <c r="G308" t="s">
        <v>53</v>
      </c>
      <c r="H308">
        <v>19</v>
      </c>
    </row>
    <row r="309" spans="1:8" x14ac:dyDescent="0.3">
      <c r="A309" s="1">
        <v>45827</v>
      </c>
      <c r="B309" t="s">
        <v>38</v>
      </c>
      <c r="C309">
        <v>1</v>
      </c>
      <c r="D309" s="1">
        <v>45827</v>
      </c>
      <c r="E309" t="s">
        <v>39</v>
      </c>
      <c r="F309" s="1">
        <v>45809</v>
      </c>
      <c r="G309" t="s">
        <v>53</v>
      </c>
      <c r="H309">
        <v>19</v>
      </c>
    </row>
    <row r="310" spans="1:8" x14ac:dyDescent="0.3">
      <c r="A310" s="1">
        <v>45827</v>
      </c>
      <c r="B310" t="s">
        <v>11</v>
      </c>
      <c r="C310">
        <v>1</v>
      </c>
      <c r="D310" s="1">
        <v>45827</v>
      </c>
      <c r="E310" t="s">
        <v>12</v>
      </c>
      <c r="F310" s="1">
        <v>45809</v>
      </c>
      <c r="G310" t="s">
        <v>53</v>
      </c>
      <c r="H310">
        <v>19</v>
      </c>
    </row>
    <row r="311" spans="1:8" x14ac:dyDescent="0.3">
      <c r="A311" s="1">
        <v>45827</v>
      </c>
      <c r="B311" t="s">
        <v>8</v>
      </c>
      <c r="C311">
        <v>1</v>
      </c>
      <c r="D311" s="1">
        <v>45827</v>
      </c>
      <c r="E311" t="s">
        <v>9</v>
      </c>
      <c r="F311" s="1">
        <v>45809</v>
      </c>
      <c r="G311" t="s">
        <v>53</v>
      </c>
      <c r="H311">
        <v>19</v>
      </c>
    </row>
    <row r="312" spans="1:8" x14ac:dyDescent="0.3">
      <c r="A312" s="1">
        <v>45828</v>
      </c>
      <c r="B312" t="s">
        <v>22</v>
      </c>
      <c r="C312">
        <v>1</v>
      </c>
      <c r="D312" s="1">
        <v>45828</v>
      </c>
      <c r="E312" t="s">
        <v>23</v>
      </c>
      <c r="F312" s="1">
        <v>45809</v>
      </c>
      <c r="G312" t="s">
        <v>53</v>
      </c>
      <c r="H312">
        <v>20</v>
      </c>
    </row>
    <row r="313" spans="1:8" x14ac:dyDescent="0.3">
      <c r="A313" s="1">
        <v>45829</v>
      </c>
      <c r="B313" t="s">
        <v>47</v>
      </c>
      <c r="C313">
        <v>1</v>
      </c>
      <c r="D313" s="1">
        <v>45829</v>
      </c>
      <c r="E313" t="s">
        <v>48</v>
      </c>
      <c r="F313" s="1">
        <v>45809</v>
      </c>
      <c r="G313" t="s">
        <v>53</v>
      </c>
      <c r="H313">
        <v>21</v>
      </c>
    </row>
    <row r="314" spans="1:8" x14ac:dyDescent="0.3">
      <c r="A314" s="1">
        <v>45830</v>
      </c>
      <c r="B314" t="s">
        <v>13</v>
      </c>
      <c r="C314">
        <v>1</v>
      </c>
      <c r="D314" s="1">
        <v>45830</v>
      </c>
      <c r="E314" t="s">
        <v>14</v>
      </c>
      <c r="F314" s="1">
        <v>45809</v>
      </c>
      <c r="G314" t="s">
        <v>53</v>
      </c>
      <c r="H314">
        <v>22</v>
      </c>
    </row>
    <row r="315" spans="1:8" x14ac:dyDescent="0.3">
      <c r="A315" s="1">
        <v>45830</v>
      </c>
      <c r="B315" t="s">
        <v>36</v>
      </c>
      <c r="C315">
        <v>1</v>
      </c>
      <c r="D315" s="1">
        <v>45830</v>
      </c>
      <c r="E315" t="s">
        <v>37</v>
      </c>
      <c r="F315" s="1">
        <v>45809</v>
      </c>
      <c r="G315" t="s">
        <v>53</v>
      </c>
      <c r="H315">
        <v>22</v>
      </c>
    </row>
    <row r="316" spans="1:8" x14ac:dyDescent="0.3">
      <c r="A316" s="1">
        <v>45830</v>
      </c>
      <c r="B316" t="s">
        <v>41</v>
      </c>
      <c r="C316">
        <v>1</v>
      </c>
      <c r="D316" s="1">
        <v>45830</v>
      </c>
      <c r="E316" t="s">
        <v>42</v>
      </c>
      <c r="F316" s="1">
        <v>45809</v>
      </c>
      <c r="G316" t="s">
        <v>53</v>
      </c>
      <c r="H316">
        <v>22</v>
      </c>
    </row>
    <row r="317" spans="1:8" x14ac:dyDescent="0.3">
      <c r="A317" s="1">
        <v>45832</v>
      </c>
      <c r="B317" t="s">
        <v>22</v>
      </c>
      <c r="C317">
        <v>3</v>
      </c>
      <c r="D317" s="1">
        <v>45832</v>
      </c>
      <c r="E317" t="s">
        <v>23</v>
      </c>
      <c r="F317" s="1">
        <v>45809</v>
      </c>
      <c r="G317" t="s">
        <v>53</v>
      </c>
      <c r="H317">
        <v>24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B2" sqref="B2"/>
    </sheetView>
  </sheetViews>
  <sheetFormatPr baseColWidth="10" defaultRowHeight="14.4" x14ac:dyDescent="0.3"/>
  <sheetData>
    <row r="1" spans="1:2" x14ac:dyDescent="0.3">
      <c r="A1" t="s">
        <v>4</v>
      </c>
      <c r="B1" t="s">
        <v>72</v>
      </c>
    </row>
    <row r="2" spans="1:2" x14ac:dyDescent="0.3">
      <c r="A2" t="s">
        <v>23</v>
      </c>
      <c r="B2">
        <v>0</v>
      </c>
    </row>
    <row r="3" spans="1:2" x14ac:dyDescent="0.3">
      <c r="A3" t="s">
        <v>25</v>
      </c>
      <c r="B3">
        <v>25</v>
      </c>
    </row>
    <row r="4" spans="1:2" x14ac:dyDescent="0.3">
      <c r="A4" t="s">
        <v>31</v>
      </c>
      <c r="B4">
        <v>35</v>
      </c>
    </row>
    <row r="5" spans="1:2" x14ac:dyDescent="0.3">
      <c r="A5" t="s">
        <v>35</v>
      </c>
      <c r="B5">
        <v>36</v>
      </c>
    </row>
    <row r="6" spans="1:2" x14ac:dyDescent="0.3">
      <c r="A6" t="s">
        <v>48</v>
      </c>
      <c r="B6">
        <v>0</v>
      </c>
    </row>
    <row r="7" spans="1:2" x14ac:dyDescent="0.3">
      <c r="A7" t="s">
        <v>21</v>
      </c>
      <c r="B7">
        <v>41</v>
      </c>
    </row>
    <row r="8" spans="1:2" x14ac:dyDescent="0.3">
      <c r="A8" t="s">
        <v>14</v>
      </c>
      <c r="B8">
        <v>37</v>
      </c>
    </row>
    <row r="9" spans="1:2" x14ac:dyDescent="0.3">
      <c r="A9" t="s">
        <v>39</v>
      </c>
      <c r="B9">
        <v>33</v>
      </c>
    </row>
    <row r="10" spans="1:2" x14ac:dyDescent="0.3">
      <c r="A10" t="s">
        <v>44</v>
      </c>
      <c r="B10">
        <v>0</v>
      </c>
    </row>
    <row r="11" spans="1:2" x14ac:dyDescent="0.3">
      <c r="A11" t="s">
        <v>37</v>
      </c>
      <c r="B11">
        <v>64</v>
      </c>
    </row>
    <row r="12" spans="1:2" x14ac:dyDescent="0.3">
      <c r="A12" t="s">
        <v>12</v>
      </c>
      <c r="B12">
        <v>34</v>
      </c>
    </row>
    <row r="13" spans="1:2" x14ac:dyDescent="0.3">
      <c r="A13" t="s">
        <v>33</v>
      </c>
      <c r="B13">
        <v>36</v>
      </c>
    </row>
    <row r="14" spans="1:2" x14ac:dyDescent="0.3">
      <c r="A14" t="s">
        <v>9</v>
      </c>
      <c r="B14">
        <v>24</v>
      </c>
    </row>
    <row r="15" spans="1:2" x14ac:dyDescent="0.3">
      <c r="A15" t="s">
        <v>17</v>
      </c>
      <c r="B15">
        <v>37</v>
      </c>
    </row>
    <row r="16" spans="1:2" x14ac:dyDescent="0.3">
      <c r="A16" t="s">
        <v>19</v>
      </c>
      <c r="B16">
        <v>9</v>
      </c>
    </row>
    <row r="17" spans="1:2" x14ac:dyDescent="0.3">
      <c r="A17" t="s">
        <v>28</v>
      </c>
      <c r="B17">
        <v>47</v>
      </c>
    </row>
    <row r="18" spans="1:2" x14ac:dyDescent="0.3">
      <c r="A18" t="s">
        <v>42</v>
      </c>
      <c r="B18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sqref="A1:B20"/>
    </sheetView>
  </sheetViews>
  <sheetFormatPr baseColWidth="10" defaultRowHeight="14.4" x14ac:dyDescent="0.3"/>
  <cols>
    <col min="1" max="1" width="18.33203125" style="7" bestFit="1" customWidth="1"/>
    <col min="2" max="2" width="10.88671875" style="7"/>
  </cols>
  <sheetData>
    <row r="1" spans="1:2" x14ac:dyDescent="0.3">
      <c r="A1" s="7" t="s">
        <v>54</v>
      </c>
      <c r="B1" s="7" t="s">
        <v>71</v>
      </c>
    </row>
    <row r="2" spans="1:2" x14ac:dyDescent="0.3">
      <c r="A2" s="7" t="s">
        <v>23</v>
      </c>
      <c r="B2" s="7">
        <v>26</v>
      </c>
    </row>
    <row r="3" spans="1:2" x14ac:dyDescent="0.3">
      <c r="A3" s="7" t="s">
        <v>25</v>
      </c>
      <c r="B3" s="7">
        <v>19</v>
      </c>
    </row>
    <row r="4" spans="1:2" x14ac:dyDescent="0.3">
      <c r="A4" s="7" t="s">
        <v>31</v>
      </c>
      <c r="B4" s="7">
        <v>53</v>
      </c>
    </row>
    <row r="5" spans="1:2" x14ac:dyDescent="0.3">
      <c r="A5" s="7" t="s">
        <v>35</v>
      </c>
      <c r="B5" s="7">
        <v>28</v>
      </c>
    </row>
    <row r="6" spans="1:2" x14ac:dyDescent="0.3">
      <c r="A6" s="7" t="s">
        <v>48</v>
      </c>
      <c r="B6" s="7">
        <v>10</v>
      </c>
    </row>
    <row r="7" spans="1:2" x14ac:dyDescent="0.3">
      <c r="A7" s="7" t="s">
        <v>21</v>
      </c>
      <c r="B7" s="7">
        <v>46</v>
      </c>
    </row>
    <row r="8" spans="1:2" x14ac:dyDescent="0.3">
      <c r="A8" s="7" t="s">
        <v>14</v>
      </c>
      <c r="B8" s="7">
        <v>26</v>
      </c>
    </row>
    <row r="9" spans="1:2" x14ac:dyDescent="0.3">
      <c r="A9" s="7" t="s">
        <v>50</v>
      </c>
      <c r="B9" s="7">
        <v>6</v>
      </c>
    </row>
    <row r="10" spans="1:2" x14ac:dyDescent="0.3">
      <c r="A10" s="7" t="s">
        <v>39</v>
      </c>
      <c r="B10" s="7">
        <v>25</v>
      </c>
    </row>
    <row r="11" spans="1:2" x14ac:dyDescent="0.3">
      <c r="A11" s="7" t="s">
        <v>44</v>
      </c>
      <c r="B11" s="7">
        <v>22</v>
      </c>
    </row>
    <row r="12" spans="1:2" x14ac:dyDescent="0.3">
      <c r="A12" s="7" t="s">
        <v>37</v>
      </c>
      <c r="B12" s="7">
        <v>76</v>
      </c>
    </row>
    <row r="13" spans="1:2" x14ac:dyDescent="0.3">
      <c r="A13" s="7" t="s">
        <v>12</v>
      </c>
      <c r="B13" s="7">
        <v>28</v>
      </c>
    </row>
    <row r="14" spans="1:2" x14ac:dyDescent="0.3">
      <c r="A14" s="7" t="s">
        <v>33</v>
      </c>
      <c r="B14" s="7">
        <v>38</v>
      </c>
    </row>
    <row r="15" spans="1:2" x14ac:dyDescent="0.3">
      <c r="A15" s="7" t="s">
        <v>9</v>
      </c>
      <c r="B15" s="7">
        <v>19</v>
      </c>
    </row>
    <row r="16" spans="1:2" x14ac:dyDescent="0.3">
      <c r="A16" s="7" t="s">
        <v>17</v>
      </c>
      <c r="B16" s="7">
        <v>28</v>
      </c>
    </row>
    <row r="17" spans="1:2" x14ac:dyDescent="0.3">
      <c r="A17" s="7" t="s">
        <v>19</v>
      </c>
      <c r="B17" s="7">
        <v>4</v>
      </c>
    </row>
    <row r="18" spans="1:2" x14ac:dyDescent="0.3">
      <c r="A18" s="7" t="s">
        <v>52</v>
      </c>
      <c r="B18" s="7">
        <v>6</v>
      </c>
    </row>
    <row r="19" spans="1:2" x14ac:dyDescent="0.3">
      <c r="A19" s="7" t="s">
        <v>28</v>
      </c>
      <c r="B19" s="7">
        <v>41</v>
      </c>
    </row>
    <row r="20" spans="1:2" x14ac:dyDescent="0.3">
      <c r="A20" s="7" t="s">
        <v>42</v>
      </c>
      <c r="B20" s="7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B2" sqref="B2"/>
    </sheetView>
  </sheetViews>
  <sheetFormatPr baseColWidth="10" defaultRowHeight="14.4" x14ac:dyDescent="0.3"/>
  <sheetData>
    <row r="1" spans="1:2" x14ac:dyDescent="0.3">
      <c r="A1" t="s">
        <v>4</v>
      </c>
      <c r="B1" t="s">
        <v>72</v>
      </c>
    </row>
    <row r="2" spans="1:2" x14ac:dyDescent="0.3">
      <c r="A2" t="s">
        <v>23</v>
      </c>
      <c r="B2">
        <v>20</v>
      </c>
    </row>
    <row r="3" spans="1:2" x14ac:dyDescent="0.3">
      <c r="A3" t="s">
        <v>25</v>
      </c>
      <c r="B3">
        <v>23</v>
      </c>
    </row>
    <row r="4" spans="1:2" x14ac:dyDescent="0.3">
      <c r="A4" t="s">
        <v>31</v>
      </c>
      <c r="B4">
        <v>47</v>
      </c>
    </row>
    <row r="5" spans="1:2" x14ac:dyDescent="0.3">
      <c r="A5" t="s">
        <v>35</v>
      </c>
      <c r="B5">
        <v>27</v>
      </c>
    </row>
    <row r="6" spans="1:2" x14ac:dyDescent="0.3">
      <c r="A6" t="s">
        <v>48</v>
      </c>
      <c r="B6">
        <v>7</v>
      </c>
    </row>
    <row r="7" spans="1:2" x14ac:dyDescent="0.3">
      <c r="A7" t="s">
        <v>21</v>
      </c>
      <c r="B7">
        <v>45</v>
      </c>
    </row>
    <row r="8" spans="1:2" x14ac:dyDescent="0.3">
      <c r="A8" t="s">
        <v>14</v>
      </c>
      <c r="B8">
        <v>23</v>
      </c>
    </row>
    <row r="9" spans="1:2" x14ac:dyDescent="0.3">
      <c r="A9" t="s">
        <v>50</v>
      </c>
      <c r="B9">
        <v>5</v>
      </c>
    </row>
    <row r="10" spans="1:2" x14ac:dyDescent="0.3">
      <c r="A10" t="s">
        <v>39</v>
      </c>
      <c r="B10">
        <v>18</v>
      </c>
    </row>
    <row r="11" spans="1:2" x14ac:dyDescent="0.3">
      <c r="A11" t="s">
        <v>44</v>
      </c>
      <c r="B11">
        <v>28</v>
      </c>
    </row>
    <row r="12" spans="1:2" x14ac:dyDescent="0.3">
      <c r="A12" t="s">
        <v>37</v>
      </c>
      <c r="B12">
        <v>66</v>
      </c>
    </row>
    <row r="13" spans="1:2" x14ac:dyDescent="0.3">
      <c r="A13" t="s">
        <v>12</v>
      </c>
      <c r="B13">
        <v>30</v>
      </c>
    </row>
    <row r="14" spans="1:2" x14ac:dyDescent="0.3">
      <c r="A14" t="s">
        <v>33</v>
      </c>
      <c r="B14">
        <v>32</v>
      </c>
    </row>
    <row r="15" spans="1:2" x14ac:dyDescent="0.3">
      <c r="A15" t="s">
        <v>9</v>
      </c>
      <c r="B15">
        <v>15</v>
      </c>
    </row>
    <row r="16" spans="1:2" x14ac:dyDescent="0.3">
      <c r="A16" t="s">
        <v>17</v>
      </c>
      <c r="B16">
        <v>22</v>
      </c>
    </row>
    <row r="17" spans="1:2" x14ac:dyDescent="0.3">
      <c r="A17" t="s">
        <v>19</v>
      </c>
      <c r="B17">
        <v>13</v>
      </c>
    </row>
    <row r="18" spans="1:2" x14ac:dyDescent="0.3">
      <c r="A18" t="s">
        <v>52</v>
      </c>
      <c r="B18">
        <v>5</v>
      </c>
    </row>
    <row r="19" spans="1:2" x14ac:dyDescent="0.3">
      <c r="A19" t="s">
        <v>28</v>
      </c>
      <c r="B19">
        <v>35</v>
      </c>
    </row>
    <row r="20" spans="1:2" x14ac:dyDescent="0.3">
      <c r="A20" t="s">
        <v>42</v>
      </c>
      <c r="B20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zoomScale="120" zoomScaleNormal="120" workbookViewId="0">
      <selection activeCell="L14" sqref="L14"/>
    </sheetView>
  </sheetViews>
  <sheetFormatPr baseColWidth="10" defaultRowHeight="14.4" x14ac:dyDescent="0.3"/>
  <cols>
    <col min="1" max="1" width="6.77734375" style="17" bestFit="1" customWidth="1"/>
    <col min="2" max="9" width="5.5546875" customWidth="1"/>
    <col min="10" max="10" width="12.21875" customWidth="1"/>
    <col min="11" max="13" width="8.6640625" bestFit="1" customWidth="1"/>
    <col min="14" max="14" width="11.21875" style="8" bestFit="1" customWidth="1"/>
  </cols>
  <sheetData>
    <row r="1" spans="1:14" s="9" customFormat="1" ht="48.45" customHeight="1" x14ac:dyDescent="0.3">
      <c r="A1" s="14" t="s">
        <v>73</v>
      </c>
      <c r="B1" s="14" t="s">
        <v>62</v>
      </c>
      <c r="C1" s="14" t="s">
        <v>63</v>
      </c>
      <c r="D1" s="14" t="s">
        <v>64</v>
      </c>
      <c r="E1" s="14" t="s">
        <v>65</v>
      </c>
      <c r="F1" s="15" t="s">
        <v>66</v>
      </c>
      <c r="G1" s="14" t="s">
        <v>67</v>
      </c>
      <c r="H1" s="15" t="s">
        <v>68</v>
      </c>
      <c r="I1" s="15" t="s">
        <v>69</v>
      </c>
      <c r="J1" s="14" t="s">
        <v>74</v>
      </c>
      <c r="K1" s="14" t="s">
        <v>75</v>
      </c>
      <c r="L1" s="14" t="s">
        <v>76</v>
      </c>
      <c r="M1" s="14" t="s">
        <v>77</v>
      </c>
      <c r="N1" s="18" t="s">
        <v>78</v>
      </c>
    </row>
    <row r="2" spans="1:14" x14ac:dyDescent="0.3">
      <c r="A2" s="16" t="s">
        <v>23</v>
      </c>
      <c r="B2" s="10"/>
      <c r="C2" s="10">
        <v>2</v>
      </c>
      <c r="D2" s="10">
        <v>1</v>
      </c>
      <c r="E2" s="10">
        <v>7</v>
      </c>
      <c r="F2" s="11">
        <v>3</v>
      </c>
      <c r="G2" s="10">
        <v>1</v>
      </c>
      <c r="H2" s="11">
        <v>5</v>
      </c>
      <c r="I2" s="11">
        <v>10</v>
      </c>
      <c r="J2" s="12">
        <f>AVERAGE(F2,H2,I2)</f>
        <v>6</v>
      </c>
      <c r="K2" s="13">
        <f>VLOOKUP(A2,'Stock a marzo'!$A$2:$B$21,2,FALSE)</f>
        <v>0</v>
      </c>
      <c r="L2" s="10">
        <f>VLOOKUP(A2,'Stock a mayo'!$A$1:$B$20,2,FALSE)</f>
        <v>26</v>
      </c>
      <c r="M2" s="10">
        <f>VLOOKUP(A2,'Stock a junio'!$A$1:$B$20,2,FALSE)</f>
        <v>20</v>
      </c>
      <c r="N2" s="19">
        <f>AVERAGE(H2:I2)</f>
        <v>7.5</v>
      </c>
    </row>
    <row r="3" spans="1:14" x14ac:dyDescent="0.3">
      <c r="A3" s="16" t="s">
        <v>25</v>
      </c>
      <c r="B3" s="10"/>
      <c r="C3" s="10">
        <v>1</v>
      </c>
      <c r="D3" s="10">
        <v>1</v>
      </c>
      <c r="E3" s="10">
        <v>8</v>
      </c>
      <c r="F3" s="11">
        <v>4</v>
      </c>
      <c r="G3" s="10">
        <v>2</v>
      </c>
      <c r="H3" s="11">
        <v>4</v>
      </c>
      <c r="I3" s="11">
        <v>4</v>
      </c>
      <c r="J3" s="12">
        <f t="shared" ref="J3:J20" si="0">AVERAGE(F3,H3,I3)</f>
        <v>4</v>
      </c>
      <c r="K3" s="13">
        <f>VLOOKUP(A3,'Stock a marzo'!$A$2:$B$21,2,FALSE)</f>
        <v>25</v>
      </c>
      <c r="L3" s="10">
        <f>VLOOKUP(A3,'Stock a mayo'!$A$1:$B$20,2,FALSE)</f>
        <v>19</v>
      </c>
      <c r="M3" s="10">
        <f>VLOOKUP(A3,'Stock a junio'!$A$1:$B$20,2,FALSE)</f>
        <v>23</v>
      </c>
      <c r="N3" s="19">
        <f>AVERAGE(F3,H3,I3)</f>
        <v>4</v>
      </c>
    </row>
    <row r="4" spans="1:14" x14ac:dyDescent="0.3">
      <c r="A4" s="16" t="s">
        <v>31</v>
      </c>
      <c r="B4" s="10"/>
      <c r="C4" s="10"/>
      <c r="D4" s="10"/>
      <c r="E4" s="10">
        <v>5</v>
      </c>
      <c r="F4" s="11">
        <v>12</v>
      </c>
      <c r="G4" s="10">
        <v>7</v>
      </c>
      <c r="H4" s="11">
        <v>6</v>
      </c>
      <c r="I4" s="11">
        <v>2</v>
      </c>
      <c r="J4" s="12">
        <f t="shared" si="0"/>
        <v>6.666666666666667</v>
      </c>
      <c r="K4" s="13">
        <f>VLOOKUP(A4,'Stock a marzo'!$A$2:$B$21,2,FALSE)</f>
        <v>35</v>
      </c>
      <c r="L4" s="10">
        <f>VLOOKUP(A4,'Stock a mayo'!$A$1:$B$20,2,FALSE)</f>
        <v>53</v>
      </c>
      <c r="M4" s="10">
        <f>VLOOKUP(A4,'Stock a junio'!$A$1:$B$20,2,FALSE)</f>
        <v>47</v>
      </c>
      <c r="N4" s="19">
        <f t="shared" ref="N4:N5" si="1">AVERAGE(F4,H4,I4)</f>
        <v>6.666666666666667</v>
      </c>
    </row>
    <row r="5" spans="1:14" x14ac:dyDescent="0.3">
      <c r="A5" s="16" t="s">
        <v>35</v>
      </c>
      <c r="B5" s="10"/>
      <c r="C5" s="10"/>
      <c r="D5" s="10"/>
      <c r="E5" s="10">
        <v>4</v>
      </c>
      <c r="F5" s="11">
        <v>3</v>
      </c>
      <c r="G5" s="10">
        <v>5</v>
      </c>
      <c r="H5" s="11">
        <v>1</v>
      </c>
      <c r="I5" s="11">
        <v>1</v>
      </c>
      <c r="J5" s="12">
        <f t="shared" si="0"/>
        <v>1.6666666666666667</v>
      </c>
      <c r="K5" s="13">
        <f>VLOOKUP(A5,'Stock a marzo'!$A$2:$B$21,2,FALSE)</f>
        <v>36</v>
      </c>
      <c r="L5" s="10">
        <f>VLOOKUP(A5,'Stock a mayo'!$A$1:$B$20,2,FALSE)</f>
        <v>28</v>
      </c>
      <c r="M5" s="10">
        <f>VLOOKUP(A5,'Stock a junio'!$A$1:$B$20,2,FALSE)</f>
        <v>27</v>
      </c>
      <c r="N5" s="19">
        <f t="shared" si="1"/>
        <v>1.6666666666666667</v>
      </c>
    </row>
    <row r="6" spans="1:14" x14ac:dyDescent="0.3">
      <c r="A6" s="16" t="s">
        <v>48</v>
      </c>
      <c r="B6" s="10"/>
      <c r="C6" s="10"/>
      <c r="D6" s="10"/>
      <c r="E6" s="10"/>
      <c r="F6" s="11">
        <v>0</v>
      </c>
      <c r="G6" s="10">
        <v>0</v>
      </c>
      <c r="H6" s="11">
        <v>2</v>
      </c>
      <c r="I6" s="11">
        <v>3</v>
      </c>
      <c r="J6" s="12">
        <f t="shared" si="0"/>
        <v>1.6666666666666667</v>
      </c>
      <c r="K6" s="13">
        <f>VLOOKUP(A6,'Stock a marzo'!$A$2:$B$21,2,FALSE)</f>
        <v>0</v>
      </c>
      <c r="L6" s="10">
        <f>VLOOKUP(A6,'Stock a mayo'!$A$1:$B$20,2,FALSE)</f>
        <v>10</v>
      </c>
      <c r="M6" s="10">
        <f>VLOOKUP(A6,'Stock a junio'!$A$1:$B$20,2,FALSE)</f>
        <v>7</v>
      </c>
      <c r="N6" s="19">
        <f>AVERAGE(H6:I6)</f>
        <v>2.5</v>
      </c>
    </row>
    <row r="7" spans="1:14" x14ac:dyDescent="0.3">
      <c r="A7" s="16" t="s">
        <v>21</v>
      </c>
      <c r="B7" s="10"/>
      <c r="C7" s="10">
        <v>1</v>
      </c>
      <c r="D7" s="10">
        <v>1</v>
      </c>
      <c r="E7" s="10">
        <v>3</v>
      </c>
      <c r="F7" s="11">
        <v>3</v>
      </c>
      <c r="G7" s="10">
        <v>3</v>
      </c>
      <c r="H7" s="11">
        <v>1</v>
      </c>
      <c r="I7" s="11">
        <v>3</v>
      </c>
      <c r="J7" s="12">
        <f t="shared" si="0"/>
        <v>2.3333333333333335</v>
      </c>
      <c r="K7" s="13">
        <f>VLOOKUP(A7,'Stock a marzo'!$A$2:$B$21,2,FALSE)</f>
        <v>41</v>
      </c>
      <c r="L7" s="10">
        <f>VLOOKUP(A7,'Stock a mayo'!$A$1:$B$20,2,FALSE)</f>
        <v>46</v>
      </c>
      <c r="M7" s="10">
        <f>VLOOKUP(A7,'Stock a junio'!$A$1:$B$20,2,FALSE)</f>
        <v>45</v>
      </c>
      <c r="N7" s="19">
        <f t="shared" ref="N7:N8" si="2">AVERAGE(F7,H7,I7)</f>
        <v>2.3333333333333335</v>
      </c>
    </row>
    <row r="8" spans="1:14" x14ac:dyDescent="0.3">
      <c r="A8" s="16" t="s">
        <v>14</v>
      </c>
      <c r="B8" s="10"/>
      <c r="C8" s="10">
        <v>1</v>
      </c>
      <c r="D8" s="10"/>
      <c r="E8" s="10">
        <v>1</v>
      </c>
      <c r="F8" s="11">
        <v>7</v>
      </c>
      <c r="G8" s="10">
        <v>4</v>
      </c>
      <c r="H8" s="11">
        <v>3</v>
      </c>
      <c r="I8" s="11">
        <v>2</v>
      </c>
      <c r="J8" s="12">
        <f t="shared" si="0"/>
        <v>4</v>
      </c>
      <c r="K8" s="13">
        <f>VLOOKUP(A8,'Stock a marzo'!$A$2:$B$21,2,FALSE)</f>
        <v>37</v>
      </c>
      <c r="L8" s="10">
        <f>VLOOKUP(A8,'Stock a mayo'!$A$1:$B$20,2,FALSE)</f>
        <v>26</v>
      </c>
      <c r="M8" s="10">
        <f>VLOOKUP(A8,'Stock a junio'!$A$1:$B$20,2,FALSE)</f>
        <v>23</v>
      </c>
      <c r="N8" s="19">
        <f t="shared" si="2"/>
        <v>4</v>
      </c>
    </row>
    <row r="9" spans="1:14" x14ac:dyDescent="0.3">
      <c r="A9" s="16" t="s">
        <v>50</v>
      </c>
      <c r="B9" s="10"/>
      <c r="C9" s="10"/>
      <c r="D9" s="10"/>
      <c r="E9" s="10"/>
      <c r="F9" s="11">
        <v>0</v>
      </c>
      <c r="G9" s="10">
        <v>0</v>
      </c>
      <c r="H9" s="11">
        <v>1</v>
      </c>
      <c r="I9" s="11">
        <v>1</v>
      </c>
      <c r="J9" s="12">
        <f t="shared" si="0"/>
        <v>0.66666666666666663</v>
      </c>
      <c r="K9" s="13"/>
      <c r="L9" s="10">
        <f>VLOOKUP(A9,'Stock a mayo'!$A$1:$B$20,2,FALSE)</f>
        <v>6</v>
      </c>
      <c r="M9" s="10">
        <f>VLOOKUP(A9,'Stock a junio'!$A$1:$B$20,2,FALSE)</f>
        <v>5</v>
      </c>
      <c r="N9" s="19">
        <f>AVERAGE(H9:I9)</f>
        <v>1</v>
      </c>
    </row>
    <row r="10" spans="1:14" x14ac:dyDescent="0.3">
      <c r="A10" s="16" t="s">
        <v>39</v>
      </c>
      <c r="B10" s="10"/>
      <c r="C10" s="10"/>
      <c r="D10" s="10"/>
      <c r="E10" s="10">
        <v>5</v>
      </c>
      <c r="F10" s="11">
        <v>8</v>
      </c>
      <c r="G10" s="10">
        <v>6</v>
      </c>
      <c r="H10" s="11">
        <v>7</v>
      </c>
      <c r="I10" s="11">
        <v>3</v>
      </c>
      <c r="J10" s="12">
        <f t="shared" si="0"/>
        <v>6</v>
      </c>
      <c r="K10" s="13">
        <f>VLOOKUP(A10,'Stock a marzo'!$A$2:$B$21,2,FALSE)</f>
        <v>33</v>
      </c>
      <c r="L10" s="10">
        <f>VLOOKUP(A10,'Stock a mayo'!$A$1:$B$20,2,FALSE)</f>
        <v>25</v>
      </c>
      <c r="M10" s="10">
        <f>VLOOKUP(A10,'Stock a junio'!$A$1:$B$20,2,FALSE)</f>
        <v>18</v>
      </c>
      <c r="N10" s="19">
        <f t="shared" ref="N10:N17" si="3">AVERAGE(F10,H10,I10)</f>
        <v>6</v>
      </c>
    </row>
    <row r="11" spans="1:14" x14ac:dyDescent="0.3">
      <c r="A11" s="16" t="s">
        <v>44</v>
      </c>
      <c r="B11" s="10"/>
      <c r="C11" s="10"/>
      <c r="D11" s="10"/>
      <c r="E11" s="10"/>
      <c r="F11" s="11">
        <v>7</v>
      </c>
      <c r="G11" s="10">
        <v>7</v>
      </c>
      <c r="H11" s="11">
        <v>0</v>
      </c>
      <c r="I11" s="11">
        <v>1</v>
      </c>
      <c r="J11" s="12">
        <f t="shared" si="0"/>
        <v>2.6666666666666665</v>
      </c>
      <c r="K11" s="13">
        <f>VLOOKUP(A11,'Stock a marzo'!$A$2:$B$21,2,FALSE)</f>
        <v>0</v>
      </c>
      <c r="L11" s="10">
        <f>VLOOKUP(A11,'Stock a mayo'!$A$1:$B$20,2,FALSE)</f>
        <v>22</v>
      </c>
      <c r="M11" s="10">
        <f>VLOOKUP(A11,'Stock a junio'!$A$1:$B$20,2,FALSE)</f>
        <v>28</v>
      </c>
      <c r="N11" s="19">
        <f t="shared" si="3"/>
        <v>2.6666666666666665</v>
      </c>
    </row>
    <row r="12" spans="1:14" x14ac:dyDescent="0.3">
      <c r="A12" s="16" t="s">
        <v>37</v>
      </c>
      <c r="B12" s="10"/>
      <c r="C12" s="10"/>
      <c r="D12" s="10"/>
      <c r="E12" s="10">
        <v>4</v>
      </c>
      <c r="F12" s="11">
        <v>4</v>
      </c>
      <c r="G12" s="10">
        <v>5</v>
      </c>
      <c r="H12" s="11">
        <v>9</v>
      </c>
      <c r="I12" s="11">
        <v>8</v>
      </c>
      <c r="J12" s="12">
        <f t="shared" si="0"/>
        <v>7</v>
      </c>
      <c r="K12" s="13">
        <f>VLOOKUP(A12,'Stock a marzo'!$A$2:$B$21,2,FALSE)</f>
        <v>64</v>
      </c>
      <c r="L12" s="10">
        <f>VLOOKUP(A12,'Stock a mayo'!$A$1:$B$20,2,FALSE)</f>
        <v>76</v>
      </c>
      <c r="M12" s="10">
        <f>VLOOKUP(A12,'Stock a junio'!$A$1:$B$20,2,FALSE)</f>
        <v>66</v>
      </c>
      <c r="N12" s="19">
        <f t="shared" si="3"/>
        <v>7</v>
      </c>
    </row>
    <row r="13" spans="1:14" x14ac:dyDescent="0.3">
      <c r="A13" s="16" t="s">
        <v>12</v>
      </c>
      <c r="B13" s="10">
        <v>2</v>
      </c>
      <c r="C13" s="10">
        <v>5</v>
      </c>
      <c r="D13" s="10">
        <v>2</v>
      </c>
      <c r="E13" s="10">
        <v>9</v>
      </c>
      <c r="F13" s="11">
        <v>8</v>
      </c>
      <c r="G13" s="10">
        <v>5</v>
      </c>
      <c r="H13" s="11">
        <v>4</v>
      </c>
      <c r="I13" s="11">
        <v>8</v>
      </c>
      <c r="J13" s="12">
        <f t="shared" si="0"/>
        <v>6.666666666666667</v>
      </c>
      <c r="K13" s="13">
        <f>VLOOKUP(A13,'Stock a marzo'!$A$2:$B$21,2,FALSE)</f>
        <v>34</v>
      </c>
      <c r="L13" s="10">
        <f>VLOOKUP(A13,'Stock a mayo'!$A$1:$B$20,2,FALSE)</f>
        <v>28</v>
      </c>
      <c r="M13" s="10">
        <f>VLOOKUP(A13,'Stock a junio'!$A$1:$B$20,2,FALSE)</f>
        <v>30</v>
      </c>
      <c r="N13" s="19">
        <f t="shared" si="3"/>
        <v>6.666666666666667</v>
      </c>
    </row>
    <row r="14" spans="1:14" x14ac:dyDescent="0.3">
      <c r="A14" s="16" t="s">
        <v>33</v>
      </c>
      <c r="B14" s="10"/>
      <c r="C14" s="10"/>
      <c r="D14" s="10"/>
      <c r="E14" s="10">
        <v>3</v>
      </c>
      <c r="F14" s="11">
        <v>7</v>
      </c>
      <c r="G14" s="10">
        <v>1</v>
      </c>
      <c r="H14" s="11">
        <v>6</v>
      </c>
      <c r="I14" s="11">
        <v>1</v>
      </c>
      <c r="J14" s="12">
        <f t="shared" si="0"/>
        <v>4.666666666666667</v>
      </c>
      <c r="K14" s="13">
        <f>VLOOKUP(A14,'Stock a marzo'!$A$2:$B$21,2,FALSE)</f>
        <v>36</v>
      </c>
      <c r="L14" s="10">
        <f>VLOOKUP(A14,'Stock a mayo'!$A$1:$B$20,2,FALSE)</f>
        <v>38</v>
      </c>
      <c r="M14" s="10">
        <f>VLOOKUP(A14,'Stock a junio'!$A$1:$B$20,2,FALSE)</f>
        <v>32</v>
      </c>
      <c r="N14" s="19">
        <f t="shared" si="3"/>
        <v>4.666666666666667</v>
      </c>
    </row>
    <row r="15" spans="1:14" x14ac:dyDescent="0.3">
      <c r="A15" s="16" t="s">
        <v>9</v>
      </c>
      <c r="B15" s="10">
        <v>1</v>
      </c>
      <c r="C15" s="10">
        <v>3</v>
      </c>
      <c r="D15" s="10"/>
      <c r="E15" s="10">
        <v>5</v>
      </c>
      <c r="F15" s="11">
        <v>3</v>
      </c>
      <c r="G15" s="10">
        <v>1</v>
      </c>
      <c r="H15" s="11">
        <v>4</v>
      </c>
      <c r="I15" s="11">
        <v>2</v>
      </c>
      <c r="J15" s="12">
        <f t="shared" si="0"/>
        <v>3</v>
      </c>
      <c r="K15" s="13">
        <f>VLOOKUP(A15,'Stock a marzo'!$A$2:$B$21,2,FALSE)</f>
        <v>24</v>
      </c>
      <c r="L15" s="10">
        <f>VLOOKUP(A15,'Stock a mayo'!$A$1:$B$20,2,FALSE)</f>
        <v>19</v>
      </c>
      <c r="M15" s="10">
        <f>VLOOKUP(A15,'Stock a junio'!$A$1:$B$20,2,FALSE)</f>
        <v>15</v>
      </c>
      <c r="N15" s="19">
        <f t="shared" si="3"/>
        <v>3</v>
      </c>
    </row>
    <row r="16" spans="1:14" x14ac:dyDescent="0.3">
      <c r="A16" s="16" t="s">
        <v>17</v>
      </c>
      <c r="B16" s="10"/>
      <c r="C16" s="10">
        <v>4</v>
      </c>
      <c r="D16" s="10"/>
      <c r="E16" s="10">
        <v>4</v>
      </c>
      <c r="F16" s="11">
        <v>6</v>
      </c>
      <c r="G16" s="10">
        <v>3</v>
      </c>
      <c r="H16" s="11">
        <v>5</v>
      </c>
      <c r="I16" s="11">
        <v>3</v>
      </c>
      <c r="J16" s="12">
        <f t="shared" si="0"/>
        <v>4.666666666666667</v>
      </c>
      <c r="K16" s="13">
        <f>VLOOKUP(A16,'Stock a marzo'!$A$2:$B$21,2,FALSE)</f>
        <v>37</v>
      </c>
      <c r="L16" s="10">
        <f>VLOOKUP(A16,'Stock a mayo'!$A$1:$B$20,2,FALSE)</f>
        <v>28</v>
      </c>
      <c r="M16" s="10">
        <f>VLOOKUP(A16,'Stock a junio'!$A$1:$B$20,2,FALSE)</f>
        <v>22</v>
      </c>
      <c r="N16" s="19">
        <f t="shared" si="3"/>
        <v>4.666666666666667</v>
      </c>
    </row>
    <row r="17" spans="1:14" x14ac:dyDescent="0.3">
      <c r="A17" s="16" t="s">
        <v>19</v>
      </c>
      <c r="B17" s="10"/>
      <c r="C17" s="10">
        <v>1</v>
      </c>
      <c r="D17" s="10">
        <v>2</v>
      </c>
      <c r="E17" s="10">
        <v>6</v>
      </c>
      <c r="F17" s="11">
        <v>3</v>
      </c>
      <c r="G17" s="10">
        <v>2</v>
      </c>
      <c r="H17" s="11">
        <v>1</v>
      </c>
      <c r="I17" s="11">
        <v>1</v>
      </c>
      <c r="J17" s="12">
        <f t="shared" si="0"/>
        <v>1.6666666666666667</v>
      </c>
      <c r="K17" s="13">
        <f>VLOOKUP(A17,'Stock a marzo'!$A$2:$B$21,2,FALSE)</f>
        <v>9</v>
      </c>
      <c r="L17" s="10">
        <f>VLOOKUP(A17,'Stock a mayo'!$A$1:$B$20,2,FALSE)</f>
        <v>4</v>
      </c>
      <c r="M17" s="10">
        <f>VLOOKUP(A17,'Stock a junio'!$A$1:$B$20,2,FALSE)</f>
        <v>13</v>
      </c>
      <c r="N17" s="19">
        <f t="shared" si="3"/>
        <v>1.6666666666666667</v>
      </c>
    </row>
    <row r="18" spans="1:14" x14ac:dyDescent="0.3">
      <c r="A18" s="16" t="s">
        <v>52</v>
      </c>
      <c r="B18" s="10"/>
      <c r="C18" s="10"/>
      <c r="D18" s="10"/>
      <c r="E18" s="10"/>
      <c r="F18" s="11">
        <v>0</v>
      </c>
      <c r="G18" s="10">
        <v>0</v>
      </c>
      <c r="H18" s="11">
        <v>1</v>
      </c>
      <c r="I18" s="11">
        <v>0</v>
      </c>
      <c r="J18" s="12">
        <f t="shared" si="0"/>
        <v>0.33333333333333331</v>
      </c>
      <c r="K18" s="13"/>
      <c r="L18" s="10">
        <f>VLOOKUP(A18,'Stock a mayo'!$A$1:$B$20,2,FALSE)</f>
        <v>6</v>
      </c>
      <c r="M18" s="10">
        <f>VLOOKUP(A18,'Stock a junio'!$A$1:$B$20,2,FALSE)</f>
        <v>5</v>
      </c>
      <c r="N18" s="19">
        <f>AVERAGE(H18:I18)</f>
        <v>0.5</v>
      </c>
    </row>
    <row r="19" spans="1:14" x14ac:dyDescent="0.3">
      <c r="A19" s="16" t="s">
        <v>28</v>
      </c>
      <c r="B19" s="10"/>
      <c r="C19" s="10"/>
      <c r="D19" s="10">
        <v>1</v>
      </c>
      <c r="E19" s="10"/>
      <c r="F19" s="11">
        <v>3</v>
      </c>
      <c r="G19" s="10">
        <v>3</v>
      </c>
      <c r="H19" s="11">
        <v>6</v>
      </c>
      <c r="I19" s="11">
        <v>4</v>
      </c>
      <c r="J19" s="12">
        <f t="shared" si="0"/>
        <v>4.333333333333333</v>
      </c>
      <c r="K19" s="13">
        <f>VLOOKUP(A19,'Stock a marzo'!$A$2:$B$21,2,FALSE)</f>
        <v>47</v>
      </c>
      <c r="L19" s="10">
        <f>VLOOKUP(A19,'Stock a mayo'!$A$1:$B$20,2,FALSE)</f>
        <v>41</v>
      </c>
      <c r="M19" s="10">
        <f>VLOOKUP(A19,'Stock a junio'!$A$1:$B$20,2,FALSE)</f>
        <v>35</v>
      </c>
      <c r="N19" s="19">
        <f t="shared" ref="N19:N20" si="4">AVERAGE(F19,H19,I19)</f>
        <v>4.333333333333333</v>
      </c>
    </row>
    <row r="20" spans="1:14" x14ac:dyDescent="0.3">
      <c r="A20" s="16" t="s">
        <v>42</v>
      </c>
      <c r="B20" s="10"/>
      <c r="C20" s="10"/>
      <c r="D20" s="10"/>
      <c r="E20" s="10"/>
      <c r="F20" s="11">
        <v>1</v>
      </c>
      <c r="G20" s="10">
        <v>0</v>
      </c>
      <c r="H20" s="11">
        <v>1</v>
      </c>
      <c r="I20" s="11">
        <v>4</v>
      </c>
      <c r="J20" s="12">
        <f t="shared" si="0"/>
        <v>2</v>
      </c>
      <c r="K20" s="13">
        <f>VLOOKUP(A20,'Stock a marzo'!$A$2:$B$21,2,FALSE)</f>
        <v>20</v>
      </c>
      <c r="L20" s="10">
        <f>VLOOKUP(A20,'Stock a mayo'!$A$1:$B$20,2,FALSE)</f>
        <v>39</v>
      </c>
      <c r="M20" s="10">
        <f>VLOOKUP(A20,'Stock a junio'!$A$1:$B$20,2,FALSE)</f>
        <v>37</v>
      </c>
      <c r="N20" s="19">
        <f t="shared" si="4"/>
        <v>2</v>
      </c>
    </row>
    <row r="21" spans="1:14" x14ac:dyDescent="0.3">
      <c r="J21" s="6"/>
      <c r="K21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venta llaveros</vt:lpstr>
      <vt:lpstr>Stock a marzo</vt:lpstr>
      <vt:lpstr>Stock a mayo</vt:lpstr>
      <vt:lpstr>Stock a junio</vt:lpstr>
      <vt:lpstr>Venta y 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Valeria Levite</cp:lastModifiedBy>
  <dcterms:created xsi:type="dcterms:W3CDTF">2025-06-26T15:27:44Z</dcterms:created>
  <dcterms:modified xsi:type="dcterms:W3CDTF">2025-06-27T12:39:59Z</dcterms:modified>
</cp:coreProperties>
</file>